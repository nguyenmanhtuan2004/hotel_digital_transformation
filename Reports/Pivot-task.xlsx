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E:\SonDoongLab\Hotel_Digital_Transformation\Reports\"/>
    </mc:Choice>
  </mc:AlternateContent>
  <xr:revisionPtr revIDLastSave="0" documentId="13_ncr:1_{6737F894-7B6E-41E1-A081-F48C111C6F84}" xr6:coauthVersionLast="47" xr6:coauthVersionMax="47" xr10:uidLastSave="{00000000-0000-0000-0000-000000000000}"/>
  <bookViews>
    <workbookView xWindow="680" yWindow="2840" windowWidth="14400" windowHeight="7360" activeTab="2" xr2:uid="{875C7CC7-F42B-4EA1-ACD8-D5F056C14734}"/>
  </bookViews>
  <sheets>
    <sheet name="A26 Pham Ngu Lao" sheetId="1" r:id="rId1"/>
    <sheet name="Chi tiết1" sheetId="12" state="hidden" r:id="rId2"/>
    <sheet name="Visualize-6-months" sheetId="2" r:id="rId3"/>
    <sheet name="August" sheetId="5" r:id="rId4"/>
    <sheet name="June" sheetId="6" r:id="rId5"/>
    <sheet name="October" sheetId="3" r:id="rId6"/>
    <sheet name="September" sheetId="4" r:id="rId7"/>
    <sheet name="July" sheetId="7" r:id="rId8"/>
    <sheet name="May" sheetId="8" r:id="rId9"/>
  </sheets>
  <definedNames>
    <definedName name="_xlnm._FilterDatabase" localSheetId="0" hidden="1">'A26 Pham Ngu Lao'!$A$6:$Z$739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7" i="2" l="1"/>
  <c r="I79" i="2"/>
  <c r="I77" i="2"/>
  <c r="I78" i="2"/>
  <c r="I76" i="2"/>
  <c r="M4" i="2"/>
  <c r="K38" i="2"/>
  <c r="L38" i="2"/>
  <c r="M38" i="2"/>
  <c r="N38" i="2"/>
  <c r="O38" i="2"/>
  <c r="P38" i="2"/>
  <c r="Q38" i="2"/>
  <c r="R38" i="2"/>
  <c r="S38" i="2"/>
  <c r="T38" i="2"/>
  <c r="K37" i="2"/>
  <c r="L37" i="2"/>
  <c r="M37" i="2"/>
  <c r="N37" i="2"/>
  <c r="O37" i="2"/>
  <c r="P37" i="2"/>
  <c r="Q37" i="2"/>
  <c r="R37" i="2"/>
  <c r="S37" i="2"/>
  <c r="T37" i="2"/>
  <c r="K36" i="2"/>
  <c r="L36" i="2"/>
  <c r="M36" i="2"/>
  <c r="N36" i="2"/>
  <c r="O36" i="2"/>
  <c r="P36" i="2"/>
  <c r="Q36" i="2"/>
  <c r="R36" i="2"/>
  <c r="S36" i="2"/>
  <c r="T36" i="2"/>
  <c r="K35" i="2"/>
  <c r="L35" i="2"/>
  <c r="M35" i="2"/>
  <c r="N35" i="2"/>
  <c r="O35" i="2"/>
  <c r="P35" i="2"/>
  <c r="Q35" i="2"/>
  <c r="R35" i="2"/>
  <c r="S35" i="2"/>
  <c r="T35" i="2"/>
  <c r="J38" i="2"/>
  <c r="J37" i="2"/>
  <c r="J36" i="2"/>
  <c r="J35" i="2"/>
  <c r="K30" i="2"/>
  <c r="L30" i="2"/>
  <c r="M30" i="2"/>
  <c r="N30" i="2"/>
  <c r="O30" i="2"/>
  <c r="P30" i="2"/>
  <c r="Q30" i="2"/>
  <c r="R30" i="2"/>
  <c r="S30" i="2"/>
  <c r="T30" i="2"/>
  <c r="K29" i="2"/>
  <c r="L29" i="2"/>
  <c r="M29" i="2"/>
  <c r="N29" i="2"/>
  <c r="O29" i="2"/>
  <c r="P29" i="2"/>
  <c r="Q29" i="2"/>
  <c r="R29" i="2"/>
  <c r="S29" i="2"/>
  <c r="T29" i="2"/>
  <c r="K28" i="2"/>
  <c r="L28" i="2"/>
  <c r="M28" i="2"/>
  <c r="N28" i="2"/>
  <c r="O28" i="2"/>
  <c r="P28" i="2"/>
  <c r="Q28" i="2"/>
  <c r="R28" i="2"/>
  <c r="S28" i="2"/>
  <c r="T28" i="2"/>
  <c r="K27" i="2"/>
  <c r="L27" i="2"/>
  <c r="M27" i="2"/>
  <c r="N27" i="2"/>
  <c r="O27" i="2"/>
  <c r="P27" i="2"/>
  <c r="Q27" i="2"/>
  <c r="R27" i="2"/>
  <c r="S27" i="2"/>
  <c r="T27" i="2"/>
  <c r="J30" i="2"/>
  <c r="J29" i="2"/>
  <c r="J28" i="2"/>
  <c r="J27" i="2"/>
  <c r="K22" i="2"/>
  <c r="L22" i="2"/>
  <c r="M22" i="2"/>
  <c r="N22" i="2"/>
  <c r="O22" i="2"/>
  <c r="P22" i="2"/>
  <c r="Q22" i="2"/>
  <c r="R22" i="2"/>
  <c r="S22" i="2"/>
  <c r="T22" i="2"/>
  <c r="K21" i="2"/>
  <c r="L21" i="2"/>
  <c r="M21" i="2"/>
  <c r="N21" i="2"/>
  <c r="O21" i="2"/>
  <c r="P21" i="2"/>
  <c r="Q21" i="2"/>
  <c r="R21" i="2"/>
  <c r="S21" i="2"/>
  <c r="T21" i="2"/>
  <c r="K20" i="2"/>
  <c r="L20" i="2"/>
  <c r="M20" i="2"/>
  <c r="N20" i="2"/>
  <c r="O20" i="2"/>
  <c r="P20" i="2"/>
  <c r="Q20" i="2"/>
  <c r="R20" i="2"/>
  <c r="S20" i="2"/>
  <c r="T20" i="2"/>
  <c r="K19" i="2"/>
  <c r="L19" i="2"/>
  <c r="M19" i="2"/>
  <c r="N19" i="2"/>
  <c r="O19" i="2"/>
  <c r="P19" i="2"/>
  <c r="Q19" i="2"/>
  <c r="R19" i="2"/>
  <c r="S19" i="2"/>
  <c r="T19" i="2"/>
  <c r="J22" i="2"/>
  <c r="J21" i="2"/>
  <c r="J20" i="2"/>
  <c r="J19" i="2"/>
  <c r="K14" i="2"/>
  <c r="L14" i="2"/>
  <c r="M14" i="2"/>
  <c r="N14" i="2"/>
  <c r="O14" i="2"/>
  <c r="P14" i="2"/>
  <c r="Q14" i="2"/>
  <c r="R14" i="2"/>
  <c r="S14" i="2"/>
  <c r="T14" i="2"/>
  <c r="J14" i="2"/>
  <c r="K13" i="2"/>
  <c r="L13" i="2"/>
  <c r="M13" i="2"/>
  <c r="N13" i="2"/>
  <c r="O13" i="2"/>
  <c r="P13" i="2"/>
  <c r="Q13" i="2"/>
  <c r="R13" i="2"/>
  <c r="S13" i="2"/>
  <c r="T13" i="2"/>
  <c r="K12" i="2"/>
  <c r="L12" i="2"/>
  <c r="M12" i="2"/>
  <c r="N12" i="2"/>
  <c r="O12" i="2"/>
  <c r="P12" i="2"/>
  <c r="Q12" i="2"/>
  <c r="R12" i="2"/>
  <c r="S12" i="2"/>
  <c r="T12" i="2"/>
  <c r="K11" i="2"/>
  <c r="L11" i="2"/>
  <c r="M11" i="2"/>
  <c r="N11" i="2"/>
  <c r="O11" i="2"/>
  <c r="P11" i="2"/>
  <c r="Q11" i="2"/>
  <c r="R11" i="2"/>
  <c r="S11" i="2"/>
  <c r="T11" i="2"/>
  <c r="J12" i="2"/>
  <c r="J13" i="2"/>
  <c r="J11" i="2"/>
  <c r="D15" i="2"/>
  <c r="K7" i="2"/>
  <c r="L7" i="2"/>
  <c r="M7" i="2"/>
  <c r="N7" i="2"/>
  <c r="O7" i="2"/>
  <c r="P7" i="2"/>
  <c r="Q7" i="2"/>
  <c r="R7" i="2"/>
  <c r="S7" i="2"/>
  <c r="T7" i="2"/>
  <c r="J7" i="2"/>
  <c r="K6" i="2"/>
  <c r="L6" i="2"/>
  <c r="M6" i="2"/>
  <c r="N6" i="2"/>
  <c r="O6" i="2"/>
  <c r="P6" i="2"/>
  <c r="Q6" i="2"/>
  <c r="R6" i="2"/>
  <c r="S6" i="2"/>
  <c r="T6" i="2"/>
  <c r="J6" i="2"/>
  <c r="K5" i="2"/>
  <c r="L5" i="2"/>
  <c r="M5" i="2"/>
  <c r="N5" i="2"/>
  <c r="O5" i="2"/>
  <c r="P5" i="2"/>
  <c r="Q5" i="2"/>
  <c r="R5" i="2"/>
  <c r="S5" i="2"/>
  <c r="T5" i="2"/>
  <c r="J5" i="2"/>
  <c r="D6" i="2"/>
  <c r="K4" i="2"/>
  <c r="L4" i="2"/>
  <c r="N4" i="2"/>
  <c r="O4" i="2"/>
  <c r="P4" i="2"/>
  <c r="Q4" i="2"/>
  <c r="R4" i="2"/>
  <c r="S4" i="2"/>
  <c r="T4" i="2"/>
  <c r="J4" i="2"/>
  <c r="D32" i="2"/>
  <c r="C32" i="2"/>
  <c r="D31" i="2"/>
  <c r="C31" i="2"/>
  <c r="D30" i="2"/>
  <c r="C30" i="2"/>
  <c r="D29" i="2"/>
  <c r="C29" i="2"/>
  <c r="D28" i="2"/>
  <c r="C28" i="2"/>
  <c r="D24" i="2"/>
  <c r="C24" i="2"/>
  <c r="D23" i="2"/>
  <c r="C23" i="2"/>
  <c r="D22" i="2"/>
  <c r="C22" i="2"/>
  <c r="D21" i="2"/>
  <c r="C21" i="2"/>
  <c r="D20" i="2"/>
  <c r="C20" i="2"/>
  <c r="D16" i="2"/>
  <c r="C16" i="2"/>
  <c r="C15" i="2"/>
  <c r="D14" i="2"/>
  <c r="C14" i="2"/>
  <c r="D13" i="2"/>
  <c r="C13" i="2"/>
  <c r="D12" i="2"/>
  <c r="C12" i="2"/>
  <c r="D7" i="2"/>
  <c r="D40" i="2"/>
  <c r="C40" i="2"/>
  <c r="D39" i="2"/>
  <c r="C39" i="2"/>
  <c r="D38" i="2"/>
  <c r="C38" i="2"/>
  <c r="D37" i="2"/>
  <c r="C37" i="2"/>
  <c r="D36" i="2"/>
  <c r="C36" i="2"/>
  <c r="D4" i="2"/>
  <c r="D8" i="2"/>
  <c r="C8" i="2"/>
  <c r="C7" i="2"/>
  <c r="C6" i="2"/>
  <c r="D5" i="2"/>
  <c r="C5" i="2"/>
  <c r="B4" i="2"/>
  <c r="B36" i="2"/>
  <c r="B28" i="2"/>
  <c r="B20" i="2"/>
  <c r="C4" i="2"/>
  <c r="B12" i="2"/>
  <c r="I22" i="2" l="1"/>
  <c r="I38" i="2"/>
  <c r="O53" i="2"/>
  <c r="O66" i="2"/>
  <c r="O50" i="2"/>
  <c r="O52" i="2"/>
  <c r="O51" i="2"/>
  <c r="I20" i="2"/>
  <c r="I36" i="2"/>
  <c r="I21" i="2"/>
  <c r="O63" i="2"/>
  <c r="L63" i="2"/>
  <c r="L65" i="2"/>
  <c r="O65" i="2"/>
  <c r="O67" i="2"/>
  <c r="I13" i="2"/>
  <c r="I14" i="2"/>
  <c r="L64" i="2"/>
  <c r="K64" i="2"/>
  <c r="I28" i="2"/>
  <c r="K66" i="2"/>
  <c r="I12" i="2"/>
  <c r="K63" i="2"/>
  <c r="I29" i="2"/>
  <c r="L62" i="2"/>
  <c r="O64" i="2"/>
  <c r="I30" i="2"/>
  <c r="I19" i="2"/>
  <c r="I35" i="2"/>
  <c r="L66" i="2"/>
  <c r="K62" i="2"/>
  <c r="K67" i="2" s="1"/>
  <c r="I11" i="2"/>
  <c r="I27" i="2"/>
  <c r="I7" i="2"/>
  <c r="O62" i="2"/>
  <c r="I5" i="2"/>
  <c r="I80" i="2"/>
  <c r="J79" i="2" s="1"/>
  <c r="I6" i="2"/>
  <c r="I4" i="2"/>
  <c r="E22" i="2"/>
  <c r="E38" i="2"/>
  <c r="E40" i="2"/>
  <c r="E39" i="2"/>
  <c r="E37" i="2"/>
  <c r="E36" i="2"/>
  <c r="E30" i="2"/>
  <c r="E32" i="2"/>
  <c r="E31" i="2"/>
  <c r="E29" i="2"/>
  <c r="E28" i="2"/>
  <c r="E24" i="2"/>
  <c r="E23" i="2"/>
  <c r="E21" i="2"/>
  <c r="E20" i="2"/>
  <c r="E15" i="2"/>
  <c r="E14" i="2"/>
  <c r="E13" i="2"/>
  <c r="O54" i="2" l="1"/>
  <c r="J78" i="2"/>
  <c r="L67" i="2"/>
  <c r="J77" i="2"/>
  <c r="J76" i="2"/>
  <c r="O68" i="2"/>
  <c r="E8" i="2"/>
  <c r="E4" i="2"/>
  <c r="J30" i="6"/>
  <c r="J30" i="3"/>
  <c r="T31" i="3" s="1"/>
  <c r="U31" i="3" s="1"/>
  <c r="E29" i="3"/>
  <c r="C29" i="3"/>
  <c r="J39" i="3"/>
  <c r="J49" i="8"/>
  <c r="J48" i="8"/>
  <c r="J47" i="8"/>
  <c r="J46" i="8"/>
  <c r="J45" i="8"/>
  <c r="J44" i="8"/>
  <c r="J43" i="8"/>
  <c r="J42" i="8"/>
  <c r="J41" i="8"/>
  <c r="J40" i="8"/>
  <c r="J39" i="8"/>
  <c r="O34" i="8"/>
  <c r="L34" i="8"/>
  <c r="H34" i="8"/>
  <c r="E34" i="8"/>
  <c r="D34" i="8"/>
  <c r="O33" i="8"/>
  <c r="N33" i="8"/>
  <c r="L33" i="8"/>
  <c r="J33" i="8"/>
  <c r="H33" i="8"/>
  <c r="E33" i="8"/>
  <c r="D33" i="8"/>
  <c r="N32" i="8"/>
  <c r="L32" i="8"/>
  <c r="J32" i="8"/>
  <c r="O32" i="8" s="1"/>
  <c r="H32" i="8"/>
  <c r="E32" i="8"/>
  <c r="D32" i="8"/>
  <c r="N31" i="8"/>
  <c r="L31" i="8"/>
  <c r="J31" i="8"/>
  <c r="O31" i="8" s="1"/>
  <c r="H31" i="8"/>
  <c r="E31" i="8"/>
  <c r="D31" i="8"/>
  <c r="N30" i="8"/>
  <c r="M30" i="8"/>
  <c r="L30" i="8"/>
  <c r="J30" i="8"/>
  <c r="O30" i="8" s="1"/>
  <c r="I30" i="8"/>
  <c r="H30" i="8"/>
  <c r="E30" i="8"/>
  <c r="D30" i="8"/>
  <c r="E29" i="8"/>
  <c r="D29" i="8"/>
  <c r="J49" i="7"/>
  <c r="J48" i="7"/>
  <c r="J47" i="7"/>
  <c r="J46" i="7"/>
  <c r="J45" i="7"/>
  <c r="J44" i="7"/>
  <c r="Y43" i="7"/>
  <c r="X43" i="7"/>
  <c r="W43" i="7"/>
  <c r="V43" i="7"/>
  <c r="U43" i="7"/>
  <c r="T43" i="7"/>
  <c r="S43" i="7"/>
  <c r="R43" i="7"/>
  <c r="Q43" i="7"/>
  <c r="P43" i="7"/>
  <c r="O43" i="7"/>
  <c r="J43" i="7"/>
  <c r="Y42" i="7"/>
  <c r="X42" i="7"/>
  <c r="W42" i="7"/>
  <c r="V42" i="7"/>
  <c r="U42" i="7"/>
  <c r="T42" i="7"/>
  <c r="S42" i="7"/>
  <c r="R42" i="7"/>
  <c r="Q42" i="7"/>
  <c r="P42" i="7"/>
  <c r="O42" i="7"/>
  <c r="J42" i="7"/>
  <c r="Y41" i="7"/>
  <c r="X41" i="7"/>
  <c r="W41" i="7"/>
  <c r="V41" i="7"/>
  <c r="U41" i="7"/>
  <c r="T41" i="7"/>
  <c r="S41" i="7"/>
  <c r="R41" i="7"/>
  <c r="Q41" i="7"/>
  <c r="P41" i="7"/>
  <c r="O41" i="7"/>
  <c r="J41" i="7"/>
  <c r="Y40" i="7"/>
  <c r="X40" i="7"/>
  <c r="W40" i="7"/>
  <c r="V40" i="7"/>
  <c r="U40" i="7"/>
  <c r="T40" i="7"/>
  <c r="S40" i="7"/>
  <c r="R40" i="7"/>
  <c r="Q40" i="7"/>
  <c r="P40" i="7"/>
  <c r="O40" i="7"/>
  <c r="J40" i="7"/>
  <c r="J39" i="7"/>
  <c r="L34" i="7"/>
  <c r="H34" i="7"/>
  <c r="E34" i="7"/>
  <c r="D34" i="7"/>
  <c r="U33" i="7"/>
  <c r="N33" i="7"/>
  <c r="L33" i="7"/>
  <c r="J33" i="7"/>
  <c r="H33" i="7"/>
  <c r="E33" i="7"/>
  <c r="D33" i="7"/>
  <c r="U32" i="7"/>
  <c r="N32" i="7"/>
  <c r="L32" i="7"/>
  <c r="J32" i="7"/>
  <c r="H32" i="7"/>
  <c r="E32" i="7"/>
  <c r="D32" i="7"/>
  <c r="U31" i="7"/>
  <c r="N31" i="7"/>
  <c r="L31" i="7"/>
  <c r="J31" i="7"/>
  <c r="H31" i="7"/>
  <c r="E31" i="7"/>
  <c r="D31" i="7"/>
  <c r="U30" i="7"/>
  <c r="N30" i="7"/>
  <c r="M30" i="7"/>
  <c r="L30" i="7"/>
  <c r="J30" i="7"/>
  <c r="I30" i="7"/>
  <c r="H30" i="7"/>
  <c r="E30" i="7"/>
  <c r="D30" i="7"/>
  <c r="U29" i="7"/>
  <c r="T29" i="7"/>
  <c r="R29" i="7"/>
  <c r="E29" i="7"/>
  <c r="D29" i="7"/>
  <c r="J49" i="6"/>
  <c r="J48" i="6"/>
  <c r="J47" i="6"/>
  <c r="J46" i="6"/>
  <c r="J45" i="6"/>
  <c r="J44" i="6"/>
  <c r="Y43" i="6"/>
  <c r="X43" i="6"/>
  <c r="W43" i="6"/>
  <c r="V43" i="6"/>
  <c r="U43" i="6"/>
  <c r="T43" i="6"/>
  <c r="S43" i="6"/>
  <c r="R43" i="6"/>
  <c r="Q43" i="6"/>
  <c r="P43" i="6"/>
  <c r="O43" i="6"/>
  <c r="J43" i="6"/>
  <c r="Y42" i="6"/>
  <c r="X42" i="6"/>
  <c r="W42" i="6"/>
  <c r="V42" i="6"/>
  <c r="U42" i="6"/>
  <c r="T42" i="6"/>
  <c r="S42" i="6"/>
  <c r="R42" i="6"/>
  <c r="Q42" i="6"/>
  <c r="P42" i="6"/>
  <c r="O42" i="6"/>
  <c r="J42" i="6"/>
  <c r="Y41" i="6"/>
  <c r="X41" i="6"/>
  <c r="W41" i="6"/>
  <c r="V41" i="6"/>
  <c r="U41" i="6"/>
  <c r="T41" i="6"/>
  <c r="S41" i="6"/>
  <c r="R41" i="6"/>
  <c r="Q41" i="6"/>
  <c r="P41" i="6"/>
  <c r="O41" i="6"/>
  <c r="J41" i="6"/>
  <c r="Y40" i="6"/>
  <c r="X40" i="6"/>
  <c r="W40" i="6"/>
  <c r="V40" i="6"/>
  <c r="U40" i="6"/>
  <c r="T40" i="6"/>
  <c r="S40" i="6"/>
  <c r="R40" i="6"/>
  <c r="Q40" i="6"/>
  <c r="P40" i="6"/>
  <c r="O40" i="6"/>
  <c r="J40" i="6"/>
  <c r="J39" i="6"/>
  <c r="L34" i="6"/>
  <c r="E34" i="6"/>
  <c r="D34" i="6"/>
  <c r="S33" i="6"/>
  <c r="U33" i="6" s="1"/>
  <c r="N33" i="6"/>
  <c r="L33" i="6"/>
  <c r="J33" i="6"/>
  <c r="H33" i="6"/>
  <c r="E33" i="6"/>
  <c r="D33" i="6"/>
  <c r="S32" i="6"/>
  <c r="U32" i="6" s="1"/>
  <c r="N32" i="6"/>
  <c r="L32" i="6"/>
  <c r="J32" i="6"/>
  <c r="H32" i="6"/>
  <c r="E32" i="6"/>
  <c r="D32" i="6"/>
  <c r="S31" i="6"/>
  <c r="U31" i="6" s="1"/>
  <c r="N31" i="6"/>
  <c r="L31" i="6"/>
  <c r="J31" i="6"/>
  <c r="H31" i="6"/>
  <c r="E31" i="6"/>
  <c r="D31" i="6"/>
  <c r="S30" i="6"/>
  <c r="U30" i="6" s="1"/>
  <c r="N30" i="6"/>
  <c r="M30" i="6"/>
  <c r="L30" i="6"/>
  <c r="I30" i="6"/>
  <c r="H30" i="6"/>
  <c r="E30" i="6"/>
  <c r="D30" i="6"/>
  <c r="T29" i="6"/>
  <c r="R29" i="6"/>
  <c r="S29" i="6" s="1"/>
  <c r="E29" i="6"/>
  <c r="D29" i="6"/>
  <c r="D29" i="5"/>
  <c r="E29" i="5"/>
  <c r="T29" i="5"/>
  <c r="U29" i="5" s="1"/>
  <c r="D30" i="5"/>
  <c r="E30" i="5"/>
  <c r="H30" i="5"/>
  <c r="I30" i="5"/>
  <c r="J30" i="5"/>
  <c r="L30" i="5"/>
  <c r="M30" i="5"/>
  <c r="N30" i="5"/>
  <c r="U30" i="5"/>
  <c r="D31" i="5"/>
  <c r="E31" i="5"/>
  <c r="H31" i="5"/>
  <c r="J31" i="5"/>
  <c r="L31" i="5"/>
  <c r="N31" i="5"/>
  <c r="U31" i="5"/>
  <c r="D32" i="5"/>
  <c r="E32" i="5"/>
  <c r="H32" i="5"/>
  <c r="J32" i="5"/>
  <c r="L32" i="5"/>
  <c r="N32" i="5"/>
  <c r="U32" i="5"/>
  <c r="D33" i="5"/>
  <c r="E33" i="5"/>
  <c r="H33" i="5"/>
  <c r="L33" i="5"/>
  <c r="N33" i="5"/>
  <c r="U33" i="5"/>
  <c r="D34" i="5"/>
  <c r="E34" i="5"/>
  <c r="H34" i="5"/>
  <c r="L34" i="5"/>
  <c r="J39" i="5"/>
  <c r="J40" i="5"/>
  <c r="O40" i="5"/>
  <c r="P40" i="5"/>
  <c r="Q40" i="5"/>
  <c r="R40" i="5"/>
  <c r="S40" i="5"/>
  <c r="T40" i="5"/>
  <c r="U40" i="5"/>
  <c r="V40" i="5"/>
  <c r="W40" i="5"/>
  <c r="X40" i="5"/>
  <c r="Y40" i="5"/>
  <c r="J41" i="5"/>
  <c r="O41" i="5"/>
  <c r="P41" i="5"/>
  <c r="Q41" i="5"/>
  <c r="R41" i="5"/>
  <c r="S41" i="5"/>
  <c r="T41" i="5"/>
  <c r="U41" i="5"/>
  <c r="V41" i="5"/>
  <c r="W41" i="5"/>
  <c r="X41" i="5"/>
  <c r="Y41" i="5"/>
  <c r="J42" i="5"/>
  <c r="O42" i="5"/>
  <c r="P42" i="5"/>
  <c r="Q42" i="5"/>
  <c r="R42" i="5"/>
  <c r="S42" i="5"/>
  <c r="T42" i="5"/>
  <c r="U42" i="5"/>
  <c r="V42" i="5"/>
  <c r="W42" i="5"/>
  <c r="X42" i="5"/>
  <c r="Y42" i="5"/>
  <c r="J43" i="5"/>
  <c r="O43" i="5"/>
  <c r="P43" i="5"/>
  <c r="Q43" i="5"/>
  <c r="R43" i="5"/>
  <c r="S43" i="5"/>
  <c r="T43" i="5"/>
  <c r="U43" i="5"/>
  <c r="V43" i="5"/>
  <c r="W43" i="5"/>
  <c r="X43" i="5"/>
  <c r="Y43" i="5"/>
  <c r="J44" i="5"/>
  <c r="J45" i="5"/>
  <c r="J46" i="5"/>
  <c r="J47" i="5"/>
  <c r="J48" i="5"/>
  <c r="J49" i="5"/>
  <c r="J49" i="4"/>
  <c r="J48" i="4"/>
  <c r="J47" i="4"/>
  <c r="J46" i="4"/>
  <c r="J45" i="4"/>
  <c r="Z44" i="4"/>
  <c r="J44" i="4"/>
  <c r="Y43" i="4"/>
  <c r="X43" i="4"/>
  <c r="W43" i="4"/>
  <c r="V43" i="4"/>
  <c r="U43" i="4"/>
  <c r="T43" i="4"/>
  <c r="S43" i="4"/>
  <c r="R43" i="4"/>
  <c r="Q43" i="4"/>
  <c r="P43" i="4"/>
  <c r="O43" i="4"/>
  <c r="Z43" i="4" s="1"/>
  <c r="J43" i="4"/>
  <c r="Y42" i="4"/>
  <c r="X42" i="4"/>
  <c r="W42" i="4"/>
  <c r="V42" i="4"/>
  <c r="U42" i="4"/>
  <c r="T42" i="4"/>
  <c r="S42" i="4"/>
  <c r="R42" i="4"/>
  <c r="Q42" i="4"/>
  <c r="P42" i="4"/>
  <c r="Z42" i="4" s="1"/>
  <c r="O42" i="4"/>
  <c r="J42" i="4"/>
  <c r="Y41" i="4"/>
  <c r="X41" i="4"/>
  <c r="W41" i="4"/>
  <c r="V41" i="4"/>
  <c r="U41" i="4"/>
  <c r="T41" i="4"/>
  <c r="S41" i="4"/>
  <c r="R41" i="4"/>
  <c r="Q41" i="4"/>
  <c r="P41" i="4"/>
  <c r="O41" i="4"/>
  <c r="Z41" i="4" s="1"/>
  <c r="J41" i="4"/>
  <c r="Y40" i="4"/>
  <c r="X40" i="4"/>
  <c r="W40" i="4"/>
  <c r="V40" i="4"/>
  <c r="U40" i="4"/>
  <c r="T40" i="4"/>
  <c r="S40" i="4"/>
  <c r="R40" i="4"/>
  <c r="Q40" i="4"/>
  <c r="P40" i="4"/>
  <c r="O40" i="4"/>
  <c r="Z40" i="4" s="1"/>
  <c r="J40" i="4"/>
  <c r="J39" i="4"/>
  <c r="O34" i="4"/>
  <c r="L34" i="4"/>
  <c r="H34" i="4"/>
  <c r="E34" i="4"/>
  <c r="D34" i="4"/>
  <c r="U33" i="4"/>
  <c r="N33" i="4"/>
  <c r="O33" i="4" s="1"/>
  <c r="E33" i="4"/>
  <c r="D33" i="4"/>
  <c r="U32" i="4"/>
  <c r="N32" i="4"/>
  <c r="L32" i="4"/>
  <c r="J32" i="4"/>
  <c r="O32" i="4" s="1"/>
  <c r="H32" i="4"/>
  <c r="E32" i="4"/>
  <c r="D32" i="4"/>
  <c r="U31" i="4"/>
  <c r="N31" i="4"/>
  <c r="L31" i="4"/>
  <c r="J31" i="4"/>
  <c r="O31" i="4" s="1"/>
  <c r="H31" i="4"/>
  <c r="E31" i="4"/>
  <c r="D31" i="4"/>
  <c r="U30" i="4"/>
  <c r="N30" i="4"/>
  <c r="M30" i="4"/>
  <c r="L30" i="4"/>
  <c r="J30" i="4"/>
  <c r="O30" i="4" s="1"/>
  <c r="I30" i="4"/>
  <c r="H30" i="4"/>
  <c r="E30" i="4"/>
  <c r="D30" i="4"/>
  <c r="U29" i="4"/>
  <c r="T29" i="4"/>
  <c r="E29" i="4"/>
  <c r="D29" i="4"/>
  <c r="J49" i="3"/>
  <c r="J48" i="3"/>
  <c r="J47" i="3"/>
  <c r="J46" i="3"/>
  <c r="J45" i="3"/>
  <c r="J44" i="3"/>
  <c r="Y43" i="3"/>
  <c r="X43" i="3"/>
  <c r="W43" i="3"/>
  <c r="V43" i="3"/>
  <c r="U43" i="3"/>
  <c r="T43" i="3"/>
  <c r="S43" i="3"/>
  <c r="R43" i="3"/>
  <c r="Q43" i="3"/>
  <c r="P43" i="3"/>
  <c r="O43" i="3"/>
  <c r="J43" i="3"/>
  <c r="Y42" i="3"/>
  <c r="X42" i="3"/>
  <c r="W42" i="3"/>
  <c r="V42" i="3"/>
  <c r="U42" i="3"/>
  <c r="T42" i="3"/>
  <c r="S42" i="3"/>
  <c r="R42" i="3"/>
  <c r="Q42" i="3"/>
  <c r="P42" i="3"/>
  <c r="O42" i="3"/>
  <c r="J42" i="3"/>
  <c r="Y41" i="3"/>
  <c r="X41" i="3"/>
  <c r="W41" i="3"/>
  <c r="V41" i="3"/>
  <c r="U41" i="3"/>
  <c r="T41" i="3"/>
  <c r="S41" i="3"/>
  <c r="R41" i="3"/>
  <c r="Q41" i="3"/>
  <c r="P41" i="3"/>
  <c r="O41" i="3"/>
  <c r="J41" i="3"/>
  <c r="Y40" i="3"/>
  <c r="X40" i="3"/>
  <c r="W40" i="3"/>
  <c r="V40" i="3"/>
  <c r="U40" i="3"/>
  <c r="T40" i="3"/>
  <c r="S40" i="3"/>
  <c r="R40" i="3"/>
  <c r="Q40" i="3"/>
  <c r="P40" i="3"/>
  <c r="O40" i="3"/>
  <c r="J40" i="3"/>
  <c r="E34" i="3"/>
  <c r="D34" i="3"/>
  <c r="N33" i="3"/>
  <c r="L33" i="3"/>
  <c r="J33" i="3"/>
  <c r="N43" i="3" s="1"/>
  <c r="H33" i="3"/>
  <c r="E33" i="3"/>
  <c r="D33" i="3"/>
  <c r="N32" i="3"/>
  <c r="L32" i="3"/>
  <c r="J32" i="3"/>
  <c r="N42" i="3" s="1"/>
  <c r="H32" i="3"/>
  <c r="E32" i="3"/>
  <c r="D32" i="3"/>
  <c r="N31" i="3"/>
  <c r="L31" i="3"/>
  <c r="J31" i="3"/>
  <c r="N41" i="3" s="1"/>
  <c r="H31" i="3"/>
  <c r="E31" i="3"/>
  <c r="D31" i="3"/>
  <c r="S30" i="3"/>
  <c r="R30" i="3"/>
  <c r="N30" i="3"/>
  <c r="M30" i="3"/>
  <c r="L30" i="3"/>
  <c r="I30" i="3"/>
  <c r="H30" i="3"/>
  <c r="E30" i="3"/>
  <c r="D30" i="3"/>
  <c r="D29" i="3"/>
  <c r="Z739" i="1"/>
  <c r="J80" i="2" l="1"/>
  <c r="P63" i="2"/>
  <c r="P65" i="2"/>
  <c r="P64" i="2"/>
  <c r="P66" i="2"/>
  <c r="P67" i="2"/>
  <c r="P62" i="2"/>
  <c r="E16" i="2"/>
  <c r="E12" i="2"/>
  <c r="E7" i="2"/>
  <c r="E6" i="2"/>
  <c r="E5" i="2"/>
  <c r="N40" i="3"/>
  <c r="U29" i="6"/>
  <c r="T32" i="3"/>
  <c r="T33" i="3"/>
  <c r="U33" i="3" s="1"/>
  <c r="T34" i="3"/>
  <c r="U34" i="3" s="1"/>
  <c r="P68" i="2" l="1"/>
  <c r="U32" i="3"/>
  <c r="T30" i="3"/>
  <c r="U3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0" authorId="0" shapeId="0" xr:uid="{9ACDA062-FBAB-44AC-B09D-0CFCEAB5217C}">
      <text>
        <r>
          <rPr>
            <sz val="11"/>
            <color theme="1"/>
            <rFont val="Calibri"/>
            <scheme val="minor"/>
          </rPr>
          <t>======
ID#AAAB2ozf0LY
tc={0db4c6d8-4cfa-4dc2-865b-baa610ffa616}    (2026-04-02 06:17:25)
[Threaded comment]
 Your version of Excel allows you to read this threaded comment; however, any edits to it will get removed if the file is opened in a newer version of Excel. Learn more: https://go.microsoft.com/fwlink/?linkid=870924
Comment:
	High demand</t>
        </r>
      </text>
    </comment>
  </commentList>
</comments>
</file>

<file path=xl/sharedStrings.xml><?xml version="1.0" encoding="utf-8"?>
<sst xmlns="http://schemas.openxmlformats.org/spreadsheetml/2006/main" count="18202" uniqueCount="3346">
  <si>
    <t>A26 Pham Ngu Lao</t>
  </si>
  <si>
    <t>Địa chỉ: Pham Ngu Lao, District 1, HCMC</t>
  </si>
  <si>
    <t>REPORT</t>
  </si>
  <si>
    <t>Mã đặt phòng</t>
  </si>
  <si>
    <t>Loại phòng</t>
  </si>
  <si>
    <t>Tên phòng</t>
  </si>
  <si>
    <t>Tên khách</t>
  </si>
  <si>
    <t>Ngày đến</t>
  </si>
  <si>
    <t>Ngày đi</t>
  </si>
  <si>
    <t>Tiền phòng</t>
  </si>
  <si>
    <t>Dịch vụ</t>
  </si>
  <si>
    <t>Tổng doanh thu</t>
  </si>
  <si>
    <t>Nợ trước</t>
  </si>
  <si>
    <t>Tiền mặt</t>
  </si>
  <si>
    <t>Thẻ tín dụng</t>
  </si>
  <si>
    <t>Chuyển khoản</t>
  </si>
  <si>
    <t>Công nợ</t>
  </si>
  <si>
    <t>Còn thiếu</t>
  </si>
  <si>
    <t>SĐT</t>
  </si>
  <si>
    <t>Email</t>
  </si>
  <si>
    <t>CMND/Hộ chiếu</t>
  </si>
  <si>
    <t>Nguồn</t>
  </si>
  <si>
    <t>Thị trường</t>
  </si>
  <si>
    <t>Trạng thái</t>
  </si>
  <si>
    <t>Số hóa đơn</t>
  </si>
  <si>
    <t>Mã CMS</t>
  </si>
  <si>
    <t>Giá trung bình</t>
  </si>
  <si>
    <t>Số đêm</t>
  </si>
  <si>
    <t>1</t>
  </si>
  <si>
    <t>DELUXE-PNL</t>
  </si>
  <si>
    <t>503</t>
  </si>
  <si>
    <t>chị trang</t>
  </si>
  <si>
    <t>22/05/24 09:40</t>
  </si>
  <si>
    <t>22/05/24 15:54</t>
  </si>
  <si>
    <t/>
  </si>
  <si>
    <t>CHECKOUT</t>
  </si>
  <si>
    <t>9</t>
  </si>
  <si>
    <t>303</t>
  </si>
  <si>
    <t>Kayden</t>
  </si>
  <si>
    <t>24/05/24 21:00</t>
  </si>
  <si>
    <t>25/05/24 08:59</t>
  </si>
  <si>
    <t>Booked_CTV</t>
  </si>
  <si>
    <t>5</t>
  </si>
  <si>
    <t>403</t>
  </si>
  <si>
    <t>Kang Byeong Jae</t>
  </si>
  <si>
    <t>24/05/24 23:40</t>
  </si>
  <si>
    <t>25/05/24 09:00</t>
  </si>
  <si>
    <t>821052846890</t>
  </si>
  <si>
    <t>ONLINE</t>
  </si>
  <si>
    <t>HM5TCXPYJ5_LDCB1F</t>
  </si>
  <si>
    <t>13</t>
  </si>
  <si>
    <t>Long Hoàng</t>
  </si>
  <si>
    <t>25/05/24 14:09</t>
  </si>
  <si>
    <t>Booked_TA</t>
  </si>
  <si>
    <t>16</t>
  </si>
  <si>
    <t>NG</t>
  </si>
  <si>
    <t>25/05/24 15:04</t>
  </si>
  <si>
    <t>25/05/24 17:24</t>
  </si>
  <si>
    <t>14</t>
  </si>
  <si>
    <t>SUP-PNL</t>
  </si>
  <si>
    <t>302</t>
  </si>
  <si>
    <t>Đào Ngọc Mạnh</t>
  </si>
  <si>
    <t>25/05/24 18:42</t>
  </si>
  <si>
    <t>12</t>
  </si>
  <si>
    <t>STD-PNL</t>
  </si>
  <si>
    <t>501</t>
  </si>
  <si>
    <t>Tuấn</t>
  </si>
  <si>
    <t>25/05/24 12:43</t>
  </si>
  <si>
    <t>26/05/24 08:35</t>
  </si>
  <si>
    <t>0349743629</t>
  </si>
  <si>
    <t>8</t>
  </si>
  <si>
    <t>SUP-Q-PNL</t>
  </si>
  <si>
    <t>502</t>
  </si>
  <si>
    <t>ASPA Baptiste</t>
  </si>
  <si>
    <t>24/05/24 19:03</t>
  </si>
  <si>
    <t>6</t>
  </si>
  <si>
    <t>301</t>
  </si>
  <si>
    <t>Đặng Mai</t>
  </si>
  <si>
    <t>25/05/24 20:06</t>
  </si>
  <si>
    <t>26/05/24 09:05</t>
  </si>
  <si>
    <t>841212120676</t>
  </si>
  <si>
    <t>HMKHY5YWEM_LDCB1F</t>
  </si>
  <si>
    <t>15</t>
  </si>
  <si>
    <t>401</t>
  </si>
  <si>
    <t>Lý Minh Trí</t>
  </si>
  <si>
    <t>25/05/24 14:16</t>
  </si>
  <si>
    <t>26/05/24 10:06</t>
  </si>
  <si>
    <t>0932829180</t>
  </si>
  <si>
    <t>11</t>
  </si>
  <si>
    <t>601</t>
  </si>
  <si>
    <t>Lê Nhật</t>
  </si>
  <si>
    <t>25/05/24 18:01</t>
  </si>
  <si>
    <t>26/05/24 11:00</t>
  </si>
  <si>
    <t>0382156526</t>
  </si>
  <si>
    <t>17</t>
  </si>
  <si>
    <t>602</t>
  </si>
  <si>
    <t>Russell</t>
  </si>
  <si>
    <t>25/05/24 18:38</t>
  </si>
  <si>
    <t>19</t>
  </si>
  <si>
    <t>201</t>
  </si>
  <si>
    <t>Quỳnh Như</t>
  </si>
  <si>
    <t>25/05/24 22:35</t>
  </si>
  <si>
    <t>26/05/24 16:00</t>
  </si>
  <si>
    <t>0333038479</t>
  </si>
  <si>
    <t>22</t>
  </si>
  <si>
    <t>Jo Phạm</t>
  </si>
  <si>
    <t>26/05/24 13:59</t>
  </si>
  <si>
    <t>26/05/24 20:00</t>
  </si>
  <si>
    <t>0906380089</t>
  </si>
  <si>
    <t>23</t>
  </si>
  <si>
    <t>603</t>
  </si>
  <si>
    <t>Lê Văn Thấu</t>
  </si>
  <si>
    <t>26/05/24 19:44</t>
  </si>
  <si>
    <t>27/05/24 11:00</t>
  </si>
  <si>
    <t>038050003261</t>
  </si>
  <si>
    <t>24</t>
  </si>
  <si>
    <t>26</t>
  </si>
  <si>
    <t>Elvinas</t>
  </si>
  <si>
    <t>26/05/24 19:31</t>
  </si>
  <si>
    <t>Công ty</t>
  </si>
  <si>
    <t>29</t>
  </si>
  <si>
    <t>10</t>
  </si>
  <si>
    <t>402</t>
  </si>
  <si>
    <t>Linh Đan</t>
  </si>
  <si>
    <t>25/05/24 15:34</t>
  </si>
  <si>
    <t>27/05/24 11:30</t>
  </si>
  <si>
    <t>0989838633</t>
  </si>
  <si>
    <t>30</t>
  </si>
  <si>
    <t>Nghĩa Trịnh</t>
  </si>
  <si>
    <t>27/05/24 12:00</t>
  </si>
  <si>
    <t>27/05/24 23:00</t>
  </si>
  <si>
    <t>0395425614</t>
  </si>
  <si>
    <t>33</t>
  </si>
  <si>
    <t>31</t>
  </si>
  <si>
    <t>Võ Việt Trung</t>
  </si>
  <si>
    <t>27/05/24 20:14</t>
  </si>
  <si>
    <t>28/05/24 09:09</t>
  </si>
  <si>
    <t>+84989109476</t>
  </si>
  <si>
    <t>johntrung@gmail.com</t>
  </si>
  <si>
    <t>34</t>
  </si>
  <si>
    <t>88825144721</t>
  </si>
  <si>
    <t>Lê Ngọc Long</t>
  </si>
  <si>
    <t>28/05/24 09:34</t>
  </si>
  <si>
    <t>0947865604</t>
  </si>
  <si>
    <t>038200032687</t>
  </si>
  <si>
    <t>28</t>
  </si>
  <si>
    <t>Tien Tien</t>
  </si>
  <si>
    <t>28/05/24 23:21</t>
  </si>
  <si>
    <t>29/05/24 10:37</t>
  </si>
  <si>
    <t>0932006246</t>
  </si>
  <si>
    <t>phạm uyên thuỳ</t>
  </si>
  <si>
    <t>27/05/24 14:33</t>
  </si>
  <si>
    <t>29/05/24 11:00</t>
  </si>
  <si>
    <t>0849127979</t>
  </si>
  <si>
    <t>25</t>
  </si>
  <si>
    <t>Phan thị trang</t>
  </si>
  <si>
    <t>26/05/24 23:40</t>
  </si>
  <si>
    <t>0935954348</t>
  </si>
  <si>
    <t>32</t>
  </si>
  <si>
    <t>Tran huu Duc</t>
  </si>
  <si>
    <t>28/05/24 17:12</t>
  </si>
  <si>
    <t>+84 90 417 97 79</t>
  </si>
  <si>
    <t>35</t>
  </si>
  <si>
    <t>Bai Song</t>
  </si>
  <si>
    <t>28/05/24 17:43</t>
  </si>
  <si>
    <t>8613216128828</t>
  </si>
  <si>
    <t>37</t>
  </si>
  <si>
    <t>HM52SZN2WB_LDCB1F</t>
  </si>
  <si>
    <t>Verma Shekher</t>
  </si>
  <si>
    <t>28/05/24 11:15</t>
  </si>
  <si>
    <t>29/05/24 12:00</t>
  </si>
  <si>
    <t>36</t>
  </si>
  <si>
    <t>39</t>
  </si>
  <si>
    <t>101</t>
  </si>
  <si>
    <t>Nguyễn Trung Kiên</t>
  </si>
  <si>
    <t>28/05/24 23:35</t>
  </si>
  <si>
    <t>0336280281</t>
  </si>
  <si>
    <t>42</t>
  </si>
  <si>
    <t>29/05/24 17:35</t>
  </si>
  <si>
    <t>27</t>
  </si>
  <si>
    <t>29/05/24 17:36</t>
  </si>
  <si>
    <t>43</t>
  </si>
  <si>
    <t>202</t>
  </si>
  <si>
    <t>Nguyễn Thương</t>
  </si>
  <si>
    <t>29/05/24 14:53</t>
  </si>
  <si>
    <t>29/05/24 17:38</t>
  </si>
  <si>
    <t>0912465699</t>
  </si>
  <si>
    <t>46</t>
  </si>
  <si>
    <t>Huỳnh Tuấn Kiệt</t>
  </si>
  <si>
    <t>28/05/24 17:05</t>
  </si>
  <si>
    <t>30/05/24 08:06</t>
  </si>
  <si>
    <t>0914787909</t>
  </si>
  <si>
    <t>38</t>
  </si>
  <si>
    <t>102</t>
  </si>
  <si>
    <t>Trần Thị Tường Vi</t>
  </si>
  <si>
    <t>28/05/24 18:59</t>
  </si>
  <si>
    <t>30/05/24 10:57</t>
  </si>
  <si>
    <t>40</t>
  </si>
  <si>
    <t>Quốc Bảo</t>
  </si>
  <si>
    <t>29/05/24 20:15</t>
  </si>
  <si>
    <t>30/05/24 11:00</t>
  </si>
  <si>
    <t>0819200907</t>
  </si>
  <si>
    <t>45</t>
  </si>
  <si>
    <t>Choi Jae Min</t>
  </si>
  <si>
    <t>30/05/24 12:30</t>
  </si>
  <si>
    <t>30/05/24 12:51</t>
  </si>
  <si>
    <t>51</t>
  </si>
  <si>
    <t>Ivy Van</t>
  </si>
  <si>
    <t>27/05/24 15:12</t>
  </si>
  <si>
    <t>30/05/24 13:51</t>
  </si>
  <si>
    <t>0934 611 494</t>
  </si>
  <si>
    <t>48</t>
  </si>
  <si>
    <t>Hứa Bích Trân</t>
  </si>
  <si>
    <t>30/05/24 14:46</t>
  </si>
  <si>
    <t>31/05/24 08:53</t>
  </si>
  <si>
    <t>53</t>
  </si>
  <si>
    <t>Nguyễn Xuân Hải</t>
  </si>
  <si>
    <t>28/05/24 18:23</t>
  </si>
  <si>
    <t>31/05/24 08:55</t>
  </si>
  <si>
    <t>0948653477</t>
  </si>
  <si>
    <t>52</t>
  </si>
  <si>
    <t>chị Mão - anh Cảnh</t>
  </si>
  <si>
    <t>30/05/24 21:45</t>
  </si>
  <si>
    <t>31/05/24 09:11</t>
  </si>
  <si>
    <t>0845302686</t>
  </si>
  <si>
    <t>58</t>
  </si>
  <si>
    <t>Guest</t>
  </si>
  <si>
    <t>59</t>
  </si>
  <si>
    <t>20</t>
  </si>
  <si>
    <t>Kevin Smith</t>
  </si>
  <si>
    <t>26/05/24 11:12</t>
  </si>
  <si>
    <t>31/05/24 11:00</t>
  </si>
  <si>
    <t>MB-PNL</t>
  </si>
  <si>
    <t>3</t>
  </si>
  <si>
    <t>신 민석</t>
  </si>
  <si>
    <t>29/05/24 14:39</t>
  </si>
  <si>
    <t>01/06/24 12:00</t>
  </si>
  <si>
    <t>821026641117</t>
  </si>
  <si>
    <t>HMDKWHSKAM_LDCB1F</t>
  </si>
  <si>
    <t>54</t>
  </si>
  <si>
    <t>SUGIYAMA KOICHI</t>
  </si>
  <si>
    <t>31/05/24 13:51</t>
  </si>
  <si>
    <t>01/06/24 12:07</t>
  </si>
  <si>
    <t>442039293737</t>
  </si>
  <si>
    <t>8l7mf2ygge@m.expediapartnercentral.com</t>
  </si>
  <si>
    <t>OTA</t>
  </si>
  <si>
    <t>61</t>
  </si>
  <si>
    <t>246444810_LDCB1F</t>
  </si>
  <si>
    <t>44</t>
  </si>
  <si>
    <t>Tran Quynh Quynh</t>
  </si>
  <si>
    <t>30/05/24 21:46</t>
  </si>
  <si>
    <t>01/06/24 13:26</t>
  </si>
  <si>
    <t>0966157774</t>
  </si>
  <si>
    <t>47</t>
  </si>
  <si>
    <t>Nguyễn Anh Dũng</t>
  </si>
  <si>
    <t>31/05/24 13:30</t>
  </si>
  <si>
    <t>02/06/24 08:06</t>
  </si>
  <si>
    <t>A26hotel.btx@gmail.com</t>
  </si>
  <si>
    <t>khách Hàn Quốc</t>
  </si>
  <si>
    <t>01/06/24 12:25</t>
  </si>
  <si>
    <t>65</t>
  </si>
  <si>
    <t>57</t>
  </si>
  <si>
    <t>Thu Hương</t>
  </si>
  <si>
    <t>31/05/24 13:21</t>
  </si>
  <si>
    <t>02/06/24 10:06</t>
  </si>
  <si>
    <t>0934585256</t>
  </si>
  <si>
    <t>64</t>
  </si>
  <si>
    <t>56</t>
  </si>
  <si>
    <t>02/06/24 10:07</t>
  </si>
  <si>
    <t>gx10qybs5y@m.expediapartnercentral.com</t>
  </si>
  <si>
    <t>63</t>
  </si>
  <si>
    <t>246831736_LDCB1F</t>
  </si>
  <si>
    <t>Hiếu Minh</t>
  </si>
  <si>
    <t>01/06/24 14:56</t>
  </si>
  <si>
    <t>02/06/24 11:00</t>
  </si>
  <si>
    <t>0772685784</t>
  </si>
  <si>
    <t>66</t>
  </si>
  <si>
    <t>50</t>
  </si>
  <si>
    <t>Lê Nguyễn Phương Anh</t>
  </si>
  <si>
    <t>31/05/24 15:36</t>
  </si>
  <si>
    <t>0978106251</t>
  </si>
  <si>
    <t>55</t>
  </si>
  <si>
    <t xml:space="preserve"> Trần Minh Hoàng</t>
  </si>
  <si>
    <t>01/06/24 14:07</t>
  </si>
  <si>
    <t>02/06/24 11:01</t>
  </si>
  <si>
    <t>+84327151474</t>
  </si>
  <si>
    <t>tranmh1997@gmail.com</t>
  </si>
  <si>
    <t>41</t>
  </si>
  <si>
    <t>12584485837</t>
  </si>
  <si>
    <t>Đường Huy</t>
  </si>
  <si>
    <t>01/06/24 16:48</t>
  </si>
  <si>
    <t>02/06/24 13:17</t>
  </si>
  <si>
    <t>+84398864949</t>
  </si>
  <si>
    <t>huyphucpu@gmail.com</t>
  </si>
  <si>
    <t>49875093153</t>
  </si>
  <si>
    <t>Trần Nhung</t>
  </si>
  <si>
    <t>02/06/24 11:51</t>
  </si>
  <si>
    <t>02/06/24 14:56</t>
  </si>
  <si>
    <t>0909551027</t>
  </si>
  <si>
    <t>71</t>
  </si>
  <si>
    <t>Anh Nguyen</t>
  </si>
  <si>
    <t>02/06/24 17:58</t>
  </si>
  <si>
    <t>02/06/24 21:11</t>
  </si>
  <si>
    <t>0395221760</t>
  </si>
  <si>
    <t>73</t>
  </si>
  <si>
    <t>Tấn Phúc</t>
  </si>
  <si>
    <t>02/06/24 17:27</t>
  </si>
  <si>
    <t>03/06/24 11:00</t>
  </si>
  <si>
    <t>0902542119</t>
  </si>
  <si>
    <t>72</t>
  </si>
  <si>
    <t>Brauer Emely</t>
  </si>
  <si>
    <t>02/06/24 09:46</t>
  </si>
  <si>
    <t>491772270967</t>
  </si>
  <si>
    <t>70</t>
  </si>
  <si>
    <t>HMSFZPR3TH_LDCB1F</t>
  </si>
  <si>
    <t>Nguyên Hải</t>
  </si>
  <si>
    <t>03/06/24 13:08</t>
  </si>
  <si>
    <t>03/06/24 17:00</t>
  </si>
  <si>
    <t>0932720793</t>
  </si>
  <si>
    <t>77</t>
  </si>
  <si>
    <t>04/06/24 09:54</t>
  </si>
  <si>
    <t>05/06/24 11:00</t>
  </si>
  <si>
    <t>Nguyễn Thanh Hiền</t>
  </si>
  <si>
    <t>49</t>
  </si>
  <si>
    <t>75</t>
  </si>
  <si>
    <t>04/06/24 16:32</t>
  </si>
  <si>
    <t>83</t>
  </si>
  <si>
    <t>79</t>
  </si>
  <si>
    <t>Trần Đức Huy</t>
  </si>
  <si>
    <t>05/06/24 01:23</t>
  </si>
  <si>
    <t>05/06/24 14:33</t>
  </si>
  <si>
    <t>88</t>
  </si>
  <si>
    <t>Brian Lam</t>
  </si>
  <si>
    <t>04/06/24 20:01</t>
  </si>
  <si>
    <t>05/06/24 14:59</t>
  </si>
  <si>
    <t>0917791794</t>
  </si>
  <si>
    <t>86</t>
  </si>
  <si>
    <t>Nguyễn Thị Ngọc Trâm</t>
  </si>
  <si>
    <t>04/06/24 16:33</t>
  </si>
  <si>
    <t>06/06/24 09:28</t>
  </si>
  <si>
    <t>0898071063</t>
  </si>
  <si>
    <t>321505748</t>
  </si>
  <si>
    <t>84</t>
  </si>
  <si>
    <t>Lê Thuỳ Dương</t>
  </si>
  <si>
    <t>06/06/24 00:37</t>
  </si>
  <si>
    <t>06/06/24 11:00</t>
  </si>
  <si>
    <t>93</t>
  </si>
  <si>
    <t>60</t>
  </si>
  <si>
    <t>NEGRI Julien</t>
  </si>
  <si>
    <t>02/06/24 11:26</t>
  </si>
  <si>
    <t>06/06/24 11:04</t>
  </si>
  <si>
    <t>+33 6 11 80 97 83</t>
  </si>
  <si>
    <t>jnegri.116685@guest.booking.com</t>
  </si>
  <si>
    <t>67</t>
  </si>
  <si>
    <t>4770475850_LDCB1F</t>
  </si>
  <si>
    <t>89</t>
  </si>
  <si>
    <t>Qui</t>
  </si>
  <si>
    <t>06/06/24 21:56</t>
  </si>
  <si>
    <t>07/06/24 09:32</t>
  </si>
  <si>
    <t>0869222364</t>
  </si>
  <si>
    <t>99</t>
  </si>
  <si>
    <t>Minh Quân</t>
  </si>
  <si>
    <t>07/06/24 00:03</t>
  </si>
  <si>
    <t>07/06/24 09:33</t>
  </si>
  <si>
    <t>0776306800</t>
  </si>
  <si>
    <t>104</t>
  </si>
  <si>
    <t>69</t>
  </si>
  <si>
    <t>Ngọc Uyên</t>
  </si>
  <si>
    <t>06/06/24 17:43</t>
  </si>
  <si>
    <t>07/06/24 09:35</t>
  </si>
  <si>
    <t>0899968619</t>
  </si>
  <si>
    <t>76</t>
  </si>
  <si>
    <t>04/06/24 13:08</t>
  </si>
  <si>
    <t>07/06/24 11:00</t>
  </si>
  <si>
    <t>78</t>
  </si>
  <si>
    <t>Trieu Le</t>
  </si>
  <si>
    <t>Berge Tommy</t>
  </si>
  <si>
    <t>06/06/24 16:51</t>
  </si>
  <si>
    <t>84 0800092944</t>
  </si>
  <si>
    <t>96</t>
  </si>
  <si>
    <t>1291209829_LDCB1F</t>
  </si>
  <si>
    <t>92</t>
  </si>
  <si>
    <t>Trong Hieu</t>
  </si>
  <si>
    <t>06/06/24 23:38</t>
  </si>
  <si>
    <t>0933906103</t>
  </si>
  <si>
    <t>103</t>
  </si>
  <si>
    <t>82</t>
  </si>
  <si>
    <t>Trần Quỳnh Như</t>
  </si>
  <si>
    <t>06/06/24 16:34</t>
  </si>
  <si>
    <t>07/06/24 15:38</t>
  </si>
  <si>
    <t>05564381973</t>
  </si>
  <si>
    <t>+84858802412</t>
  </si>
  <si>
    <t>qt17876@gmail.com</t>
  </si>
  <si>
    <t>091304003593</t>
  </si>
  <si>
    <t>91</t>
  </si>
  <si>
    <t>97</t>
  </si>
  <si>
    <t>07/06/24 15:42</t>
  </si>
  <si>
    <t>08/06/24 08:25</t>
  </si>
  <si>
    <t>109</t>
  </si>
  <si>
    <t>87</t>
  </si>
  <si>
    <t>Hà Thị Thu Hiền</t>
  </si>
  <si>
    <t>06/06/24 13:04</t>
  </si>
  <si>
    <t>08/06/24 08:26</t>
  </si>
  <si>
    <t>0964961998</t>
  </si>
  <si>
    <t>94</t>
  </si>
  <si>
    <t>07/06/24 14:31</t>
  </si>
  <si>
    <t>08/06/24 11:00</t>
  </si>
  <si>
    <t>105</t>
  </si>
  <si>
    <t>1258437480_LDCB1F</t>
  </si>
  <si>
    <t>80</t>
  </si>
  <si>
    <t>06/06/24 14:42</t>
  </si>
  <si>
    <t>08/06/24 13:02</t>
  </si>
  <si>
    <t>HMMSBWZHH5_LDCB1F</t>
  </si>
  <si>
    <t>203</t>
  </si>
  <si>
    <t>Nguyễn Lan Anh</t>
  </si>
  <si>
    <t>08/06/24 13:08</t>
  </si>
  <si>
    <t>08/06/24 15:07</t>
  </si>
  <si>
    <t>116</t>
  </si>
  <si>
    <t>Trần Văn Chính</t>
  </si>
  <si>
    <t>08/06/24 14:57</t>
  </si>
  <si>
    <t>08/06/24 17:00</t>
  </si>
  <si>
    <t>119</t>
  </si>
  <si>
    <t>Phan Vỹ</t>
  </si>
  <si>
    <t>08/06/24 11:45</t>
  </si>
  <si>
    <t>09/06/24 08:15</t>
  </si>
  <si>
    <t>0868340906</t>
  </si>
  <si>
    <t>115</t>
  </si>
  <si>
    <t>09/06/24 08:17</t>
  </si>
  <si>
    <t>113</t>
  </si>
  <si>
    <t>Lê Gia Khánh</t>
  </si>
  <si>
    <t>08/06/24 12:32</t>
  </si>
  <si>
    <t>09/06/24 08:43</t>
  </si>
  <si>
    <t>0849457828</t>
  </si>
  <si>
    <t>108</t>
  </si>
  <si>
    <t>Nguyễn Tấn Huy Anh</t>
  </si>
  <si>
    <t>08/06/24 12:33</t>
  </si>
  <si>
    <t>09/06/24 10:50</t>
  </si>
  <si>
    <t>0977305193</t>
  </si>
  <si>
    <t>117</t>
  </si>
  <si>
    <t>107</t>
  </si>
  <si>
    <t>Nguyễn Phùng Duy Anh</t>
  </si>
  <si>
    <t>09/06/24 11:42</t>
  </si>
  <si>
    <t>09/06/24 14:41</t>
  </si>
  <si>
    <t>0778954648</t>
  </si>
  <si>
    <t>093098000014</t>
  </si>
  <si>
    <t>123</t>
  </si>
  <si>
    <t>74</t>
  </si>
  <si>
    <t>_bnleh</t>
  </si>
  <si>
    <t>08/06/24 14:37</t>
  </si>
  <si>
    <t>09/06/24 14:57</t>
  </si>
  <si>
    <t>0967670374</t>
  </si>
  <si>
    <t>Thanh Thúy</t>
  </si>
  <si>
    <t>09/06/24 21:10</t>
  </si>
  <si>
    <t>09/06/24 21:11</t>
  </si>
  <si>
    <t>111</t>
  </si>
  <si>
    <t>Mai Văn Nguyên</t>
  </si>
  <si>
    <t>09/06/24 21:43</t>
  </si>
  <si>
    <t>10/06/24 08:17</t>
  </si>
  <si>
    <t>0974910889</t>
  </si>
  <si>
    <t>129</t>
  </si>
  <si>
    <t>100</t>
  </si>
  <si>
    <t>chị Trang founder</t>
  </si>
  <si>
    <t>07/06/24 22:32</t>
  </si>
  <si>
    <t>10/06/24 08:36</t>
  </si>
  <si>
    <t>0904490031</t>
  </si>
  <si>
    <t>114</t>
  </si>
  <si>
    <t>Mio</t>
  </si>
  <si>
    <t>09/06/24 14:21</t>
  </si>
  <si>
    <t>10/06/24 10:01</t>
  </si>
  <si>
    <t>0967215343</t>
  </si>
  <si>
    <t>85</t>
  </si>
  <si>
    <t>Hồ Văn Cường</t>
  </si>
  <si>
    <t>09/06/24 18:33</t>
  </si>
  <si>
    <t>10/06/24 11:00</t>
  </si>
  <si>
    <t>0587623098</t>
  </si>
  <si>
    <t>127</t>
  </si>
  <si>
    <t>한 홍수</t>
  </si>
  <si>
    <t>10/06/24 14:08</t>
  </si>
  <si>
    <t>11/06/24 08:28</t>
  </si>
  <si>
    <t>821034397777</t>
  </si>
  <si>
    <t>131</t>
  </si>
  <si>
    <t>HMW8NJJ3AR_LDCB1F</t>
  </si>
  <si>
    <t>90</t>
  </si>
  <si>
    <t>Thanh Mai Nguyen</t>
  </si>
  <si>
    <t>09/06/24 08:16</t>
  </si>
  <si>
    <t>0936259514</t>
  </si>
  <si>
    <t>Adamos Costas</t>
  </si>
  <si>
    <t>95</t>
  </si>
  <si>
    <t>Cao Tiến Hùng</t>
  </si>
  <si>
    <t>10/06/24 21:15</t>
  </si>
  <si>
    <t>11/06/24 08:29</t>
  </si>
  <si>
    <t>135</t>
  </si>
  <si>
    <t>Ngân Kim</t>
  </si>
  <si>
    <t>11/06/24 09:51</t>
  </si>
  <si>
    <t>0978969605</t>
  </si>
  <si>
    <t>Thanhh Hương</t>
  </si>
  <si>
    <t>11/06/24 15:49</t>
  </si>
  <si>
    <t>11/06/24 21:00</t>
  </si>
  <si>
    <t>0859710047</t>
  </si>
  <si>
    <t>133</t>
  </si>
  <si>
    <t>10/06/24 14:57</t>
  </si>
  <si>
    <t>12/06/24 11:00</t>
  </si>
  <si>
    <t>106</t>
  </si>
  <si>
    <t>Lý Huệ</t>
  </si>
  <si>
    <t>09/06/24 14:20</t>
  </si>
  <si>
    <t>124</t>
  </si>
  <si>
    <t>703</t>
  </si>
  <si>
    <t>125</t>
  </si>
  <si>
    <t>126</t>
  </si>
  <si>
    <t>11/06/24 14:03</t>
  </si>
  <si>
    <t>141</t>
  </si>
  <si>
    <t>142</t>
  </si>
  <si>
    <t>143</t>
  </si>
  <si>
    <t xml:space="preserve"> Aruto Mikawa</t>
  </si>
  <si>
    <t>12/06/24 12:29</t>
  </si>
  <si>
    <t>+819046647643</t>
  </si>
  <si>
    <t>aruaruyokuaru@gmail.com</t>
  </si>
  <si>
    <t>TT2664740</t>
  </si>
  <si>
    <t>132</t>
  </si>
  <si>
    <t>00445269411</t>
  </si>
  <si>
    <t>130</t>
  </si>
  <si>
    <t>nguyễn bá vương</t>
  </si>
  <si>
    <t>12/06/24 15:43</t>
  </si>
  <si>
    <t>12/06/24 17:20</t>
  </si>
  <si>
    <t>151</t>
  </si>
  <si>
    <t>81</t>
  </si>
  <si>
    <t>Chau Benny</t>
  </si>
  <si>
    <t>12/06/24 12:30</t>
  </si>
  <si>
    <t>13/06/24 08:58</t>
  </si>
  <si>
    <t>85296555699</t>
  </si>
  <si>
    <t>HMDJ9C2EJB_LDCB1F</t>
  </si>
  <si>
    <t>Mikawa Aruto</t>
  </si>
  <si>
    <t>13/06/24 11:00</t>
  </si>
  <si>
    <t>81 81 09046647643</t>
  </si>
  <si>
    <t>146</t>
  </si>
  <si>
    <t>1263166416_LDCB1F</t>
  </si>
  <si>
    <t>Foster</t>
  </si>
  <si>
    <t>12/06/24 14:38</t>
  </si>
  <si>
    <t>150</t>
  </si>
  <si>
    <t>Nguyễn Mạnh Phước</t>
  </si>
  <si>
    <t>12/06/24 16:04</t>
  </si>
  <si>
    <t>13/06/24 11:53</t>
  </si>
  <si>
    <t>0935082400</t>
  </si>
  <si>
    <t>144</t>
  </si>
  <si>
    <t>Thái Văn Cường</t>
  </si>
  <si>
    <t>13/06/24 15:58</t>
  </si>
  <si>
    <t>13/06/24 17:58</t>
  </si>
  <si>
    <t>161</t>
  </si>
  <si>
    <t>Lâm Mỹ Nhi</t>
  </si>
  <si>
    <t>13/06/24 14:58</t>
  </si>
  <si>
    <t>14/06/24 08:41</t>
  </si>
  <si>
    <t>0375056444</t>
  </si>
  <si>
    <t>68</t>
  </si>
  <si>
    <t>122</t>
  </si>
  <si>
    <t>11/06/24 09:48</t>
  </si>
  <si>
    <t>14/06/24 08:42</t>
  </si>
  <si>
    <t>140</t>
  </si>
  <si>
    <t>136</t>
  </si>
  <si>
    <t>Đăng Linh</t>
  </si>
  <si>
    <t>13/06/24 15:53</t>
  </si>
  <si>
    <t>14/06/24 11:00</t>
  </si>
  <si>
    <t>162</t>
  </si>
  <si>
    <t>137</t>
  </si>
  <si>
    <t>Lê Ngọc Minh</t>
  </si>
  <si>
    <t>13/06/24 16:05</t>
  </si>
  <si>
    <t>163</t>
  </si>
  <si>
    <t>164</t>
  </si>
  <si>
    <t>13/06/24 11:42</t>
  </si>
  <si>
    <t>14/06/24 11:21</t>
  </si>
  <si>
    <t>156</t>
  </si>
  <si>
    <t>1264246916_LDCB1F</t>
  </si>
  <si>
    <t>Như Tiên</t>
  </si>
  <si>
    <t>12/06/24 14:52</t>
  </si>
  <si>
    <t>15/06/24 09:18</t>
  </si>
  <si>
    <t>84 0369635638</t>
  </si>
  <si>
    <t>147</t>
  </si>
  <si>
    <t>1263564836_LDCB1F</t>
  </si>
  <si>
    <t>134</t>
  </si>
  <si>
    <t>Đăng thi hồng</t>
  </si>
  <si>
    <t>13/06/24 17:03</t>
  </si>
  <si>
    <t>15/06/24 11:00</t>
  </si>
  <si>
    <t>0869 102 319</t>
  </si>
  <si>
    <t>157</t>
  </si>
  <si>
    <t>158</t>
  </si>
  <si>
    <t>159</t>
  </si>
  <si>
    <t>160</t>
  </si>
  <si>
    <t>120</t>
  </si>
  <si>
    <t>Tuấn Anh Nguyễn</t>
  </si>
  <si>
    <t>14/06/24 12:53</t>
  </si>
  <si>
    <t>16/06/24 10:21</t>
  </si>
  <si>
    <t>0977355094</t>
  </si>
  <si>
    <t>138</t>
  </si>
  <si>
    <t>1262382800_LDCB1F</t>
  </si>
  <si>
    <t>Huyền Phương</t>
  </si>
  <si>
    <t>15/06/24 15:01</t>
  </si>
  <si>
    <t>16/06/24 10:22</t>
  </si>
  <si>
    <t>0938900810</t>
  </si>
  <si>
    <t>167</t>
  </si>
  <si>
    <t>Lữ Ngân</t>
  </si>
  <si>
    <t>15/06/24 13:07</t>
  </si>
  <si>
    <t>16/06/24 10:23</t>
  </si>
  <si>
    <t>0855868086</t>
  </si>
  <si>
    <t>169</t>
  </si>
  <si>
    <t>1265938496_LDCB1F</t>
  </si>
  <si>
    <t>16/06/24 10:39</t>
  </si>
  <si>
    <t>170</t>
  </si>
  <si>
    <t>1266476020_LDCB1F</t>
  </si>
  <si>
    <t>Tan Chảy</t>
  </si>
  <si>
    <t>14/06/24 20:48</t>
  </si>
  <si>
    <t>16/06/24 11:00</t>
  </si>
  <si>
    <t>166</t>
  </si>
  <si>
    <t>Tran L Chau</t>
  </si>
  <si>
    <t>16/06/24 13:50</t>
  </si>
  <si>
    <t>17/06/24 09:09</t>
  </si>
  <si>
    <t>0399756210</t>
  </si>
  <si>
    <t>176</t>
  </si>
  <si>
    <t>Taylor Robert</t>
  </si>
  <si>
    <t>17/06/24 09:11</t>
  </si>
  <si>
    <t>66800075540</t>
  </si>
  <si>
    <t>HM8NAMHRJD_LDCB1F</t>
  </si>
  <si>
    <t>Đinh Thị Mỹ Thanh</t>
  </si>
  <si>
    <t>14/06/24 15:30</t>
  </si>
  <si>
    <t>0373189378</t>
  </si>
  <si>
    <t>168</t>
  </si>
  <si>
    <t>Bowker Stewart</t>
  </si>
  <si>
    <t>16/06/24 17:21</t>
  </si>
  <si>
    <t>17/06/24 10:04</t>
  </si>
  <si>
    <t>155</t>
  </si>
  <si>
    <t>1297363145_LDCB1F</t>
  </si>
  <si>
    <t>121</t>
  </si>
  <si>
    <t>14/06/24 12:52</t>
  </si>
  <si>
    <t>17/06/24 11:00</t>
  </si>
  <si>
    <t>139</t>
  </si>
  <si>
    <t>1262385872_LDCB1F</t>
  </si>
  <si>
    <t>15/06/24 23:25</t>
  </si>
  <si>
    <t>171</t>
  </si>
  <si>
    <t>145</t>
  </si>
  <si>
    <t>Đoàn Quang Huy</t>
  </si>
  <si>
    <t>15/06/24 14:53</t>
  </si>
  <si>
    <t>0986666969</t>
  </si>
  <si>
    <t>173</t>
  </si>
  <si>
    <t>Zalo Trúc</t>
  </si>
  <si>
    <t>17/06/24 11:10</t>
  </si>
  <si>
    <t>17/06/24 12:00</t>
  </si>
  <si>
    <t>179</t>
  </si>
  <si>
    <t>Trúc</t>
  </si>
  <si>
    <t>17/06/24 14:55</t>
  </si>
  <si>
    <t>172</t>
  </si>
  <si>
    <t>Trịnh Bảo Anh</t>
  </si>
  <si>
    <t>17/06/24 12:09</t>
  </si>
  <si>
    <t>18/06/24 08:58</t>
  </si>
  <si>
    <t>056096013737</t>
  </si>
  <si>
    <t>175</t>
  </si>
  <si>
    <t>0931807931</t>
  </si>
  <si>
    <t>174</t>
  </si>
  <si>
    <t>18/06/24 11:00</t>
  </si>
  <si>
    <t>165</t>
  </si>
  <si>
    <t>128</t>
  </si>
  <si>
    <t>Pham Kim Tien</t>
  </si>
  <si>
    <t>13/06/24 23:07</t>
  </si>
  <si>
    <t>18/06/24 16:00</t>
  </si>
  <si>
    <t>+6584687049</t>
  </si>
  <si>
    <t>N2415321</t>
  </si>
  <si>
    <t>148</t>
  </si>
  <si>
    <t>Ong Sheng Yao</t>
  </si>
  <si>
    <t>K4022307D</t>
  </si>
  <si>
    <t>149</t>
  </si>
  <si>
    <t>Lê Minh Quân</t>
  </si>
  <si>
    <t>18/06/24 07:44</t>
  </si>
  <si>
    <t>18/06/24 18:00</t>
  </si>
  <si>
    <t>184</t>
  </si>
  <si>
    <t>HOÀNG THU HÀNG</t>
  </si>
  <si>
    <t>18/06/24 18:19</t>
  </si>
  <si>
    <t>18/06/24 22:20</t>
  </si>
  <si>
    <t>0908866377</t>
  </si>
  <si>
    <t>001195036172</t>
  </si>
  <si>
    <t>185</t>
  </si>
  <si>
    <t>Trúc Nhân</t>
  </si>
  <si>
    <t>19/06/24 01:13</t>
  </si>
  <si>
    <t>19/06/24 11:00</t>
  </si>
  <si>
    <t>186</t>
  </si>
  <si>
    <t>152</t>
  </si>
  <si>
    <t>Mah See Cheong</t>
  </si>
  <si>
    <t>17/06/24 17:37</t>
  </si>
  <si>
    <t>19/06/24 11:03</t>
  </si>
  <si>
    <t>65 91865160</t>
  </si>
  <si>
    <t>K3519097D</t>
  </si>
  <si>
    <t>181</t>
  </si>
  <si>
    <t>1301317637_LDCB1F</t>
  </si>
  <si>
    <t>Nguyen Ba Hoi</t>
  </si>
  <si>
    <t>19/06/24 23:32</t>
  </si>
  <si>
    <t>20/06/24 10:09</t>
  </si>
  <si>
    <t>0906490070</t>
  </si>
  <si>
    <t>191</t>
  </si>
  <si>
    <t>Đặng Thị Trúc Ly</t>
  </si>
  <si>
    <t>17/06/24 11:33</t>
  </si>
  <si>
    <t>20/06/24 11:45</t>
  </si>
  <si>
    <t>052170013831</t>
  </si>
  <si>
    <t>99541446132</t>
  </si>
  <si>
    <t>Ban Vinh Tin</t>
  </si>
  <si>
    <t>+84983855583</t>
  </si>
  <si>
    <t>Nhanban0206@gmail.com</t>
  </si>
  <si>
    <t>C2758400</t>
  </si>
  <si>
    <t>052190014159</t>
  </si>
  <si>
    <t>Thanh Bình</t>
  </si>
  <si>
    <t>19/06/24 14:32</t>
  </si>
  <si>
    <t>21/06/24 08:14</t>
  </si>
  <si>
    <t>0905076333</t>
  </si>
  <si>
    <t>189</t>
  </si>
  <si>
    <t>Lingard Gregory James</t>
  </si>
  <si>
    <t>20/06/24 22:29</t>
  </si>
  <si>
    <t>21/06/24 10:34</t>
  </si>
  <si>
    <t>RA1477869</t>
  </si>
  <si>
    <t>193</t>
  </si>
  <si>
    <t>1303984273_LDCB1F</t>
  </si>
  <si>
    <t>200</t>
  </si>
  <si>
    <t>Nguyễn Xuân Cường</t>
  </si>
  <si>
    <t>20/06/24 16:38</t>
  </si>
  <si>
    <t>21/06/24 11:00</t>
  </si>
  <si>
    <t>0978287588</t>
  </si>
  <si>
    <t>197</t>
  </si>
  <si>
    <t>Pham Huynh</t>
  </si>
  <si>
    <t>20/06/24 20:15</t>
  </si>
  <si>
    <t>21/06/24 11:27</t>
  </si>
  <si>
    <t>+84 943728686</t>
  </si>
  <si>
    <t>hpham.300830@guest.booking.com</t>
  </si>
  <si>
    <t>198</t>
  </si>
  <si>
    <t>4342916014_LDCB1F</t>
  </si>
  <si>
    <t>Bannister Lee</t>
  </si>
  <si>
    <t>19/06/24 22:56</t>
  </si>
  <si>
    <t>21/06/24 11:38</t>
  </si>
  <si>
    <t>447896270609,66643276650</t>
  </si>
  <si>
    <t>190</t>
  </si>
  <si>
    <t>HM3WZ24D9R_LDCB1F</t>
  </si>
  <si>
    <t>154</t>
  </si>
  <si>
    <t>Ta Thanh</t>
  </si>
  <si>
    <t>19/06/24 14:09</t>
  </si>
  <si>
    <t>21/06/24 12:01</t>
  </si>
  <si>
    <t>442036847925</t>
  </si>
  <si>
    <t>183</t>
  </si>
  <si>
    <t>443379659_LDCB1F</t>
  </si>
  <si>
    <t>Banister Lee</t>
  </si>
  <si>
    <t>21/06/24 11:39</t>
  </si>
  <si>
    <t>22/06/24 08:13</t>
  </si>
  <si>
    <t>20/06/24 15:52</t>
  </si>
  <si>
    <t>22/06/24 09:07</t>
  </si>
  <si>
    <t>188</t>
  </si>
  <si>
    <t>HMCFBBT24W_LDCB1F</t>
  </si>
  <si>
    <t>19/06/24 14:10</t>
  </si>
  <si>
    <t>22/06/24 11:00</t>
  </si>
  <si>
    <t>187</t>
  </si>
  <si>
    <t>NGUYỄN THỊ THANH LOÀN</t>
  </si>
  <si>
    <t>21/06/24 19:35</t>
  </si>
  <si>
    <t>22/06/24 14:51</t>
  </si>
  <si>
    <t>001179036091</t>
  </si>
  <si>
    <t>207</t>
  </si>
  <si>
    <t>SHINTANI YUMI</t>
  </si>
  <si>
    <t>22/06/24 15:08</t>
  </si>
  <si>
    <t>23/06/24 10:26</t>
  </si>
  <si>
    <t>180</t>
  </si>
  <si>
    <t>1267851996_LDCB1F</t>
  </si>
  <si>
    <t>118</t>
  </si>
  <si>
    <t>Phú Tấn</t>
  </si>
  <si>
    <t>21/06/24 15:41</t>
  </si>
  <si>
    <t>23/06/24 11:00</t>
  </si>
  <si>
    <t>0983947685</t>
  </si>
  <si>
    <t>HOSSAIN MOHAMMAD SAMIM</t>
  </si>
  <si>
    <t>21/06/24 18:56</t>
  </si>
  <si>
    <t>EH0134708</t>
  </si>
  <si>
    <t>206</t>
  </si>
  <si>
    <t>112</t>
  </si>
  <si>
    <t>P-C Olivier</t>
  </si>
  <si>
    <t>12/06/24 14:09</t>
  </si>
  <si>
    <t>23/06/24 11:09</t>
  </si>
  <si>
    <t>15148058923</t>
  </si>
  <si>
    <t>HM2XKTBMYM_LDCB1F</t>
  </si>
  <si>
    <t>Thu Hồng</t>
  </si>
  <si>
    <t>22/06/24 10:00</t>
  </si>
  <si>
    <t>24/06/24 09:02</t>
  </si>
  <si>
    <t>0905158209</t>
  </si>
  <si>
    <t>204</t>
  </si>
  <si>
    <t>182</t>
  </si>
  <si>
    <t>Lê Thị Xuân Nhi</t>
  </si>
  <si>
    <t>23/06/24 19:46</t>
  </si>
  <si>
    <t>84 0977420855</t>
  </si>
  <si>
    <t>089195017912</t>
  </si>
  <si>
    <t>213</t>
  </si>
  <si>
    <t>1306669665_LDCB1F</t>
  </si>
  <si>
    <t>Đặng Minh Hùng</t>
  </si>
  <si>
    <t>23/06/24 18:13</t>
  </si>
  <si>
    <t>0767227840</t>
  </si>
  <si>
    <t>079094030742</t>
  </si>
  <si>
    <t>216</t>
  </si>
  <si>
    <t>177</t>
  </si>
  <si>
    <t>NGUYỄN THỊ THU TRANG</t>
  </si>
  <si>
    <t>21/06/24 21:35</t>
  </si>
  <si>
    <t>24/06/24 10:46</t>
  </si>
  <si>
    <t>079189022405</t>
  </si>
  <si>
    <t>208</t>
  </si>
  <si>
    <t>Lưu Thúy Ngân</t>
  </si>
  <si>
    <t>23/06/24 23:08</t>
  </si>
  <si>
    <t>24/06/24 11:00</t>
  </si>
  <si>
    <t>+84772385930</t>
  </si>
  <si>
    <t>nganluu98@gmail.com</t>
  </si>
  <si>
    <t>031198007628</t>
  </si>
  <si>
    <t>91314187309</t>
  </si>
  <si>
    <t>Trần Quang Đại</t>
  </si>
  <si>
    <t>031096011751</t>
  </si>
  <si>
    <t>Trần Minh Điện</t>
  </si>
  <si>
    <t>25/06/24 01:57</t>
  </si>
  <si>
    <t>25/06/24 09:08</t>
  </si>
  <si>
    <t>221</t>
  </si>
  <si>
    <t>Khách Việt Kiều</t>
  </si>
  <si>
    <t>23/06/24 15:30</t>
  </si>
  <si>
    <t>25/06/24 11:00</t>
  </si>
  <si>
    <t>214</t>
  </si>
  <si>
    <t>215</t>
  </si>
  <si>
    <t>Khách đi chung 302</t>
  </si>
  <si>
    <t>25/06/24 07:09</t>
  </si>
  <si>
    <t>222</t>
  </si>
  <si>
    <t>195</t>
  </si>
  <si>
    <t>Antony</t>
  </si>
  <si>
    <t>25/06/24 21:31</t>
  </si>
  <si>
    <t>25/06/24 23:01</t>
  </si>
  <si>
    <t>230</t>
  </si>
  <si>
    <t>NGUYEN XUAN LOC</t>
  </si>
  <si>
    <t>24/06/24 12:53</t>
  </si>
  <si>
    <t>26/06/24 10:41</t>
  </si>
  <si>
    <t>+6590095991</t>
  </si>
  <si>
    <t>K3466706R</t>
  </si>
  <si>
    <t>110</t>
  </si>
  <si>
    <t>Jui Juan See</t>
  </si>
  <si>
    <t>22/06/24 16:16</t>
  </si>
  <si>
    <t>26/06/24 11:09</t>
  </si>
  <si>
    <t>1294485261_LDCB1F</t>
  </si>
  <si>
    <t>ĐỖ QUANG TIẾN</t>
  </si>
  <si>
    <t>24/06/24 13:57</t>
  </si>
  <si>
    <t>26/06/24 13:20</t>
  </si>
  <si>
    <t>+84907029810</t>
  </si>
  <si>
    <t>Quangtien3105@gmail.com</t>
  </si>
  <si>
    <t>083099011205</t>
  </si>
  <si>
    <t>212</t>
  </si>
  <si>
    <t>09228127783</t>
  </si>
  <si>
    <t>178</t>
  </si>
  <si>
    <t>Lê Phan Ngọc Ửng</t>
  </si>
  <si>
    <t>22/06/24 09:59</t>
  </si>
  <si>
    <t>27/06/24 09:06</t>
  </si>
  <si>
    <t>0935143639</t>
  </si>
  <si>
    <t>209</t>
  </si>
  <si>
    <t>192</t>
  </si>
  <si>
    <t>HOÀNG THỊ CẨM TÚ</t>
  </si>
  <si>
    <t>25/06/24 16:25</t>
  </si>
  <si>
    <t>27/06/24 09:07</t>
  </si>
  <si>
    <t>0988322553</t>
  </si>
  <si>
    <t>051196005504</t>
  </si>
  <si>
    <t>226</t>
  </si>
  <si>
    <t>TRẦN THỊ CẨM TÚ</t>
  </si>
  <si>
    <t>26/06/24 22:39</t>
  </si>
  <si>
    <t>27/06/24 10:54</t>
  </si>
  <si>
    <t>091191004538</t>
  </si>
  <si>
    <t>237</t>
  </si>
  <si>
    <t>Lim Teck Chye</t>
  </si>
  <si>
    <t>20/06/24 17:09</t>
  </si>
  <si>
    <t>27/06/24 11:00</t>
  </si>
  <si>
    <t>65 96564188</t>
  </si>
  <si>
    <t>K2482789N</t>
  </si>
  <si>
    <t>1300757825_LDCB1F</t>
  </si>
  <si>
    <t>BÙI THỊ KIM SINH</t>
  </si>
  <si>
    <t>27/06/24 14:15</t>
  </si>
  <si>
    <t>28/06/24 09:22</t>
  </si>
  <si>
    <t>+84 97 391 66 99</t>
  </si>
  <si>
    <t>drssjp.204503@guest.booking.com</t>
  </si>
  <si>
    <t>025185000342</t>
  </si>
  <si>
    <t>236</t>
  </si>
  <si>
    <t>4900904542_LDCB1F</t>
  </si>
  <si>
    <t>196</t>
  </si>
  <si>
    <t>NguyỄN Trung Anh</t>
  </si>
  <si>
    <t>26/06/24 14:01</t>
  </si>
  <si>
    <t>28/06/24 10:00</t>
  </si>
  <si>
    <t>84981556678</t>
  </si>
  <si>
    <t>231</t>
  </si>
  <si>
    <t>HMCMYZREF4_LDCB1F</t>
  </si>
  <si>
    <t>Đào Xuân Minh</t>
  </si>
  <si>
    <t>28/06/24 10:41</t>
  </si>
  <si>
    <t>0966130458</t>
  </si>
  <si>
    <t>217</t>
  </si>
  <si>
    <t>194</t>
  </si>
  <si>
    <t>Tâm</t>
  </si>
  <si>
    <t>25/06/24 18:02</t>
  </si>
  <si>
    <t>28/06/24 10:53</t>
  </si>
  <si>
    <t>229</t>
  </si>
  <si>
    <t>Dương Thị Tuyết Trinh</t>
  </si>
  <si>
    <t>27/06/24 18:18</t>
  </si>
  <si>
    <t>28/06/24 10:55</t>
  </si>
  <si>
    <t>0962433318</t>
  </si>
  <si>
    <t>001193046276</t>
  </si>
  <si>
    <t>228</t>
  </si>
  <si>
    <t>Phùng Tuấn Tú</t>
  </si>
  <si>
    <t>001088039378</t>
  </si>
  <si>
    <t>227</t>
  </si>
  <si>
    <t>TRƯƠNG THỊ NGỌC LAN</t>
  </si>
  <si>
    <t>27/06/24 14:22</t>
  </si>
  <si>
    <t>28/06/24 11:00</t>
  </si>
  <si>
    <t>0984015751</t>
  </si>
  <si>
    <t>077176001274</t>
  </si>
  <si>
    <t>233</t>
  </si>
  <si>
    <t>28/06/24 13:41</t>
  </si>
  <si>
    <t>29/06/24 08:58</t>
  </si>
  <si>
    <t>245</t>
  </si>
  <si>
    <t>28/06/24 19:17</t>
  </si>
  <si>
    <t>29/06/24 08:59</t>
  </si>
  <si>
    <t>246</t>
  </si>
  <si>
    <t>KAWASAKI DAISUKE</t>
  </si>
  <si>
    <t>29/06/24 11:00</t>
  </si>
  <si>
    <t>84 09091386998</t>
  </si>
  <si>
    <t>TR8462771</t>
  </si>
  <si>
    <t>239</t>
  </si>
  <si>
    <t>1278993916_LDCB1F</t>
  </si>
  <si>
    <t>210</t>
  </si>
  <si>
    <t>28/06/24 20:52</t>
  </si>
  <si>
    <t>247</t>
  </si>
  <si>
    <t>205</t>
  </si>
  <si>
    <t>Nguyễn Việt Hùng</t>
  </si>
  <si>
    <t>27/06/24 18:38</t>
  </si>
  <si>
    <t>30/06/24 09:49</t>
  </si>
  <si>
    <t>0904381899</t>
  </si>
  <si>
    <t>031091010954</t>
  </si>
  <si>
    <t>240</t>
  </si>
  <si>
    <t>ĐINH XUÂN THÀNH</t>
  </si>
  <si>
    <t>29/06/24 15:00</t>
  </si>
  <si>
    <t>042076022631</t>
  </si>
  <si>
    <t>253</t>
  </si>
  <si>
    <t>VŨ THANH DUNG</t>
  </si>
  <si>
    <t>29/06/24 14:20</t>
  </si>
  <si>
    <t>30/06/24 10:42</t>
  </si>
  <si>
    <t>0902343904</t>
  </si>
  <si>
    <t>001188009408</t>
  </si>
  <si>
    <t>249</t>
  </si>
  <si>
    <t>Trương Minh Nhựt</t>
  </si>
  <si>
    <t>29/06/24 05:22</t>
  </si>
  <si>
    <t>30/06/24 11:00</t>
  </si>
  <si>
    <t>0879690555</t>
  </si>
  <si>
    <t>068089007693</t>
  </si>
  <si>
    <t>238</t>
  </si>
  <si>
    <t>1278936880_LDCB1F</t>
  </si>
  <si>
    <t>153</t>
  </si>
  <si>
    <t>davies Isaac</t>
  </si>
  <si>
    <t>28/06/24 20:46</t>
  </si>
  <si>
    <t>+44 7712 200914</t>
  </si>
  <si>
    <t>idavie.904687@guest.booking.com</t>
  </si>
  <si>
    <t>243</t>
  </si>
  <si>
    <t>4331323223_LDCB1F</t>
  </si>
  <si>
    <t>211</t>
  </si>
  <si>
    <t>CAO THỊ MINH PHƯƠNG</t>
  </si>
  <si>
    <t>29/06/24 13:33</t>
  </si>
  <si>
    <t>0977292212</t>
  </si>
  <si>
    <t>072191004457</t>
  </si>
  <si>
    <t>248</t>
  </si>
  <si>
    <t>220</t>
  </si>
  <si>
    <t>Xuyên</t>
  </si>
  <si>
    <t>30/06/24 15:07</t>
  </si>
  <si>
    <t>01/07/24 08:31</t>
  </si>
  <si>
    <t>0904902275</t>
  </si>
  <si>
    <t>263</t>
  </si>
  <si>
    <t>ELLIS KRISHIA PAULINE</t>
  </si>
  <si>
    <t>29/06/24 15:18</t>
  </si>
  <si>
    <t>01/07/24 08:33</t>
  </si>
  <si>
    <t>639268983265</t>
  </si>
  <si>
    <t>P7949151B</t>
  </si>
  <si>
    <t>HMJEEE92HS_LDCB1F</t>
  </si>
  <si>
    <t>Thu Hang Le</t>
  </si>
  <si>
    <t>30/06/24 13:45</t>
  </si>
  <si>
    <t>01/07/24 09:31</t>
  </si>
  <si>
    <t>199</t>
  </si>
  <si>
    <t>218</t>
  </si>
  <si>
    <t>Son Jongjeong</t>
  </si>
  <si>
    <t>29/06/24 20:46</t>
  </si>
  <si>
    <t>01/07/24 11:00</t>
  </si>
  <si>
    <t>M116X0400</t>
  </si>
  <si>
    <t>256</t>
  </si>
  <si>
    <t>30/06/24 19:55</t>
  </si>
  <si>
    <t>264</t>
  </si>
  <si>
    <t>Gurmukh Arora</t>
  </si>
  <si>
    <t>30/06/24 14:23</t>
  </si>
  <si>
    <t>02/07/24 10:51</t>
  </si>
  <si>
    <t>250</t>
  </si>
  <si>
    <t>251</t>
  </si>
  <si>
    <t>225</t>
  </si>
  <si>
    <t>01/07/24 21:00</t>
  </si>
  <si>
    <t>02/07/24 11:00</t>
  </si>
  <si>
    <t>275</t>
  </si>
  <si>
    <t>Salman alrusayni</t>
  </si>
  <si>
    <t>29/06/24 21:08</t>
  </si>
  <si>
    <t>02/07/24 11:26</t>
  </si>
  <si>
    <t>+966591256666</t>
  </si>
  <si>
    <t>Salman-997@hotmail.com</t>
  </si>
  <si>
    <t>V324223</t>
  </si>
  <si>
    <t>252</t>
  </si>
  <si>
    <t>44659463087</t>
  </si>
  <si>
    <t>01/07/24 15:01</t>
  </si>
  <si>
    <t>03/07/24 08:50</t>
  </si>
  <si>
    <t>01/07/24 14:42</t>
  </si>
  <si>
    <t>03/07/24 10:29</t>
  </si>
  <si>
    <t>Yk Ho</t>
  </si>
  <si>
    <t>Lua Mui Joo</t>
  </si>
  <si>
    <t>29/06/24 19:19</t>
  </si>
  <si>
    <t>03/07/24 10:44</t>
  </si>
  <si>
    <t>K4061493G</t>
  </si>
  <si>
    <t>1296342421_LDCB1F</t>
  </si>
  <si>
    <t>02/07/24 21:15</t>
  </si>
  <si>
    <t>03/07/24 10:56</t>
  </si>
  <si>
    <t>280</t>
  </si>
  <si>
    <t>Chướng A Kiú</t>
  </si>
  <si>
    <t>26/06/24 15:54</t>
  </si>
  <si>
    <t>03/07/24 11:00</t>
  </si>
  <si>
    <t>0355502348</t>
  </si>
  <si>
    <t>234</t>
  </si>
  <si>
    <t>02/07/24 14:40</t>
  </si>
  <si>
    <t>03/07/24 11:06</t>
  </si>
  <si>
    <t>254</t>
  </si>
  <si>
    <t>HMT5MF48Z5_LDCB1F</t>
  </si>
  <si>
    <t>Trần Phước Hồng</t>
  </si>
  <si>
    <t>03/07/24 23:36</t>
  </si>
  <si>
    <t>04/07/24 08:42</t>
  </si>
  <si>
    <t>0905222236</t>
  </si>
  <si>
    <t>279</t>
  </si>
  <si>
    <t>04/07/24 11:00</t>
  </si>
  <si>
    <t>Nhi</t>
  </si>
  <si>
    <t>04/07/24 20:34</t>
  </si>
  <si>
    <t>05/07/24 08:25</t>
  </si>
  <si>
    <t>0367377370</t>
  </si>
  <si>
    <t>266</t>
  </si>
  <si>
    <t>Nguyễn Dự Huy</t>
  </si>
  <si>
    <t>04/07/24 22:55</t>
  </si>
  <si>
    <t>0378 786 941</t>
  </si>
  <si>
    <t>285</t>
  </si>
  <si>
    <t>223</t>
  </si>
  <si>
    <t>Lâm Thị Tý</t>
  </si>
  <si>
    <t>02/07/24 03:22</t>
  </si>
  <si>
    <t>05/07/24 11:00</t>
  </si>
  <si>
    <t>267</t>
  </si>
  <si>
    <t>Phạm Minh Tuấn</t>
  </si>
  <si>
    <t>04/07/24 03:00</t>
  </si>
  <si>
    <t>289</t>
  </si>
  <si>
    <t>Scott Adam</t>
  </si>
  <si>
    <t>22/06/24 22:57</t>
  </si>
  <si>
    <t>05/07/24 11:27</t>
  </si>
  <si>
    <t>444225695_LDCB1F</t>
  </si>
  <si>
    <t>đường</t>
  </si>
  <si>
    <t>05/07/24 12:33</t>
  </si>
  <si>
    <t>05/07/24 16:14</t>
  </si>
  <si>
    <t>296</t>
  </si>
  <si>
    <t>03/07/24 15:26</t>
  </si>
  <si>
    <t>06/07/24 08:30</t>
  </si>
  <si>
    <t>242</t>
  </si>
  <si>
    <t>Phạm Thị Bích Hà</t>
  </si>
  <si>
    <t>0987800062</t>
  </si>
  <si>
    <t>241</t>
  </si>
  <si>
    <t>Nguyễn Thị Kim Yến</t>
  </si>
  <si>
    <t>05/07/24 23:26</t>
  </si>
  <si>
    <t>06/07/24 09:43</t>
  </si>
  <si>
    <t>0373988200</t>
  </si>
  <si>
    <t>082300011635</t>
  </si>
  <si>
    <t>300</t>
  </si>
  <si>
    <t xml:space="preserve"> NGUYEN THI HONG LIEU</t>
  </si>
  <si>
    <t>04/07/24 15:44</t>
  </si>
  <si>
    <t>06/07/24 09:54</t>
  </si>
  <si>
    <t>+84905969608</t>
  </si>
  <si>
    <t>nguyenhonglieu192@gmail.com</t>
  </si>
  <si>
    <t>215193929</t>
  </si>
  <si>
    <t>281</t>
  </si>
  <si>
    <t>35144080773</t>
  </si>
  <si>
    <t xml:space="preserve"> Hiền</t>
  </si>
  <si>
    <t>05/07/24 16:32</t>
  </si>
  <si>
    <t>06/07/24 09:55</t>
  </si>
  <si>
    <t>+84965363510</t>
  </si>
  <si>
    <t>lehonghien255@gmail.com</t>
  </si>
  <si>
    <t>079302017539</t>
  </si>
  <si>
    <t>287</t>
  </si>
  <si>
    <t>13300773659</t>
  </si>
  <si>
    <t>Hồ Thanh Cường</t>
  </si>
  <si>
    <t>05/07/24 23:22</t>
  </si>
  <si>
    <t>06/07/24 10:39</t>
  </si>
  <si>
    <t>0915256825</t>
  </si>
  <si>
    <t>087088001468</t>
  </si>
  <si>
    <t>277</t>
  </si>
  <si>
    <t>702</t>
  </si>
  <si>
    <t xml:space="preserve"> Hoàng Nhật Quân</t>
  </si>
  <si>
    <t>06/07/24 02:07</t>
  </si>
  <si>
    <t>06/07/24 12:03</t>
  </si>
  <si>
    <t>+84332460792</t>
  </si>
  <si>
    <t>quan.hoang882002@gmail.com</t>
  </si>
  <si>
    <t>299</t>
  </si>
  <si>
    <t>89283296138</t>
  </si>
  <si>
    <t>06/07/24 15:36</t>
  </si>
  <si>
    <t>06/07/24 15:39</t>
  </si>
  <si>
    <t>Nguyễn Trạm</t>
  </si>
  <si>
    <t>06/07/24 12:24</t>
  </si>
  <si>
    <t>07/07/24 09:10</t>
  </si>
  <si>
    <t>0987777428</t>
  </si>
  <si>
    <t>Triệu Duy</t>
  </si>
  <si>
    <t>06/07/24 13:53</t>
  </si>
  <si>
    <t>07/07/24 09:57</t>
  </si>
  <si>
    <t>0933467725</t>
  </si>
  <si>
    <t>291</t>
  </si>
  <si>
    <t>244</t>
  </si>
  <si>
    <t>Sinaga Liyana Yasmin</t>
  </si>
  <si>
    <t>07/07/24 10:02</t>
  </si>
  <si>
    <t>60 60193383942</t>
  </si>
  <si>
    <t>295</t>
  </si>
  <si>
    <t>1317351789_LDCB1F</t>
  </si>
  <si>
    <t>Hoang Hien</t>
  </si>
  <si>
    <t>06/07/24 12:47</t>
  </si>
  <si>
    <t>07/07/24 10:32</t>
  </si>
  <si>
    <t>Quỳnh Mai</t>
  </si>
  <si>
    <t>07/07/24 10:56</t>
  </si>
  <si>
    <t>0938 818 552</t>
  </si>
  <si>
    <t>297</t>
  </si>
  <si>
    <t>255</t>
  </si>
  <si>
    <t>Phạm Nguyên Khánh Trình</t>
  </si>
  <si>
    <t>07/07/24 02:07</t>
  </si>
  <si>
    <t>07/07/24 11:00</t>
  </si>
  <si>
    <t>+84 797 206 833</t>
  </si>
  <si>
    <t>tpham.970046@guest.booking.com</t>
  </si>
  <si>
    <t>074095001989</t>
  </si>
  <si>
    <t>306</t>
  </si>
  <si>
    <t>4813482297_LDCB1F</t>
  </si>
  <si>
    <t>Trọng Đỗ</t>
  </si>
  <si>
    <t>05/07/24 13:39</t>
  </si>
  <si>
    <t>07/07/24 12:01</t>
  </si>
  <si>
    <t>292</t>
  </si>
  <si>
    <t>ĐỖ THÚY OANH</t>
  </si>
  <si>
    <t>25/06/24 15:08</t>
  </si>
  <si>
    <t>07/07/24 14:00</t>
  </si>
  <si>
    <t>079172028486</t>
  </si>
  <si>
    <t>219</t>
  </si>
  <si>
    <t>Được</t>
  </si>
  <si>
    <t>07/07/24 12:44</t>
  </si>
  <si>
    <t>07/07/24 16:44</t>
  </si>
  <si>
    <t>307</t>
  </si>
  <si>
    <t>04/07/24 10:07</t>
  </si>
  <si>
    <t>08/07/24 00:10</t>
  </si>
  <si>
    <t>290</t>
  </si>
  <si>
    <t>Trần Quốc Hưng</t>
  </si>
  <si>
    <t>05/07/24 22:18</t>
  </si>
  <si>
    <t>08/07/24 08:26</t>
  </si>
  <si>
    <t>0868892598</t>
  </si>
  <si>
    <t>036090015302</t>
  </si>
  <si>
    <t>288</t>
  </si>
  <si>
    <t>30/06/24 12:31</t>
  </si>
  <si>
    <t>08/07/24 08:34</t>
  </si>
  <si>
    <t>Trần Lê Nhất Linh</t>
  </si>
  <si>
    <t>07/07/24 15:15</t>
  </si>
  <si>
    <t>08/07/24 11:15</t>
  </si>
  <si>
    <t>+84769572075</t>
  </si>
  <si>
    <t>tlnhatlinh146@gmail.com</t>
  </si>
  <si>
    <t>304</t>
  </si>
  <si>
    <t>71058119969</t>
  </si>
  <si>
    <t>Fu Yu Tan</t>
  </si>
  <si>
    <t>05/07/24 16:16</t>
  </si>
  <si>
    <t>08/07/24 11:25</t>
  </si>
  <si>
    <t>65 87502462</t>
  </si>
  <si>
    <t>298</t>
  </si>
  <si>
    <t>1288367792_LDCB1F</t>
  </si>
  <si>
    <t>260</t>
  </si>
  <si>
    <t>08/07/24 12:45</t>
  </si>
  <si>
    <t>08/07/24 14:00</t>
  </si>
  <si>
    <t>312</t>
  </si>
  <si>
    <t>Nguyen Anh Hung</t>
  </si>
  <si>
    <t>07/07/24 14:09</t>
  </si>
  <si>
    <t>09/07/24 08:34</t>
  </si>
  <si>
    <t>0945671983</t>
  </si>
  <si>
    <t>305</t>
  </si>
  <si>
    <t>THE HUỲNH THANH LIÊM</t>
  </si>
  <si>
    <t>08/07/24 16:45</t>
  </si>
  <si>
    <t>079091037026</t>
  </si>
  <si>
    <t>316</t>
  </si>
  <si>
    <t>09/07/24 15:42</t>
  </si>
  <si>
    <t>09/07/24 15:55</t>
  </si>
  <si>
    <t>325</t>
  </si>
  <si>
    <t>262</t>
  </si>
  <si>
    <t>PHẠM THỊ ÁNH QUÝ</t>
  </si>
  <si>
    <t>08/07/24 16:27</t>
  </si>
  <si>
    <t>10/07/24 08:14</t>
  </si>
  <si>
    <t>0868131494</t>
  </si>
  <si>
    <t>056193011283</t>
  </si>
  <si>
    <t>315</t>
  </si>
  <si>
    <t>259</t>
  </si>
  <si>
    <t>08/07/24 15:12</t>
  </si>
  <si>
    <t>10/07/24 11:00</t>
  </si>
  <si>
    <t>310</t>
  </si>
  <si>
    <t>Phương Dung</t>
  </si>
  <si>
    <t>0362639231</t>
  </si>
  <si>
    <t>311</t>
  </si>
  <si>
    <t>271</t>
  </si>
  <si>
    <t>Đặng Thanh Tâm</t>
  </si>
  <si>
    <t>09/07/24 22:46</t>
  </si>
  <si>
    <t>083205012741</t>
  </si>
  <si>
    <t>333</t>
  </si>
  <si>
    <t>272</t>
  </si>
  <si>
    <t>trương phương uyên</t>
  </si>
  <si>
    <t>10/07/24 08:33</t>
  </si>
  <si>
    <t>10/07/24 12:35</t>
  </si>
  <si>
    <t>334</t>
  </si>
  <si>
    <t>258</t>
  </si>
  <si>
    <t>10/07/24 12:53</t>
  </si>
  <si>
    <t>309</t>
  </si>
  <si>
    <t>1291127812_LDCB1F</t>
  </si>
  <si>
    <t>235</t>
  </si>
  <si>
    <t>Dương Tấn Phát</t>
  </si>
  <si>
    <t>07/07/24 14:50</t>
  </si>
  <si>
    <t>11/07/24 08:17</t>
  </si>
  <si>
    <t>0985436376</t>
  </si>
  <si>
    <t>286</t>
  </si>
  <si>
    <t>265</t>
  </si>
  <si>
    <t>Đoàn Hồng Anh</t>
  </si>
  <si>
    <t>10/07/24 20:17</t>
  </si>
  <si>
    <t>11/07/24 08:24</t>
  </si>
  <si>
    <t>0967243460</t>
  </si>
  <si>
    <t>083196002918</t>
  </si>
  <si>
    <t>318</t>
  </si>
  <si>
    <t>1292245944_LDCB1F</t>
  </si>
  <si>
    <t>261</t>
  </si>
  <si>
    <t>Anh Thủy</t>
  </si>
  <si>
    <t>11/07/24 08:59</t>
  </si>
  <si>
    <t>0989802537</t>
  </si>
  <si>
    <t>313</t>
  </si>
  <si>
    <t>314</t>
  </si>
  <si>
    <t>Phấn Tiny</t>
  </si>
  <si>
    <t>10/07/24 16:22</t>
  </si>
  <si>
    <t>11/07/24 10:52</t>
  </si>
  <si>
    <t>337</t>
  </si>
  <si>
    <t>273</t>
  </si>
  <si>
    <t>Liang Jiangjin</t>
  </si>
  <si>
    <t>10/07/24 13:48</t>
  </si>
  <si>
    <t>11/07/24 11:00</t>
  </si>
  <si>
    <t>335</t>
  </si>
  <si>
    <t>Bùi Thị Ngọc</t>
  </si>
  <si>
    <t>11/07/24 13:14</t>
  </si>
  <si>
    <t>11/07/24 14:41</t>
  </si>
  <si>
    <t>349</t>
  </si>
  <si>
    <t>282</t>
  </si>
  <si>
    <t>Lê Xuân Hướng</t>
  </si>
  <si>
    <t>11/07/24 18:23</t>
  </si>
  <si>
    <t>12/07/24 08:23</t>
  </si>
  <si>
    <t>0936261891</t>
  </si>
  <si>
    <t>033091003595</t>
  </si>
  <si>
    <t>351</t>
  </si>
  <si>
    <t>Trần Đinh Quý</t>
  </si>
  <si>
    <t>11/07/24 17:14</t>
  </si>
  <si>
    <t>0823102585</t>
  </si>
  <si>
    <t>079093034025</t>
  </si>
  <si>
    <t>350</t>
  </si>
  <si>
    <t>Elly Phạm</t>
  </si>
  <si>
    <t>11/07/24 12:41</t>
  </si>
  <si>
    <t>12/07/24 08:24</t>
  </si>
  <si>
    <t>348</t>
  </si>
  <si>
    <t>270</t>
  </si>
  <si>
    <t>Công Tiến Bùi</t>
  </si>
  <si>
    <t>11/07/24 17:48</t>
  </si>
  <si>
    <t>12/07/24 09:33</t>
  </si>
  <si>
    <t>329</t>
  </si>
  <si>
    <t>4930489521_LDCB1F</t>
  </si>
  <si>
    <t>331</t>
  </si>
  <si>
    <t>330</t>
  </si>
  <si>
    <t>332</t>
  </si>
  <si>
    <t>12/07/24 09:55</t>
  </si>
  <si>
    <t>347</t>
  </si>
  <si>
    <t>274</t>
  </si>
  <si>
    <t>Lê Thị Hồng Đào</t>
  </si>
  <si>
    <t>10/07/24 15:30</t>
  </si>
  <si>
    <t>12/07/24 10:26</t>
  </si>
  <si>
    <t>0939000420</t>
  </si>
  <si>
    <t>336</t>
  </si>
  <si>
    <t>284</t>
  </si>
  <si>
    <t>Nguyễn Chi Lăng</t>
  </si>
  <si>
    <t>12/07/24 01:57</t>
  </si>
  <si>
    <t>12/07/24 10:36</t>
  </si>
  <si>
    <t>094 1025252</t>
  </si>
  <si>
    <t>353</t>
  </si>
  <si>
    <t>05/07/24 14:21</t>
  </si>
  <si>
    <t>12/07/24 11:24</t>
  </si>
  <si>
    <t>445742311_LDCB1F</t>
  </si>
  <si>
    <t>12/07/24 14:25</t>
  </si>
  <si>
    <t>12/07/24 18:22</t>
  </si>
  <si>
    <t>354</t>
  </si>
  <si>
    <t>Đỗ Văn Ca</t>
  </si>
  <si>
    <t>12/07/24 18:23</t>
  </si>
  <si>
    <t>+84 979 201 817</t>
  </si>
  <si>
    <t>cbui.561781@guest.booking.com</t>
  </si>
  <si>
    <t>025052005534</t>
  </si>
  <si>
    <t>328</t>
  </si>
  <si>
    <t>A Thông</t>
  </si>
  <si>
    <t>26/06/24 12:02</t>
  </si>
  <si>
    <t>13/07/24 11:00</t>
  </si>
  <si>
    <t>232</t>
  </si>
  <si>
    <t>268</t>
  </si>
  <si>
    <t>09/07/24 20:45</t>
  </si>
  <si>
    <t>326</t>
  </si>
  <si>
    <t>Nguyen Jimmy Cao</t>
  </si>
  <si>
    <t>11/07/24 12:44</t>
  </si>
  <si>
    <t>344</t>
  </si>
  <si>
    <t>nguyễn văn lập</t>
  </si>
  <si>
    <t>13/07/24 13:00</t>
  </si>
  <si>
    <t>13/07/24 15:00</t>
  </si>
  <si>
    <t>371</t>
  </si>
  <si>
    <t>Triệu Thị Phương Nhung</t>
  </si>
  <si>
    <t>12/07/24 16:18</t>
  </si>
  <si>
    <t>13/07/24 16:59</t>
  </si>
  <si>
    <t>0974739579</t>
  </si>
  <si>
    <t>001186004503</t>
  </si>
  <si>
    <t>224</t>
  </si>
  <si>
    <t>294</t>
  </si>
  <si>
    <t>Tn</t>
  </si>
  <si>
    <t>13/07/24 09:25</t>
  </si>
  <si>
    <t>13/07/24 17:46</t>
  </si>
  <si>
    <t>0969856337</t>
  </si>
  <si>
    <t>212675677</t>
  </si>
  <si>
    <t>367</t>
  </si>
  <si>
    <t>Thanh Hương</t>
  </si>
  <si>
    <t>13/07/24 18:06</t>
  </si>
  <si>
    <t>14/07/24 09:18</t>
  </si>
  <si>
    <t>0902594154</t>
  </si>
  <si>
    <t>369</t>
  </si>
  <si>
    <t>Trình hoàng hà</t>
  </si>
  <si>
    <t>13/07/24 19:17</t>
  </si>
  <si>
    <t>14/07/24 09:28</t>
  </si>
  <si>
    <t>0916642323</t>
  </si>
  <si>
    <t>355</t>
  </si>
  <si>
    <t>257</t>
  </si>
  <si>
    <t>Tc Sagittarius</t>
  </si>
  <si>
    <t>11/07/24 12:01</t>
  </si>
  <si>
    <t>14/07/24 10:01</t>
  </si>
  <si>
    <t>308</t>
  </si>
  <si>
    <t>1319631457_LDCB1F</t>
  </si>
  <si>
    <t>Li Sheng Liang</t>
  </si>
  <si>
    <t>13/07/24 19:15</t>
  </si>
  <si>
    <t>14/07/24 11:00</t>
  </si>
  <si>
    <t>+84 342 452 719</t>
  </si>
  <si>
    <t>sli.182888@guest.booking.com</t>
  </si>
  <si>
    <t>360</t>
  </si>
  <si>
    <t>4753754103_LDCB1F</t>
  </si>
  <si>
    <t>Sheng Liang Li</t>
  </si>
  <si>
    <t>361</t>
  </si>
  <si>
    <t>362</t>
  </si>
  <si>
    <t>13/07/24 15:58</t>
  </si>
  <si>
    <t>364</t>
  </si>
  <si>
    <t>293</t>
  </si>
  <si>
    <t>Chen Ruei-yan</t>
  </si>
  <si>
    <t>13/07/24 20:19</t>
  </si>
  <si>
    <t>84 66 0986714457</t>
  </si>
  <si>
    <t>366</t>
  </si>
  <si>
    <t>1297501788_LDCB1F</t>
  </si>
  <si>
    <t>An Nguyễn</t>
  </si>
  <si>
    <t>13/07/24 18:27</t>
  </si>
  <si>
    <t>0828789052</t>
  </si>
  <si>
    <t>372</t>
  </si>
  <si>
    <t>TRẦN THỊ HIỆN</t>
  </si>
  <si>
    <t>14/07/24 12:12</t>
  </si>
  <si>
    <t>14/07/24 16:04</t>
  </si>
  <si>
    <t>008190000195</t>
  </si>
  <si>
    <t>378</t>
  </si>
  <si>
    <t>Chen hua pin</t>
  </si>
  <si>
    <t>14/07/24 15:35</t>
  </si>
  <si>
    <t>14/07/24 17:34</t>
  </si>
  <si>
    <t>381</t>
  </si>
  <si>
    <t>Lê Thị Thúy Hằng</t>
  </si>
  <si>
    <t>14/07/24 21:26</t>
  </si>
  <si>
    <t>14/07/24 23:22</t>
  </si>
  <si>
    <t>0939494046</t>
  </si>
  <si>
    <t>087178015990</t>
  </si>
  <si>
    <t>384</t>
  </si>
  <si>
    <t>NGUYỄN THỊ NHỰT LINH</t>
  </si>
  <si>
    <t>14/07/24 14:56</t>
  </si>
  <si>
    <t>15/07/24 09:48</t>
  </si>
  <si>
    <t>0702988260</t>
  </si>
  <si>
    <t>072198003992</t>
  </si>
  <si>
    <t>380</t>
  </si>
  <si>
    <t>Lerner Jordan Matthew</t>
  </si>
  <si>
    <t>15/07/24 08:29</t>
  </si>
  <si>
    <t>15/07/24 10:51</t>
  </si>
  <si>
    <t>375</t>
  </si>
  <si>
    <t>Cao Lâm Mỹ Tiên</t>
  </si>
  <si>
    <t>14/07/24 17:55</t>
  </si>
  <si>
    <t>15/07/24 10:52</t>
  </si>
  <si>
    <t>0347960263</t>
  </si>
  <si>
    <t>082199003655</t>
  </si>
  <si>
    <t>370</t>
  </si>
  <si>
    <t>13/07/24 18:31</t>
  </si>
  <si>
    <t>15/07/24 11:00</t>
  </si>
  <si>
    <t>374</t>
  </si>
  <si>
    <t>Yen Chun Chu</t>
  </si>
  <si>
    <t>14/07/24 14:06</t>
  </si>
  <si>
    <t>84 +886931473448</t>
  </si>
  <si>
    <t>379</t>
  </si>
  <si>
    <t>1298906860_LDCB1F</t>
  </si>
  <si>
    <t>DUSTBEKOV NURIDDIN OMONOVICH</t>
  </si>
  <si>
    <t>14/07/24 15:50</t>
  </si>
  <si>
    <t>15/07/24 12:00</t>
  </si>
  <si>
    <t>FA0647675</t>
  </si>
  <si>
    <t>382</t>
  </si>
  <si>
    <t>15/07/24 13:15</t>
  </si>
  <si>
    <t>15/07/24 15:15</t>
  </si>
  <si>
    <t>0977555881</t>
  </si>
  <si>
    <t>387</t>
  </si>
  <si>
    <t>283</t>
  </si>
  <si>
    <t>12/07/24 13:43</t>
  </si>
  <si>
    <t>16/07/24 08:24</t>
  </si>
  <si>
    <t>352</t>
  </si>
  <si>
    <t>ANDO NAOKO</t>
  </si>
  <si>
    <t>15/07/24 14:54</t>
  </si>
  <si>
    <t>16/07/24 08:26</t>
  </si>
  <si>
    <t>81 09023416196</t>
  </si>
  <si>
    <t>TR7283524</t>
  </si>
  <si>
    <t>376</t>
  </si>
  <si>
    <t>1298406336_LDCB1F</t>
  </si>
  <si>
    <t>RAYMOND ROBERT BRUCE</t>
  </si>
  <si>
    <t>15/07/24 14:51</t>
  </si>
  <si>
    <t>16/07/24 11:00</t>
  </si>
  <si>
    <t>+61 423 085 208</t>
  </si>
  <si>
    <t>PA5991073</t>
  </si>
  <si>
    <t>357</t>
  </si>
  <si>
    <t>LÊ THỊ HẾT</t>
  </si>
  <si>
    <t>15/07/24 14:07</t>
  </si>
  <si>
    <t>0915829802</t>
  </si>
  <si>
    <t>096190003241</t>
  </si>
  <si>
    <t>388</t>
  </si>
  <si>
    <t>Nghiêm Thảo Tâm</t>
  </si>
  <si>
    <t>13/07/24 19:24</t>
  </si>
  <si>
    <t>16/07/24 11:49</t>
  </si>
  <si>
    <t>84 84 0919200503</t>
  </si>
  <si>
    <t>363</t>
  </si>
  <si>
    <t>1297464940_LDCB1F</t>
  </si>
  <si>
    <t>322</t>
  </si>
  <si>
    <t>16/07/24 14:16</t>
  </si>
  <si>
    <t>16/07/24 16:30</t>
  </si>
  <si>
    <t>398</t>
  </si>
  <si>
    <t>LÊ HUỲNH MINH THƯ</t>
  </si>
  <si>
    <t>17/07/24 08:25</t>
  </si>
  <si>
    <t>+84987559400</t>
  </si>
  <si>
    <t>mthu21092001@gmail.com</t>
  </si>
  <si>
    <t>060301004804</t>
  </si>
  <si>
    <t>383</t>
  </si>
  <si>
    <t>62764798333</t>
  </si>
  <si>
    <t>321</t>
  </si>
  <si>
    <t>Trần Văn Long</t>
  </si>
  <si>
    <t>16/07/24 11:44</t>
  </si>
  <si>
    <t>17/07/24 10:24</t>
  </si>
  <si>
    <t>0363335501</t>
  </si>
  <si>
    <t>397</t>
  </si>
  <si>
    <t>16/07/24 13:18</t>
  </si>
  <si>
    <t>17/07/24 10:25</t>
  </si>
  <si>
    <t>Khánh Linh</t>
  </si>
  <si>
    <t>0982521310</t>
  </si>
  <si>
    <t>319</t>
  </si>
  <si>
    <t>Hoàng Doanh</t>
  </si>
  <si>
    <t>15/07/24 23:37</t>
  </si>
  <si>
    <t>17/07/24 11:00</t>
  </si>
  <si>
    <t>395</t>
  </si>
  <si>
    <t>zalo Sang</t>
  </si>
  <si>
    <t>16/07/24 10:46</t>
  </si>
  <si>
    <t>18/07/24 08:26</t>
  </si>
  <si>
    <t>394</t>
  </si>
  <si>
    <t>320</t>
  </si>
  <si>
    <t>16/07/24 14:15</t>
  </si>
  <si>
    <t>18/07/24 10:14</t>
  </si>
  <si>
    <t>396</t>
  </si>
  <si>
    <t>1327381521_LDCB1F</t>
  </si>
  <si>
    <t>18/07/24 11:00</t>
  </si>
  <si>
    <t>373</t>
  </si>
  <si>
    <t>449387839_LDCB1F</t>
  </si>
  <si>
    <t>Hà Thị Thắm</t>
  </si>
  <si>
    <t>17/07/24 20:22</t>
  </si>
  <si>
    <t>087196002877</t>
  </si>
  <si>
    <t>404</t>
  </si>
  <si>
    <t>450404351_LDCB1F</t>
  </si>
  <si>
    <t>323</t>
  </si>
  <si>
    <t>BÙI DƯƠNG ĐẠT</t>
  </si>
  <si>
    <t>16/07/24 19:08</t>
  </si>
  <si>
    <t>18/07/24 13:45</t>
  </si>
  <si>
    <t>0979363550</t>
  </si>
  <si>
    <t>051090019375</t>
  </si>
  <si>
    <t>399</t>
  </si>
  <si>
    <t>PHẠM THỊ LINH</t>
  </si>
  <si>
    <t>16/07/24 19:29</t>
  </si>
  <si>
    <t>19/07/24 08:38</t>
  </si>
  <si>
    <t>0385331752</t>
  </si>
  <si>
    <t>1610212027</t>
  </si>
  <si>
    <t>368</t>
  </si>
  <si>
    <t>Kaji Tomohiro</t>
  </si>
  <si>
    <t>18/07/24 22:54</t>
  </si>
  <si>
    <t>19/07/24 10:35</t>
  </si>
  <si>
    <t>65 819061320280</t>
  </si>
  <si>
    <t>411</t>
  </si>
  <si>
    <t>1329811105_LDCB1F</t>
  </si>
  <si>
    <t>Cao hữu tiến</t>
  </si>
  <si>
    <t>18/07/24 13:58</t>
  </si>
  <si>
    <t>19/07/24 10:50</t>
  </si>
  <si>
    <t>0392124817</t>
  </si>
  <si>
    <t>386</t>
  </si>
  <si>
    <t>TRÌNH QUANG MINH</t>
  </si>
  <si>
    <t>19/07/24 11:00</t>
  </si>
  <si>
    <t>031090013508</t>
  </si>
  <si>
    <t>377</t>
  </si>
  <si>
    <t>327</t>
  </si>
  <si>
    <t>Trần Thuỷ</t>
  </si>
  <si>
    <t>17/07/24 23:03</t>
  </si>
  <si>
    <t>0768663784</t>
  </si>
  <si>
    <t>079199005157</t>
  </si>
  <si>
    <t>SHIN</t>
  </si>
  <si>
    <t>18/07/24 22:27</t>
  </si>
  <si>
    <t>409</t>
  </si>
  <si>
    <t>Tiên</t>
  </si>
  <si>
    <t>0941571451</t>
  </si>
  <si>
    <t>410</t>
  </si>
  <si>
    <t>18/07/24 14:49</t>
  </si>
  <si>
    <t>19/07/24 12:55</t>
  </si>
  <si>
    <t>408</t>
  </si>
  <si>
    <t>1303264788_LDCB1F</t>
  </si>
  <si>
    <t>338</t>
  </si>
  <si>
    <t>a Đường</t>
  </si>
  <si>
    <t>19/07/24 15:36</t>
  </si>
  <si>
    <t>19/07/24 15:47</t>
  </si>
  <si>
    <t>414</t>
  </si>
  <si>
    <t>339</t>
  </si>
  <si>
    <t>19/07/24 15:42</t>
  </si>
  <si>
    <t>20/07/24 08:22</t>
  </si>
  <si>
    <t>415</t>
  </si>
  <si>
    <t>341</t>
  </si>
  <si>
    <t>19/07/24 16:01</t>
  </si>
  <si>
    <t>20/07/24 08:32</t>
  </si>
  <si>
    <t>417</t>
  </si>
  <si>
    <t>Công Thành</t>
  </si>
  <si>
    <t>19/07/24 22:20</t>
  </si>
  <si>
    <t>20/07/24 09:49</t>
  </si>
  <si>
    <t>407</t>
  </si>
  <si>
    <t>342</t>
  </si>
  <si>
    <t>Howard Terrence Charles</t>
  </si>
  <si>
    <t>19/07/24 17:33</t>
  </si>
  <si>
    <t>20/07/24 10:57</t>
  </si>
  <si>
    <t>PA7246704</t>
  </si>
  <si>
    <t>418</t>
  </si>
  <si>
    <t>18/07/24 14:01</t>
  </si>
  <si>
    <t>20/07/24 10:59</t>
  </si>
  <si>
    <t>340</t>
  </si>
  <si>
    <t>19/07/24 17:42</t>
  </si>
  <si>
    <t>20/07/24 11:00</t>
  </si>
  <si>
    <t>416</t>
  </si>
  <si>
    <t>Ji Hyoung Lee</t>
  </si>
  <si>
    <t>20/07/24 17:42</t>
  </si>
  <si>
    <t>21/07/24 08:19</t>
  </si>
  <si>
    <t>821071594928</t>
  </si>
  <si>
    <t>426</t>
  </si>
  <si>
    <t>HM4E2KYS99_LDCB1F</t>
  </si>
  <si>
    <t>tuyết băng</t>
  </si>
  <si>
    <t>20/07/24 16:08</t>
  </si>
  <si>
    <t>21/07/24 11:00</t>
  </si>
  <si>
    <t>423</t>
  </si>
  <si>
    <t>Hà Thanh Vy</t>
  </si>
  <si>
    <t>20/07/24 17:30</t>
  </si>
  <si>
    <t>21/07/24 18:32</t>
  </si>
  <si>
    <t>0906829208</t>
  </si>
  <si>
    <t>079189032679</t>
  </si>
  <si>
    <t>424</t>
  </si>
  <si>
    <t>269</t>
  </si>
  <si>
    <t>20/07/24 13:09</t>
  </si>
  <si>
    <t>21/07/24 19:28</t>
  </si>
  <si>
    <t>+84919430335</t>
  </si>
  <si>
    <t>sbowke.126249@guest.booking.com</t>
  </si>
  <si>
    <t>4780775806_LDCB1F</t>
  </si>
  <si>
    <t>Goh Chee Liang</t>
  </si>
  <si>
    <t>19/07/24 22:59</t>
  </si>
  <si>
    <t>22/07/24 07:57</t>
  </si>
  <si>
    <t>0867660802</t>
  </si>
  <si>
    <t>A59364398</t>
  </si>
  <si>
    <t>412</t>
  </si>
  <si>
    <t>Brotarlo Hilario</t>
  </si>
  <si>
    <t>18/07/24 17:12</t>
  </si>
  <si>
    <t>22/07/24 07:58</t>
  </si>
  <si>
    <t>1275690308_LDCB1F</t>
  </si>
  <si>
    <t>21</t>
  </si>
  <si>
    <t xml:space="preserve"> Nguyễn Hồ Hoàng Yến Anh</t>
  </si>
  <si>
    <t>19/07/24 14:11</t>
  </si>
  <si>
    <t>+84797059316</t>
  </si>
  <si>
    <t>yenanhsymphony@gmail.com</t>
  </si>
  <si>
    <t>07530300510</t>
  </si>
  <si>
    <t>97382391223</t>
  </si>
  <si>
    <t>19/07/24 13:56</t>
  </si>
  <si>
    <t>22/07/24 09:38</t>
  </si>
  <si>
    <t>413</t>
  </si>
  <si>
    <t>21/07/24 18:25</t>
  </si>
  <si>
    <t>22/07/24 09:50</t>
  </si>
  <si>
    <t>430</t>
  </si>
  <si>
    <t>My My</t>
  </si>
  <si>
    <t>18/07/24 19:09</t>
  </si>
  <si>
    <t>22/07/24 10:13</t>
  </si>
  <si>
    <t>358</t>
  </si>
  <si>
    <t>359</t>
  </si>
  <si>
    <t>Huỳnh Thị Na Rong</t>
  </si>
  <si>
    <t>21/07/24 12:56</t>
  </si>
  <si>
    <t>22/07/24 10:42</t>
  </si>
  <si>
    <t>429</t>
  </si>
  <si>
    <t>13/07/24 14:29</t>
  </si>
  <si>
    <t>22/07/24 11:00</t>
  </si>
  <si>
    <t>365</t>
  </si>
  <si>
    <t>343</t>
  </si>
  <si>
    <t>Bùi Thị Xoan</t>
  </si>
  <si>
    <t>20/07/24 14:42</t>
  </si>
  <si>
    <t>419</t>
  </si>
  <si>
    <t>345</t>
  </si>
  <si>
    <t>Madan Karina</t>
  </si>
  <si>
    <t>20/07/24 17:33</t>
  </si>
  <si>
    <t>855 +85577613006</t>
  </si>
  <si>
    <t>124769749</t>
  </si>
  <si>
    <t>421</t>
  </si>
  <si>
    <t>1330880397_LDCB1F</t>
  </si>
  <si>
    <t>Tiffany Le</t>
  </si>
  <si>
    <t>21/07/24 14:18</t>
  </si>
  <si>
    <t>0586701730</t>
  </si>
  <si>
    <t>425</t>
  </si>
  <si>
    <t>Đỗ Duy Sang</t>
  </si>
  <si>
    <t>21/07/24 21:38</t>
  </si>
  <si>
    <t>0965096971</t>
  </si>
  <si>
    <t>052202000098</t>
  </si>
  <si>
    <t>428</t>
  </si>
  <si>
    <t>1306222036_LDCB1F</t>
  </si>
  <si>
    <t>Minh Khoa Vo</t>
  </si>
  <si>
    <t>20/07/24 13:43</t>
  </si>
  <si>
    <t>420</t>
  </si>
  <si>
    <t>22/07/24 18:50</t>
  </si>
  <si>
    <t>23/07/24 08:24</t>
  </si>
  <si>
    <t>435</t>
  </si>
  <si>
    <t>Huỳnh Thanh Liêm</t>
  </si>
  <si>
    <t>0906394640</t>
  </si>
  <si>
    <t>434</t>
  </si>
  <si>
    <t>23/07/24 11:00</t>
  </si>
  <si>
    <t>0919200503</t>
  </si>
  <si>
    <t>077303002278</t>
  </si>
  <si>
    <t>427</t>
  </si>
  <si>
    <t>Vũ Nhật Trường</t>
  </si>
  <si>
    <t>23/07/24 15:24</t>
  </si>
  <si>
    <t>23/07/24 17:23</t>
  </si>
  <si>
    <t>439</t>
  </si>
  <si>
    <t>22/07/24 17:23</t>
  </si>
  <si>
    <t>24/07/24 08:20</t>
  </si>
  <si>
    <t>Lin Hy</t>
  </si>
  <si>
    <t>Dang Katherine</t>
  </si>
  <si>
    <t>679341618</t>
  </si>
  <si>
    <t>324</t>
  </si>
  <si>
    <t>Nguyễn Thanh Tuấn</t>
  </si>
  <si>
    <t>21/07/24 17:28</t>
  </si>
  <si>
    <t>24/07/24 10:29</t>
  </si>
  <si>
    <t>+84 397910890</t>
  </si>
  <si>
    <t>001090031164</t>
  </si>
  <si>
    <t>400</t>
  </si>
  <si>
    <t>356</t>
  </si>
  <si>
    <t>Thư</t>
  </si>
  <si>
    <t>23/07/24 13:43</t>
  </si>
  <si>
    <t>24/07/24 11:00</t>
  </si>
  <si>
    <t>432</t>
  </si>
  <si>
    <t>Hồ Tấn Thịnh</t>
  </si>
  <si>
    <t>24/07/24 18:48</t>
  </si>
  <si>
    <t>25/07/24 10:14</t>
  </si>
  <si>
    <t>0975852340</t>
  </si>
  <si>
    <t>058098005740</t>
  </si>
  <si>
    <t>449</t>
  </si>
  <si>
    <t>Đoàn Yên Thanh</t>
  </si>
  <si>
    <t>24/07/24 22:59</t>
  </si>
  <si>
    <t>25/07/24 13:37</t>
  </si>
  <si>
    <t>0818972932</t>
  </si>
  <si>
    <t>096198001301</t>
  </si>
  <si>
    <t>453</t>
  </si>
  <si>
    <t>Trần Thị Mạnh</t>
  </si>
  <si>
    <t>25/07/24 13:05</t>
  </si>
  <si>
    <t>25/07/24 14:08</t>
  </si>
  <si>
    <t>456</t>
  </si>
  <si>
    <t>25/07/24 12:55</t>
  </si>
  <si>
    <t>25/07/24 16:16</t>
  </si>
  <si>
    <t>455</t>
  </si>
  <si>
    <t>24/07/24 14:01</t>
  </si>
  <si>
    <t>25/07/24 16:17</t>
  </si>
  <si>
    <t>448</t>
  </si>
  <si>
    <t>MORISHIMA HIROFUTO</t>
  </si>
  <si>
    <t>26/07/24 08:33</t>
  </si>
  <si>
    <t>TR5543854</t>
  </si>
  <si>
    <t>Nguyễn Thị Thảo Ngân</t>
  </si>
  <si>
    <t>24/07/24 21:42</t>
  </si>
  <si>
    <t>26/07/24 08:34</t>
  </si>
  <si>
    <t>0788953782</t>
  </si>
  <si>
    <t>087304017123</t>
  </si>
  <si>
    <t>440</t>
  </si>
  <si>
    <t>Tiffany</t>
  </si>
  <si>
    <t>25/07/24 18:24</t>
  </si>
  <si>
    <t>26/07/24 11:00</t>
  </si>
  <si>
    <t>438</t>
  </si>
  <si>
    <t>441</t>
  </si>
  <si>
    <t>442</t>
  </si>
  <si>
    <t>443</t>
  </si>
  <si>
    <t>444</t>
  </si>
  <si>
    <t>Phương Khánh</t>
  </si>
  <si>
    <t>0364670991</t>
  </si>
  <si>
    <t>445</t>
  </si>
  <si>
    <t>446</t>
  </si>
  <si>
    <t>cô Hường</t>
  </si>
  <si>
    <t>24/07/24 14:02</t>
  </si>
  <si>
    <t>0912025228</t>
  </si>
  <si>
    <t>451</t>
  </si>
  <si>
    <t>Huỳnh Đức Thạnh</t>
  </si>
  <si>
    <t>0969193095</t>
  </si>
  <si>
    <t>452</t>
  </si>
  <si>
    <t>26/07/24 12:35</t>
  </si>
  <si>
    <t>447</t>
  </si>
  <si>
    <t>26/07/24 16:21</t>
  </si>
  <si>
    <t>450</t>
  </si>
  <si>
    <t>Khojamiryan Inna</t>
  </si>
  <si>
    <t>26/07/24 14:25</t>
  </si>
  <si>
    <t>27/07/24 09:41</t>
  </si>
  <si>
    <t>+374 91 006933</t>
  </si>
  <si>
    <t>ikhoja.474901@guest.booking.com</t>
  </si>
  <si>
    <t>458</t>
  </si>
  <si>
    <t>4363913969_LDCB1F</t>
  </si>
  <si>
    <t>Nguyễn Hồ Hoàng Yến Anh</t>
  </si>
  <si>
    <t>26/07/24 17:00</t>
  </si>
  <si>
    <t>27/07/24 09:42</t>
  </si>
  <si>
    <t>0797059316</t>
  </si>
  <si>
    <t>075303005150</t>
  </si>
  <si>
    <t>459</t>
  </si>
  <si>
    <t>Phạm Hồng Luân</t>
  </si>
  <si>
    <t>26/07/24 18:09</t>
  </si>
  <si>
    <t>27/07/24 10:27</t>
  </si>
  <si>
    <t>0977943443</t>
  </si>
  <si>
    <t>051082000219</t>
  </si>
  <si>
    <t>464</t>
  </si>
  <si>
    <t>389</t>
  </si>
  <si>
    <t>Nguyễn Hồng phong</t>
  </si>
  <si>
    <t>27/07/24 18:43</t>
  </si>
  <si>
    <t>28/07/24 08:39</t>
  </si>
  <si>
    <t>475</t>
  </si>
  <si>
    <t>477</t>
  </si>
  <si>
    <t>26/07/24 15:52</t>
  </si>
  <si>
    <t>28/07/24 11:00</t>
  </si>
  <si>
    <t>463</t>
  </si>
  <si>
    <t>Changhwan,park</t>
  </si>
  <si>
    <t>27/07/24 14:12</t>
  </si>
  <si>
    <t>467</t>
  </si>
  <si>
    <t>Thục Uyên</t>
  </si>
  <si>
    <t>0379479600</t>
  </si>
  <si>
    <t>468</t>
  </si>
  <si>
    <t>Dương Đoàn Uyên Nhi</t>
  </si>
  <si>
    <t>27/07/24 16:09</t>
  </si>
  <si>
    <t>+84906103308</t>
  </si>
  <si>
    <t>duonguyennhi160207@gmail.com</t>
  </si>
  <si>
    <t>079307024868</t>
  </si>
  <si>
    <t>472</t>
  </si>
  <si>
    <t>69539022217</t>
  </si>
  <si>
    <t>390</t>
  </si>
  <si>
    <t>HUANG JIAHAO</t>
  </si>
  <si>
    <t>28/07/24 11:06</t>
  </si>
  <si>
    <t>28/07/24 13:04</t>
  </si>
  <si>
    <t>0908128087</t>
  </si>
  <si>
    <t>ER2031302</t>
  </si>
  <si>
    <t>478</t>
  </si>
  <si>
    <t>391</t>
  </si>
  <si>
    <t>HUỲNH QUỐC TUẤN</t>
  </si>
  <si>
    <t>28/07/24 13:10</t>
  </si>
  <si>
    <t>29/07/24 08:27</t>
  </si>
  <si>
    <t>0902368395</t>
  </si>
  <si>
    <t>049084017452</t>
  </si>
  <si>
    <t>479</t>
  </si>
  <si>
    <t>29/07/24 08:28</t>
  </si>
  <si>
    <t>405</t>
  </si>
  <si>
    <t>29/07/24 09:24</t>
  </si>
  <si>
    <t>476</t>
  </si>
  <si>
    <t>474</t>
  </si>
  <si>
    <t>Trần Thị Ngọc Anh</t>
  </si>
  <si>
    <t>27/07/24 17:49</t>
  </si>
  <si>
    <t>29/07/24 10:27</t>
  </si>
  <si>
    <t>0358000810</t>
  </si>
  <si>
    <t>020197001751</t>
  </si>
  <si>
    <t>473</t>
  </si>
  <si>
    <t>26/07/24 15:05</t>
  </si>
  <si>
    <t>29/07/24 11:00</t>
  </si>
  <si>
    <t>460</t>
  </si>
  <si>
    <t>Huỳnh Thị Thu Thủy</t>
  </si>
  <si>
    <t>26/07/24 14:34</t>
  </si>
  <si>
    <t>461</t>
  </si>
  <si>
    <t>Huang Ricky</t>
  </si>
  <si>
    <t>28/07/24 18:02</t>
  </si>
  <si>
    <t>29/07/24 11:23</t>
  </si>
  <si>
    <t>+1 678 670 3010</t>
  </si>
  <si>
    <t>rhuang.919902@guest.booking.com</t>
  </si>
  <si>
    <t>466</t>
  </si>
  <si>
    <t>4443160137_LDCB1F</t>
  </si>
  <si>
    <t>Edwards Stephen Douglas</t>
  </si>
  <si>
    <t>29/07/24 19:22</t>
  </si>
  <si>
    <t>30/07/24 09:09</t>
  </si>
  <si>
    <t>+61 438 721 227</t>
  </si>
  <si>
    <t>sedwar.907319@guest.booking.com</t>
  </si>
  <si>
    <t>PA8781454</t>
  </si>
  <si>
    <t>457</t>
  </si>
  <si>
    <t>4863026991_LDCB1F</t>
  </si>
  <si>
    <t>29/07/24 21:29</t>
  </si>
  <si>
    <t>30/07/24 09:52</t>
  </si>
  <si>
    <t>488</t>
  </si>
  <si>
    <t>Đoàn Ngọc Bích Trân</t>
  </si>
  <si>
    <t>25/07/24 15:20</t>
  </si>
  <si>
    <t>30/07/24 10:52</t>
  </si>
  <si>
    <t>0789557743</t>
  </si>
  <si>
    <t>086305009179</t>
  </si>
  <si>
    <t>436</t>
  </si>
  <si>
    <t>392</t>
  </si>
  <si>
    <t>Nguyễn Bé</t>
  </si>
  <si>
    <t>28/07/24 18:44</t>
  </si>
  <si>
    <t>30/07/24 11:00</t>
  </si>
  <si>
    <t>0933531549</t>
  </si>
  <si>
    <t>480</t>
  </si>
  <si>
    <t>393</t>
  </si>
  <si>
    <t>Ngọc Lan</t>
  </si>
  <si>
    <t>29/07/24 14:06</t>
  </si>
  <si>
    <t>0969171895</t>
  </si>
  <si>
    <t>481</t>
  </si>
  <si>
    <t>Sumiog Richel</t>
  </si>
  <si>
    <t>27/07/24 22:41</t>
  </si>
  <si>
    <t>30/07/24 12:52</t>
  </si>
  <si>
    <t>9714357520</t>
  </si>
  <si>
    <t>8kef3nr0tu@m.expediapartnercentral.com</t>
  </si>
  <si>
    <t>260485656_LDCB1F</t>
  </si>
  <si>
    <t>Nhật Xuân</t>
  </si>
  <si>
    <t>31/07/24 08:54</t>
  </si>
  <si>
    <t>482</t>
  </si>
  <si>
    <t>483</t>
  </si>
  <si>
    <t>01/07/24 20:57</t>
  </si>
  <si>
    <t>31/07/24 11:00</t>
  </si>
  <si>
    <t>Tam Tran</t>
  </si>
  <si>
    <t>30/07/24 13:21</t>
  </si>
  <si>
    <t>490</t>
  </si>
  <si>
    <t>1339797617_LDCB1F</t>
  </si>
  <si>
    <t>406</t>
  </si>
  <si>
    <t>31/07/24 21:24</t>
  </si>
  <si>
    <t>01/08/24 09:17</t>
  </si>
  <si>
    <t>496</t>
  </si>
  <si>
    <t>31/07/24 13:45</t>
  </si>
  <si>
    <t>01/08/24 10:49</t>
  </si>
  <si>
    <t>0971509921</t>
  </si>
  <si>
    <t>493</t>
  </si>
  <si>
    <t>1316920728_LDCB1F</t>
  </si>
  <si>
    <t>31/07/24 21:35</t>
  </si>
  <si>
    <t>01/08/24 11:00</t>
  </si>
  <si>
    <t>431</t>
  </si>
  <si>
    <t>Đinh Thị Trang</t>
  </si>
  <si>
    <t>462</t>
  </si>
  <si>
    <t>492</t>
  </si>
  <si>
    <t>Lê Trần Minh Trung</t>
  </si>
  <si>
    <t>31/07/24 15:57</t>
  </si>
  <si>
    <t>495</t>
  </si>
  <si>
    <t>346</t>
  </si>
  <si>
    <t>MINORU KOBAYASHI</t>
  </si>
  <si>
    <t>23/07/24 15:53</t>
  </si>
  <si>
    <t>01/08/24 17:13</t>
  </si>
  <si>
    <t>422</t>
  </si>
  <si>
    <t>1305517368_LDCB1F</t>
  </si>
  <si>
    <t>01/08/24 14:41</t>
  </si>
  <si>
    <t>02/08/24 11:00</t>
  </si>
  <si>
    <t>01/08/24 19:18</t>
  </si>
  <si>
    <t>504</t>
  </si>
  <si>
    <t>Thạch Thị Duyên</t>
  </si>
  <si>
    <t>01/08/24 20:01</t>
  </si>
  <si>
    <t>505</t>
  </si>
  <si>
    <t>Thủy</t>
  </si>
  <si>
    <t>02/08/24 13:41</t>
  </si>
  <si>
    <t>02/08/24 17:30</t>
  </si>
  <si>
    <t>0937951194</t>
  </si>
  <si>
    <t>507</t>
  </si>
  <si>
    <t>Kallayi Noufal K</t>
  </si>
  <si>
    <t>02/08/24 15:03</t>
  </si>
  <si>
    <t>03/08/24 08:27</t>
  </si>
  <si>
    <t>+91 96338 89544</t>
  </si>
  <si>
    <t>nkalla.832041@guest.booking.com</t>
  </si>
  <si>
    <t>509</t>
  </si>
  <si>
    <t>4726219114_LDCB1F</t>
  </si>
  <si>
    <t>01/08/24 16:10</t>
  </si>
  <si>
    <t>03/08/24 11:00</t>
  </si>
  <si>
    <t>Campbell</t>
  </si>
  <si>
    <t>02/08/24 16:31</t>
  </si>
  <si>
    <t>511</t>
  </si>
  <si>
    <t>NGUYỄN ĐỨC HOÀNG</t>
  </si>
  <si>
    <t>02/08/24 19:25</t>
  </si>
  <si>
    <t>03/08/24 11:59</t>
  </si>
  <si>
    <t>001098007714</t>
  </si>
  <si>
    <t xml:space="preserve"> Lan Anh</t>
  </si>
  <si>
    <t>01/08/24 23:49</t>
  </si>
  <si>
    <t>04/08/24 08:44</t>
  </si>
  <si>
    <t>+84336532753</t>
  </si>
  <si>
    <t>Buianhbuianh01@gmail.com</t>
  </si>
  <si>
    <t>045301005292</t>
  </si>
  <si>
    <t>465</t>
  </si>
  <si>
    <t>10510744387</t>
  </si>
  <si>
    <t>chen zhiheng</t>
  </si>
  <si>
    <t>04/08/24 08:46</t>
  </si>
  <si>
    <t>454</t>
  </si>
  <si>
    <t>452558359_LDCB1F</t>
  </si>
  <si>
    <t>Bùi Thị Ngọc Trâm</t>
  </si>
  <si>
    <t>03/08/24 22:31</t>
  </si>
  <si>
    <t>514</t>
  </si>
  <si>
    <t>CHIA MIN YAN</t>
  </si>
  <si>
    <t>01/08/24 16:41</t>
  </si>
  <si>
    <t>60192508182</t>
  </si>
  <si>
    <t>A70021264</t>
  </si>
  <si>
    <t>487</t>
  </si>
  <si>
    <t>HM54QMK28P_LDCB1F</t>
  </si>
  <si>
    <t>TRẦN PHƯƠNG THÔNG</t>
  </si>
  <si>
    <t>04/08/24 11:00</t>
  </si>
  <si>
    <t>0838643129</t>
  </si>
  <si>
    <t>491</t>
  </si>
  <si>
    <t>NGUYỄN THỊ THANH THỦY</t>
  </si>
  <si>
    <t>03/08/24 15:06</t>
  </si>
  <si>
    <t>04/08/24 15:00</t>
  </si>
  <si>
    <t>079189015581</t>
  </si>
  <si>
    <t>506</t>
  </si>
  <si>
    <t>Phùng Tuyết Liên</t>
  </si>
  <si>
    <t>31/07/24 16:56</t>
  </si>
  <si>
    <t>04/08/24 16:08</t>
  </si>
  <si>
    <t>0906041892</t>
  </si>
  <si>
    <t>433</t>
  </si>
  <si>
    <t>RATTANACK ATH</t>
  </si>
  <si>
    <t>02/08/24 15:06</t>
  </si>
  <si>
    <t>05/08/24 08:28</t>
  </si>
  <si>
    <t>510</t>
  </si>
  <si>
    <t>VÕ THỊ BẢO ANH</t>
  </si>
  <si>
    <t>03/08/24 14:47</t>
  </si>
  <si>
    <t>05/08/24 11:00</t>
  </si>
  <si>
    <t>094305004331</t>
  </si>
  <si>
    <t>512</t>
  </si>
  <si>
    <t>NGUYỄN THU HOÀI</t>
  </si>
  <si>
    <t>04/08/24 14:03</t>
  </si>
  <si>
    <t>0889022809</t>
  </si>
  <si>
    <t>031186005038</t>
  </si>
  <si>
    <t>515</t>
  </si>
  <si>
    <t>Dương Thu Hoài</t>
  </si>
  <si>
    <t>05/08/24 19:32</t>
  </si>
  <si>
    <t>06/08/24 08:35</t>
  </si>
  <si>
    <t>517</t>
  </si>
  <si>
    <t>Khách Trung Quốc - 상민 지</t>
  </si>
  <si>
    <t>03/08/24 15:18</t>
  </si>
  <si>
    <t>06/08/24 11:00</t>
  </si>
  <si>
    <t>JI SANGMIN</t>
  </si>
  <si>
    <t>M891U8338</t>
  </si>
  <si>
    <t>NGUYỄN HÀO PHÚ</t>
  </si>
  <si>
    <t>0987771434</t>
  </si>
  <si>
    <t>094097012649</t>
  </si>
  <si>
    <t>513</t>
  </si>
  <si>
    <t>Cao Nu Lan Phuong</t>
  </si>
  <si>
    <t>02/08/24 14:09</t>
  </si>
  <si>
    <t>06/08/24 14:42</t>
  </si>
  <si>
    <t>508</t>
  </si>
  <si>
    <t>Nguyễn Lâm</t>
  </si>
  <si>
    <t>06/08/24 13:18</t>
  </si>
  <si>
    <t>07/08/24 08:42</t>
  </si>
  <si>
    <t>500</t>
  </si>
  <si>
    <t>Tram</t>
  </si>
  <si>
    <t>06/08/24 16:30</t>
  </si>
  <si>
    <t>07/08/24 10:51</t>
  </si>
  <si>
    <t>520</t>
  </si>
  <si>
    <t>06/08/24 14:54</t>
  </si>
  <si>
    <t>07/08/24 11:00</t>
  </si>
  <si>
    <t>519</t>
  </si>
  <si>
    <t>Huỳnh Thạnh Phú</t>
  </si>
  <si>
    <t>06/08/24 18:51</t>
  </si>
  <si>
    <t>08/08/24 08:27</t>
  </si>
  <si>
    <t>078 8703171</t>
  </si>
  <si>
    <t>489</t>
  </si>
  <si>
    <t>TRẦN CÔNG THÀNH</t>
  </si>
  <si>
    <t>07/08/24 20:19</t>
  </si>
  <si>
    <t>08/08/24 09:46</t>
  </si>
  <si>
    <t>0933905105</t>
  </si>
  <si>
    <t>038093000296</t>
  </si>
  <si>
    <t>524</t>
  </si>
  <si>
    <t>05/08/24 15:14</t>
  </si>
  <si>
    <t>08/08/24 10:27</t>
  </si>
  <si>
    <t>499</t>
  </si>
  <si>
    <t>498</t>
  </si>
  <si>
    <t>Phạm thanh hà</t>
  </si>
  <si>
    <t>05/08/24 15:15</t>
  </si>
  <si>
    <t>0934819979</t>
  </si>
  <si>
    <t>497</t>
  </si>
  <si>
    <t>Hà Hà - Hà Lý</t>
  </si>
  <si>
    <t>07/08/24 13:52</t>
  </si>
  <si>
    <t>08/08/24 10:49</t>
  </si>
  <si>
    <t>0394143830</t>
  </si>
  <si>
    <t>522</t>
  </si>
  <si>
    <t>Matsubayashi Seiji</t>
  </si>
  <si>
    <t>07/08/24 15:44</t>
  </si>
  <si>
    <t>08/08/24 11:05</t>
  </si>
  <si>
    <t>+81 20 3564 0799</t>
  </si>
  <si>
    <t>smatsu.709115@guest.booking.com</t>
  </si>
  <si>
    <t>4836972394_LDCB1F</t>
  </si>
  <si>
    <t>06/08/24 14:37</t>
  </si>
  <si>
    <t>08/08/24 12:25</t>
  </si>
  <si>
    <t>518</t>
  </si>
  <si>
    <t>Bùi Văn Ngọc</t>
  </si>
  <si>
    <t>08/08/24 14:29</t>
  </si>
  <si>
    <t>09/08/24 11:00</t>
  </si>
  <si>
    <t>525</t>
  </si>
  <si>
    <t>NGUYEN PHU HAO</t>
  </si>
  <si>
    <t>08/08/24 18:03</t>
  </si>
  <si>
    <t>10/08/24 10:57</t>
  </si>
  <si>
    <t>PA6075881</t>
  </si>
  <si>
    <t>523</t>
  </si>
  <si>
    <t>Khánh Quang Ngô</t>
  </si>
  <si>
    <t>10/08/24 14:12</t>
  </si>
  <si>
    <t>11/08/24 08:37</t>
  </si>
  <si>
    <t>0975916766</t>
  </si>
  <si>
    <t>537</t>
  </si>
  <si>
    <t>Bob Raymond</t>
  </si>
  <si>
    <t>09/08/24 14:50</t>
  </si>
  <si>
    <t>11/08/24 09:17</t>
  </si>
  <si>
    <t>532</t>
  </si>
  <si>
    <t>MURPHY CRAIG ANT</t>
  </si>
  <si>
    <t>09/08/24 14:51</t>
  </si>
  <si>
    <t>11/08/24 09:19</t>
  </si>
  <si>
    <t>RA3017472</t>
  </si>
  <si>
    <t>533</t>
  </si>
  <si>
    <t>LIU HUAMING</t>
  </si>
  <si>
    <t>10/08/24 22:19</t>
  </si>
  <si>
    <t>11/08/24 09:57</t>
  </si>
  <si>
    <t>539</t>
  </si>
  <si>
    <t>1329474380_LDCB1F</t>
  </si>
  <si>
    <t>Phạm Duy Khôi</t>
  </si>
  <si>
    <t>09/08/24 14:38</t>
  </si>
  <si>
    <t>11/08/24 11:00</t>
  </si>
  <si>
    <t>044060000014</t>
  </si>
  <si>
    <t>526</t>
  </si>
  <si>
    <t>Jerome Solti</t>
  </si>
  <si>
    <t>09/08/24 22:54</t>
  </si>
  <si>
    <t>535</t>
  </si>
  <si>
    <t>Lê Văn Phỉ</t>
  </si>
  <si>
    <t>10/08/24 14:20</t>
  </si>
  <si>
    <t>536</t>
  </si>
  <si>
    <t>Chi Truong</t>
  </si>
  <si>
    <t>11/08/24 13:53</t>
  </si>
  <si>
    <t>12/08/24 08:33</t>
  </si>
  <si>
    <t>0983330068</t>
  </si>
  <si>
    <t>528</t>
  </si>
  <si>
    <t>1327525756_LDCB1F</t>
  </si>
  <si>
    <t>Lin Chin Hung</t>
  </si>
  <si>
    <t>11/08/24 13:38</t>
  </si>
  <si>
    <t>12/08/24 08:34</t>
  </si>
  <si>
    <t>541</t>
  </si>
  <si>
    <t>11/08/24 12:20</t>
  </si>
  <si>
    <t>540</t>
  </si>
  <si>
    <t>Đặng Xuân Hải</t>
  </si>
  <si>
    <t>11/08/24 17:54</t>
  </si>
  <si>
    <t>12/08/24 09:24</t>
  </si>
  <si>
    <t>542</t>
  </si>
  <si>
    <t>TRẦN NGỌC ĐỊNH</t>
  </si>
  <si>
    <t>12/08/24 10:04</t>
  </si>
  <si>
    <t>0386699744</t>
  </si>
  <si>
    <t>075098010072</t>
  </si>
  <si>
    <t>516</t>
  </si>
  <si>
    <t>Kao Haowei</t>
  </si>
  <si>
    <t>12/08/24 13:49</t>
  </si>
  <si>
    <t>13/08/24 10:42</t>
  </si>
  <si>
    <t>84 0388116023</t>
  </si>
  <si>
    <t>545</t>
  </si>
  <si>
    <t>1331020560_LDCB1F</t>
  </si>
  <si>
    <t>437</t>
  </si>
  <si>
    <t>Hoàng phúc</t>
  </si>
  <si>
    <t>12/08/24 15:16</t>
  </si>
  <si>
    <t>13/08/24 10:50</t>
  </si>
  <si>
    <t>+84858938557</t>
  </si>
  <si>
    <t>Tonghoangphuc1997@gmail.com</t>
  </si>
  <si>
    <t>080097014136</t>
  </si>
  <si>
    <t>531</t>
  </si>
  <si>
    <t>78811685670</t>
  </si>
  <si>
    <t>Perkins Jon</t>
  </si>
  <si>
    <t>12/08/24 20:12</t>
  </si>
  <si>
    <t>14/08/24 10:57</t>
  </si>
  <si>
    <t>1 8774909883</t>
  </si>
  <si>
    <t>756470510_LDCB1F</t>
  </si>
  <si>
    <t>Lê Thị Mỹ Nhung</t>
  </si>
  <si>
    <t>14/08/24 14:22</t>
  </si>
  <si>
    <t>15/08/24 09:06</t>
  </si>
  <si>
    <t>553</t>
  </si>
  <si>
    <t>14/08/24 15:47</t>
  </si>
  <si>
    <t>558</t>
  </si>
  <si>
    <t>Nguyen Trang Phuong Anh</t>
  </si>
  <si>
    <t>11/08/24 15:08</t>
  </si>
  <si>
    <t>538</t>
  </si>
  <si>
    <t>456780383_LDCB1F</t>
  </si>
  <si>
    <t>14/08/24 14:20</t>
  </si>
  <si>
    <t>15/08/24 10:31</t>
  </si>
  <si>
    <t>552</t>
  </si>
  <si>
    <t>Teck Chye Lim</t>
  </si>
  <si>
    <t>11/08/24 16:04</t>
  </si>
  <si>
    <t>15/08/24 11:00</t>
  </si>
  <si>
    <t>+65 2035640799</t>
  </si>
  <si>
    <t>lchye.366450@guest.booking.com</t>
  </si>
  <si>
    <t>521</t>
  </si>
  <si>
    <t>4422560123_LDCB1F</t>
  </si>
  <si>
    <t>Nguyen Thi Thuc Anh</t>
  </si>
  <si>
    <t>15/08/24 17:41</t>
  </si>
  <si>
    <t>16/08/24 08:34</t>
  </si>
  <si>
    <t>+84392898791</t>
  </si>
  <si>
    <t>pdnqtp.419004@guest.booking.com</t>
  </si>
  <si>
    <t>561</t>
  </si>
  <si>
    <t>4437375238_LDCB1F</t>
  </si>
  <si>
    <t>15/08/24 19:12</t>
  </si>
  <si>
    <t>16/08/24 08:35</t>
  </si>
  <si>
    <t>562</t>
  </si>
  <si>
    <t>Trần Phương Dung</t>
  </si>
  <si>
    <t>13/08/24 13:49</t>
  </si>
  <si>
    <t>16/08/24 10:14</t>
  </si>
  <si>
    <t>544</t>
  </si>
  <si>
    <t>chị Trâm</t>
  </si>
  <si>
    <t>16/08/24 10:19</t>
  </si>
  <si>
    <t>550</t>
  </si>
  <si>
    <t>HILL WARREN DOUGLAS</t>
  </si>
  <si>
    <t>15/08/24 17:26</t>
  </si>
  <si>
    <t>16/08/24 11:00</t>
  </si>
  <si>
    <t>84 +84345798457</t>
  </si>
  <si>
    <t>PA1643732</t>
  </si>
  <si>
    <t>560</t>
  </si>
  <si>
    <t>1334388520_LDCB1F</t>
  </si>
  <si>
    <t>park soojung</t>
  </si>
  <si>
    <t>16/08/24 22:32</t>
  </si>
  <si>
    <t>17/08/24 08:52</t>
  </si>
  <si>
    <t>82 +821047864946</t>
  </si>
  <si>
    <t>317</t>
  </si>
  <si>
    <t>1291841312_LDCB1F</t>
  </si>
  <si>
    <t>Graham Anthony</t>
  </si>
  <si>
    <t>15/08/24 17:23</t>
  </si>
  <si>
    <t>17/08/24 09:37</t>
  </si>
  <si>
    <t>8675582628521</t>
  </si>
  <si>
    <t>y8efo9sgx5@m.expediapartnercentral.com</t>
  </si>
  <si>
    <t>551</t>
  </si>
  <si>
    <t>300037612_LDCB1F</t>
  </si>
  <si>
    <t>16/08/24 15:48</t>
  </si>
  <si>
    <t>17/08/24 10:51</t>
  </si>
  <si>
    <t>568</t>
  </si>
  <si>
    <t>16/08/24 14:56</t>
  </si>
  <si>
    <t>17/08/24 11:00</t>
  </si>
  <si>
    <t>563</t>
  </si>
  <si>
    <t>Vvvbeo</t>
  </si>
  <si>
    <t>17/08/24 10:04</t>
  </si>
  <si>
    <t>17/08/24 11:28</t>
  </si>
  <si>
    <t>0905888929</t>
  </si>
  <si>
    <t>564</t>
  </si>
  <si>
    <t>william</t>
  </si>
  <si>
    <t>17/08/24 14:01</t>
  </si>
  <si>
    <t>17/08/24 16:00</t>
  </si>
  <si>
    <t>574</t>
  </si>
  <si>
    <t>16/08/24 17:12</t>
  </si>
  <si>
    <t>18/08/24 08:17</t>
  </si>
  <si>
    <t>548</t>
  </si>
  <si>
    <t>Thái Long Thiên Thảo</t>
  </si>
  <si>
    <t>17/08/24 21:46</t>
  </si>
  <si>
    <t>18/08/24 10:46</t>
  </si>
  <si>
    <t>571</t>
  </si>
  <si>
    <t>Trần Thế Trọng</t>
  </si>
  <si>
    <t>15/08/24 15:32</t>
  </si>
  <si>
    <t>19/08/24 08:41</t>
  </si>
  <si>
    <t>0901644134</t>
  </si>
  <si>
    <t>557</t>
  </si>
  <si>
    <t>470</t>
  </si>
  <si>
    <t>Kiều Nguyễn</t>
  </si>
  <si>
    <t>16/08/24 15:12</t>
  </si>
  <si>
    <t>19/08/24 09:48</t>
  </si>
  <si>
    <t>566</t>
  </si>
  <si>
    <t>471</t>
  </si>
  <si>
    <t>Dimple Sharma</t>
  </si>
  <si>
    <t>19/08/24 10:01</t>
  </si>
  <si>
    <t>19/08/24 16:12</t>
  </si>
  <si>
    <t>+65 8118 2004</t>
  </si>
  <si>
    <t>567</t>
  </si>
  <si>
    <t>Truong thi cam linh linh</t>
  </si>
  <si>
    <t>19/08/24 14:02</t>
  </si>
  <si>
    <t>20/08/24 08:30</t>
  </si>
  <si>
    <t>55h02wadjf@m.expediapartnercentral.com</t>
  </si>
  <si>
    <t>579</t>
  </si>
  <si>
    <t>302829875_LDCB1F</t>
  </si>
  <si>
    <t>Yumy</t>
  </si>
  <si>
    <t>19/08/24 14:42</t>
  </si>
  <si>
    <t>20/08/24 08:55</t>
  </si>
  <si>
    <t>0944222926</t>
  </si>
  <si>
    <t>569</t>
  </si>
  <si>
    <t>570</t>
  </si>
  <si>
    <t>Nguyễn Phú Hào</t>
  </si>
  <si>
    <t>18/08/24 13:50</t>
  </si>
  <si>
    <t>20/08/24 10:07</t>
  </si>
  <si>
    <t>0903960969</t>
  </si>
  <si>
    <t>575</t>
  </si>
  <si>
    <t>15/08/24 16:21</t>
  </si>
  <si>
    <t>20/08/24 11:00</t>
  </si>
  <si>
    <t>549</t>
  </si>
  <si>
    <t>Balázs Ben</t>
  </si>
  <si>
    <t>17/08/24 19:17</t>
  </si>
  <si>
    <t>36706398323</t>
  </si>
  <si>
    <t>577</t>
  </si>
  <si>
    <t>HM2MFXRC4P_LDCB1F</t>
  </si>
  <si>
    <t>484</t>
  </si>
  <si>
    <t>Xinh</t>
  </si>
  <si>
    <t>20/08/24 11:11</t>
  </si>
  <si>
    <t>20/08/24 12:55</t>
  </si>
  <si>
    <t>0978237678</t>
  </si>
  <si>
    <t>582</t>
  </si>
  <si>
    <t>Hoàng Thanh</t>
  </si>
  <si>
    <t>20/08/24 12:05</t>
  </si>
  <si>
    <t>20/08/24 14:10</t>
  </si>
  <si>
    <t>0975888228</t>
  </si>
  <si>
    <t>580</t>
  </si>
  <si>
    <t>485</t>
  </si>
  <si>
    <t>Nguyễn Ngọc Thành</t>
  </si>
  <si>
    <t>20/08/24 12:21</t>
  </si>
  <si>
    <t>20/08/24 14:11</t>
  </si>
  <si>
    <t>0967787724</t>
  </si>
  <si>
    <t>583</t>
  </si>
  <si>
    <t>20/08/24 19:29</t>
  </si>
  <si>
    <t>573</t>
  </si>
  <si>
    <t>NAGASAWA HIROSHI</t>
  </si>
  <si>
    <t>14/08/24 15:35</t>
  </si>
  <si>
    <t>21/08/24 08:26</t>
  </si>
  <si>
    <t>810358438385</t>
  </si>
  <si>
    <t>e3m8pie6sc@m.expediapartnercentral.com</t>
  </si>
  <si>
    <t>246273637_LDCB1F</t>
  </si>
  <si>
    <t>19/08/24 14:01</t>
  </si>
  <si>
    <t>21/08/24 17:00</t>
  </si>
  <si>
    <t>0902612568</t>
  </si>
  <si>
    <t>578</t>
  </si>
  <si>
    <t>Bùi Thị Kim Oanh</t>
  </si>
  <si>
    <t>21/08/24 15:19</t>
  </si>
  <si>
    <t>22/08/24 11:00</t>
  </si>
  <si>
    <t>0333722127</t>
  </si>
  <si>
    <t>588</t>
  </si>
  <si>
    <t>Henry Nathan</t>
  </si>
  <si>
    <t>20/08/24 21:07</t>
  </si>
  <si>
    <t>23/08/24 11:00</t>
  </si>
  <si>
    <t>581</t>
  </si>
  <si>
    <t>1339137652_LDCB1F</t>
  </si>
  <si>
    <t>FARUQUE MD OMAR</t>
  </si>
  <si>
    <t>21/08/24 22:34</t>
  </si>
  <si>
    <t>B00040859</t>
  </si>
  <si>
    <t>591</t>
  </si>
  <si>
    <t>MARK ANTHONY SEQUERAH</t>
  </si>
  <si>
    <t>22/08/24 23:30</t>
  </si>
  <si>
    <t>A55803996</t>
  </si>
  <si>
    <t>596</t>
  </si>
  <si>
    <t>TRẦN THỊ MẠNH</t>
  </si>
  <si>
    <t>23/08/24 12:19</t>
  </si>
  <si>
    <t>23/08/24 14:20</t>
  </si>
  <si>
    <t>2710112026</t>
  </si>
  <si>
    <t>599</t>
  </si>
  <si>
    <t>Nguyễn Hữu Khánh</t>
  </si>
  <si>
    <t>21/08/24 13:25</t>
  </si>
  <si>
    <t>24/08/24 08:08</t>
  </si>
  <si>
    <t>0936177689</t>
  </si>
  <si>
    <t>587</t>
  </si>
  <si>
    <t>ADAMOS COSTAS</t>
  </si>
  <si>
    <t>21/08/24 17:47</t>
  </si>
  <si>
    <t>24/08/24 09:36</t>
  </si>
  <si>
    <t>PA4961014</t>
  </si>
  <si>
    <t>589</t>
  </si>
  <si>
    <t>MANOTHAM SCOTT PRASEUTHSIN</t>
  </si>
  <si>
    <t>21/08/24 17:48</t>
  </si>
  <si>
    <t>24/08/24 10:10</t>
  </si>
  <si>
    <t>PA7875497</t>
  </si>
  <si>
    <t>590</t>
  </si>
  <si>
    <t>TẠ THỊ NHƯ TIÊN</t>
  </si>
  <si>
    <t>22/08/24 17:00</t>
  </si>
  <si>
    <t>24/08/24 11:00</t>
  </si>
  <si>
    <t>052195007216</t>
  </si>
  <si>
    <t>595</t>
  </si>
  <si>
    <t>HUỲNH QUỐC HUY</t>
  </si>
  <si>
    <t>24/08/24 01:22</t>
  </si>
  <si>
    <t>072093002667</t>
  </si>
  <si>
    <t>ĐỖ GIA LINH THẢO</t>
  </si>
  <si>
    <t>24/08/24 11:35</t>
  </si>
  <si>
    <t>24/08/24 15:30</t>
  </si>
  <si>
    <t>079186019128</t>
  </si>
  <si>
    <t>605</t>
  </si>
  <si>
    <t>21/08/24 13:26</t>
  </si>
  <si>
    <t>25/08/24 08:05</t>
  </si>
  <si>
    <t>586</t>
  </si>
  <si>
    <t>23/08/24 21:53</t>
  </si>
  <si>
    <t>Quý</t>
  </si>
  <si>
    <t>24/08/24 21:07</t>
  </si>
  <si>
    <t>0914.923588</t>
  </si>
  <si>
    <t>600</t>
  </si>
  <si>
    <t>DƯƠNG GIA BẢO</t>
  </si>
  <si>
    <t>24/08/24 14:47</t>
  </si>
  <si>
    <t>25/08/24 08:06</t>
  </si>
  <si>
    <t>001096013529</t>
  </si>
  <si>
    <t>607</t>
  </si>
  <si>
    <t>Trần Hữu Chiến</t>
  </si>
  <si>
    <t>24/08/24 17:01</t>
  </si>
  <si>
    <t>0908949777</t>
  </si>
  <si>
    <t>SỬ NGUYỄN HẢI YẾN</t>
  </si>
  <si>
    <t>24/08/24 14:12</t>
  </si>
  <si>
    <t>25/08/24 08:44</t>
  </si>
  <si>
    <t>068195008742</t>
  </si>
  <si>
    <t>604</t>
  </si>
  <si>
    <t>Nguyễn Thị Uyên Phương</t>
  </si>
  <si>
    <t>24/08/24 18:17</t>
  </si>
  <si>
    <t>25/08/24 10:10</t>
  </si>
  <si>
    <t>610</t>
  </si>
  <si>
    <t>609</t>
  </si>
  <si>
    <t>Nguyễn Thị Hồng Phượng</t>
  </si>
  <si>
    <t>24/08/24 17:34</t>
  </si>
  <si>
    <t>26/08/24 08:25</t>
  </si>
  <si>
    <t>0912252018</t>
  </si>
  <si>
    <t>608</t>
  </si>
  <si>
    <t>Đặng Trung Nguyên</t>
  </si>
  <si>
    <t>25/08/24 13:53</t>
  </si>
  <si>
    <t>616</t>
  </si>
  <si>
    <t>Amit Kumar</t>
  </si>
  <si>
    <t>25/08/24 09:38</t>
  </si>
  <si>
    <t>26/08/24 08:37</t>
  </si>
  <si>
    <t>615</t>
  </si>
  <si>
    <t>Nguyễn Tiến Hà</t>
  </si>
  <si>
    <t>16/08/24 17:26</t>
  </si>
  <si>
    <t>26/08/24 10:58</t>
  </si>
  <si>
    <t>0789122491</t>
  </si>
  <si>
    <t>559</t>
  </si>
  <si>
    <t>NGUYỄN THỊ PHI NHƯNG</t>
  </si>
  <si>
    <t>25/08/24 09:22</t>
  </si>
  <si>
    <t>26/08/24 14:33</t>
  </si>
  <si>
    <t>089199013378</t>
  </si>
  <si>
    <t>614</t>
  </si>
  <si>
    <t>469</t>
  </si>
  <si>
    <t>Soh Elisha Daniel</t>
  </si>
  <si>
    <t>22/08/24 15:57</t>
  </si>
  <si>
    <t>26/08/24 14:47</t>
  </si>
  <si>
    <t>6593833319</t>
  </si>
  <si>
    <t>K2410638G</t>
  </si>
  <si>
    <t>565</t>
  </si>
  <si>
    <t>HM3B28H9DM_LDCB1F</t>
  </si>
  <si>
    <t>Nguyễn Vinh Quang</t>
  </si>
  <si>
    <t>26/08/24 15:38</t>
  </si>
  <si>
    <t>26/08/24 17:30</t>
  </si>
  <si>
    <t>627</t>
  </si>
  <si>
    <t>26/08/24 15:01</t>
  </si>
  <si>
    <t>27/08/24 11:00</t>
  </si>
  <si>
    <t>626</t>
  </si>
  <si>
    <t>25/08/24 23:26</t>
  </si>
  <si>
    <t>27/08/24 16:25</t>
  </si>
  <si>
    <t>624</t>
  </si>
  <si>
    <t>529</t>
  </si>
  <si>
    <t>Trương Công Mỹ</t>
  </si>
  <si>
    <t>27/08/24 21:30</t>
  </si>
  <si>
    <t>28/08/24 08:09</t>
  </si>
  <si>
    <t>635</t>
  </si>
  <si>
    <t>mo fangkun</t>
  </si>
  <si>
    <t>26/08/24 23:00</t>
  </si>
  <si>
    <t>86055165299777</t>
  </si>
  <si>
    <t>w372llxmyb@m.expediapartnercentral.com</t>
  </si>
  <si>
    <t>630</t>
  </si>
  <si>
    <t>308243931_LDCB1F</t>
  </si>
  <si>
    <t>Angier Tim</t>
  </si>
  <si>
    <t>27/08/24 14:44</t>
  </si>
  <si>
    <t>28/08/24 08:10</t>
  </si>
  <si>
    <t>64272009508</t>
  </si>
  <si>
    <t>631</t>
  </si>
  <si>
    <t>HMYXCB2K4D_LDCB1F</t>
  </si>
  <si>
    <t>Hồng nhung</t>
  </si>
  <si>
    <t>27/08/24 17:28</t>
  </si>
  <si>
    <t>28/08/24 10:48</t>
  </si>
  <si>
    <t>+84964576280</t>
  </si>
  <si>
    <t>Hongnhung8521452@gmail.com</t>
  </si>
  <si>
    <t>075303007964</t>
  </si>
  <si>
    <t>632</t>
  </si>
  <si>
    <t>TRÂM</t>
  </si>
  <si>
    <t>26/08/24 18:24</t>
  </si>
  <si>
    <t>28/08/24 11:00</t>
  </si>
  <si>
    <t>628</t>
  </si>
  <si>
    <t>527</t>
  </si>
  <si>
    <t>Trịnh Quốc Mạnh</t>
  </si>
  <si>
    <t>27/08/24 16:51</t>
  </si>
  <si>
    <t>633</t>
  </si>
  <si>
    <t>Thảo Nguyên</t>
  </si>
  <si>
    <t>27/08/24 13:23</t>
  </si>
  <si>
    <t>29/08/24 11:00</t>
  </si>
  <si>
    <t>0918341519</t>
  </si>
  <si>
    <t>546</t>
  </si>
  <si>
    <t>SEOL YEONGUK</t>
  </si>
  <si>
    <t>25/08/24 14:42</t>
  </si>
  <si>
    <t>M179X7903</t>
  </si>
  <si>
    <t>619</t>
  </si>
  <si>
    <t>JEONG GUANGJUN</t>
  </si>
  <si>
    <t>25/08/24 15:02</t>
  </si>
  <si>
    <t>M482B4649</t>
  </si>
  <si>
    <t>621</t>
  </si>
  <si>
    <t>AN JUNGWON</t>
  </si>
  <si>
    <t>25/08/24 15:10</t>
  </si>
  <si>
    <t>M456M9105</t>
  </si>
  <si>
    <t>623</t>
  </si>
  <si>
    <t>MCCORMICK MADISON RAE</t>
  </si>
  <si>
    <t>28/08/24 20:34</t>
  </si>
  <si>
    <t>18043809930</t>
  </si>
  <si>
    <t>567058296</t>
  </si>
  <si>
    <t>625</t>
  </si>
  <si>
    <t>HMMY9J9Y33_LDCB1F</t>
  </si>
  <si>
    <t>You Young Sang</t>
  </si>
  <si>
    <t>29/08/24 11:10</t>
  </si>
  <si>
    <t>618</t>
  </si>
  <si>
    <t>LEE JAEWOONG</t>
  </si>
  <si>
    <t>W87540751</t>
  </si>
  <si>
    <t>620</t>
  </si>
  <si>
    <t>NGUYỄN VIỆT QUANG</t>
  </si>
  <si>
    <t>28/08/24 19:54</t>
  </si>
  <si>
    <t>30/08/24 08:05</t>
  </si>
  <si>
    <t>038204033000</t>
  </si>
  <si>
    <t>638</t>
  </si>
  <si>
    <t>LEE YUJIN</t>
  </si>
  <si>
    <t>M756T3821</t>
  </si>
  <si>
    <t>622</t>
  </si>
  <si>
    <t>Đặng Chu Thao</t>
  </si>
  <si>
    <t>29/08/24 17:53</t>
  </si>
  <si>
    <t>30/08/24 08:06</t>
  </si>
  <si>
    <t>641</t>
  </si>
  <si>
    <t>Liu Xiaojian</t>
  </si>
  <si>
    <t>29/08/24 13:41</t>
  </si>
  <si>
    <t>30/08/24 10:52</t>
  </si>
  <si>
    <t>EM9390995</t>
  </si>
  <si>
    <t>639</t>
  </si>
  <si>
    <t>1349323616_LDCB1F</t>
  </si>
  <si>
    <t>TRẦN HỒNG NGỌC</t>
  </si>
  <si>
    <t>28/08/24 13:46</t>
  </si>
  <si>
    <t>30/08/24 11:00</t>
  </si>
  <si>
    <t>0399326997</t>
  </si>
  <si>
    <t>036197019067</t>
  </si>
  <si>
    <t>634</t>
  </si>
  <si>
    <t>Vòng Sau Phình</t>
  </si>
  <si>
    <t>30/08/24 17:43</t>
  </si>
  <si>
    <t>31/08/24 10:05</t>
  </si>
  <si>
    <t>645</t>
  </si>
  <si>
    <t>494</t>
  </si>
  <si>
    <t>Kim Honggi</t>
  </si>
  <si>
    <t>29/08/24 16:27</t>
  </si>
  <si>
    <t>M79328941</t>
  </si>
  <si>
    <t>592</t>
  </si>
  <si>
    <t>31/08/24 11:00</t>
  </si>
  <si>
    <t>30/08/24 18:41</t>
  </si>
  <si>
    <t>547</t>
  </si>
  <si>
    <t>30/08/24 19:40</t>
  </si>
  <si>
    <t>611</t>
  </si>
  <si>
    <t>Perez Garcia</t>
  </si>
  <si>
    <t>29/08/24 19:45</t>
  </si>
  <si>
    <t>01/09/24 08:19</t>
  </si>
  <si>
    <t>642</t>
  </si>
  <si>
    <t>530</t>
  </si>
  <si>
    <t xml:space="preserve"> Phạm Nguyễn Minh Ngọc</t>
  </si>
  <si>
    <t>31/08/24 14:31</t>
  </si>
  <si>
    <t>+84966012548</t>
  </si>
  <si>
    <t>phamminhngoc.nakagawa@gmail.com</t>
  </si>
  <si>
    <t>636</t>
  </si>
  <si>
    <t>72482083183</t>
  </si>
  <si>
    <t>30/08/24 17:04</t>
  </si>
  <si>
    <t>01/09/24 11:00</t>
  </si>
  <si>
    <t>644</t>
  </si>
  <si>
    <t>BÙI THỊ NGỌC DIỄM</t>
  </si>
  <si>
    <t>31/08/24 16:10</t>
  </si>
  <si>
    <t>064180009993</t>
  </si>
  <si>
    <t>654</t>
  </si>
  <si>
    <t>Ho yung han</t>
  </si>
  <si>
    <t>30/08/24 14:03</t>
  </si>
  <si>
    <t>01/09/24 11:16</t>
  </si>
  <si>
    <t>886 +886958036637</t>
  </si>
  <si>
    <t>1327359692_LDCB1F</t>
  </si>
  <si>
    <t>31/08/24 22:28</t>
  </si>
  <si>
    <t>01/09/24 14:12</t>
  </si>
  <si>
    <t>655</t>
  </si>
  <si>
    <t>pham Trinh</t>
  </si>
  <si>
    <t>02/09/24 00:00</t>
  </si>
  <si>
    <t>02/09/24 09:47</t>
  </si>
  <si>
    <t>tpham.471091@guest.booking.com</t>
  </si>
  <si>
    <t>659</t>
  </si>
  <si>
    <t>4953937155_LDCB1F</t>
  </si>
  <si>
    <t>Tiêu Ngọc Hằng</t>
  </si>
  <si>
    <t>31/08/24 07:54</t>
  </si>
  <si>
    <t>02/09/24 10:41</t>
  </si>
  <si>
    <t>650</t>
  </si>
  <si>
    <t>Le Nguyen Son Tuyen</t>
  </si>
  <si>
    <t>01/09/24 14:11</t>
  </si>
  <si>
    <t>02/09/24 14:52</t>
  </si>
  <si>
    <t>K0438688</t>
  </si>
  <si>
    <t>646</t>
  </si>
  <si>
    <t>Tang Zhensheng</t>
  </si>
  <si>
    <t>EM5370168</t>
  </si>
  <si>
    <t>649</t>
  </si>
  <si>
    <t>Zhou Junxuan</t>
  </si>
  <si>
    <t>0344463019</t>
  </si>
  <si>
    <t>EJ8123184</t>
  </si>
  <si>
    <t>648</t>
  </si>
  <si>
    <t>Hồng Kỳ</t>
  </si>
  <si>
    <t>02/09/24 15:21</t>
  </si>
  <si>
    <t>02/09/24 17:30</t>
  </si>
  <si>
    <t>662</t>
  </si>
  <si>
    <t>Xu Xiaohui</t>
  </si>
  <si>
    <t>02/09/24 18:00</t>
  </si>
  <si>
    <t>EN2570847</t>
  </si>
  <si>
    <t>647</t>
  </si>
  <si>
    <t>Zhou Shiyue</t>
  </si>
  <si>
    <t>02/09/24 13:22</t>
  </si>
  <si>
    <t>03/09/24 10:54</t>
  </si>
  <si>
    <t>661</t>
  </si>
  <si>
    <t>555</t>
  </si>
  <si>
    <t>Nguyễn Thị Thu Hào</t>
  </si>
  <si>
    <t>02/09/24 18:43</t>
  </si>
  <si>
    <t>664</t>
  </si>
  <si>
    <t>Nguyễn Anh Tuấn</t>
  </si>
  <si>
    <t>31/08/24 14:03</t>
  </si>
  <si>
    <t>03/09/24 23:00</t>
  </si>
  <si>
    <t>0363246555</t>
  </si>
  <si>
    <t>643</t>
  </si>
  <si>
    <t>UM HEEKWON</t>
  </si>
  <si>
    <t>31/08/24 12:44</t>
  </si>
  <si>
    <t>05/09/24 10:14</t>
  </si>
  <si>
    <t>M210R2393</t>
  </si>
  <si>
    <t>653</t>
  </si>
  <si>
    <t>03/09/24 14:35</t>
  </si>
  <si>
    <t>667</t>
  </si>
  <si>
    <t>COHEN SCOTT HARRISON</t>
  </si>
  <si>
    <t>03/09/24 14:01</t>
  </si>
  <si>
    <t>05/09/24 10:52</t>
  </si>
  <si>
    <t>+84 203 5640 799</t>
  </si>
  <si>
    <t>scohen.601579@guest.booking.com</t>
  </si>
  <si>
    <t>588784992</t>
  </si>
  <si>
    <t>660</t>
  </si>
  <si>
    <t>4767123248_LDCB1F</t>
  </si>
  <si>
    <t>03/09/24 14:36</t>
  </si>
  <si>
    <t>05/09/24 11:00</t>
  </si>
  <si>
    <t>668</t>
  </si>
  <si>
    <t>04/09/24 22:55</t>
  </si>
  <si>
    <t>05/09/24 12:29</t>
  </si>
  <si>
    <t>670</t>
  </si>
  <si>
    <t>26/08/24 14:01</t>
  </si>
  <si>
    <t>06/09/24 11:00</t>
  </si>
  <si>
    <t>617</t>
  </si>
  <si>
    <t>Nguyễn Ánh</t>
  </si>
  <si>
    <t>05/09/24 15:30</t>
  </si>
  <si>
    <t>06/09/24 11:27</t>
  </si>
  <si>
    <t>84904247629</t>
  </si>
  <si>
    <t>658</t>
  </si>
  <si>
    <t>HMRJNPF5MP_LDCB1F</t>
  </si>
  <si>
    <t>Khúc Thị Thanh Vân</t>
  </si>
  <si>
    <t>05/09/24 22:59</t>
  </si>
  <si>
    <t>06/09/24 15:22</t>
  </si>
  <si>
    <t>673</t>
  </si>
  <si>
    <t>674</t>
  </si>
  <si>
    <t>nguyen thi truc linh</t>
  </si>
  <si>
    <t>07/09/24 03:27</t>
  </si>
  <si>
    <t>07/09/24 08:46</t>
  </si>
  <si>
    <t>+84 165636003</t>
  </si>
  <si>
    <t>znjbjg.945986@guest.booking.com</t>
  </si>
  <si>
    <t>678</t>
  </si>
  <si>
    <t>4848486293_LDCB1F</t>
  </si>
  <si>
    <t>554</t>
  </si>
  <si>
    <t>Jindamongkon,Jarupa</t>
  </si>
  <si>
    <t>06/09/24 16:09</t>
  </si>
  <si>
    <t>07/09/24 09:33</t>
  </si>
  <si>
    <t>663</t>
  </si>
  <si>
    <t>Lưu Khắc Vương</t>
  </si>
  <si>
    <t>07/09/24 18:40</t>
  </si>
  <si>
    <t>08/09/24 10:00</t>
  </si>
  <si>
    <t>038093004638</t>
  </si>
  <si>
    <t>684</t>
  </si>
  <si>
    <t>Trương Trần Gia Hân</t>
  </si>
  <si>
    <t>07/09/24 18:24</t>
  </si>
  <si>
    <t>077302004240</t>
  </si>
  <si>
    <t>676</t>
  </si>
  <si>
    <t>Bảo Quỳnh</t>
  </si>
  <si>
    <t>06/09/24 22:06</t>
  </si>
  <si>
    <t>08/09/24 11:00</t>
  </si>
  <si>
    <t>666</t>
  </si>
  <si>
    <t>Trần Thị Thúy Vi</t>
  </si>
  <si>
    <t>06/09/24 16:34</t>
  </si>
  <si>
    <t>677</t>
  </si>
  <si>
    <t>Huyền</t>
  </si>
  <si>
    <t>07/09/24 15:41</t>
  </si>
  <si>
    <t>0866698403</t>
  </si>
  <si>
    <t>682</t>
  </si>
  <si>
    <t>Anh Thi</t>
  </si>
  <si>
    <t>08/09/24 12:27</t>
  </si>
  <si>
    <t>08/09/24 14:37</t>
  </si>
  <si>
    <t>687</t>
  </si>
  <si>
    <t>Trịnh Trọng</t>
  </si>
  <si>
    <t>08/09/24 15:27</t>
  </si>
  <si>
    <t>686</t>
  </si>
  <si>
    <t>576</t>
  </si>
  <si>
    <t>Phú</t>
  </si>
  <si>
    <t>08/09/24 18:15</t>
  </si>
  <si>
    <t>689</t>
  </si>
  <si>
    <t>Truc Le</t>
  </si>
  <si>
    <t>04/09/24 15:50</t>
  </si>
  <si>
    <t>09/09/24 11:00</t>
  </si>
  <si>
    <t>637</t>
  </si>
  <si>
    <t>Quỳnhh Như</t>
  </si>
  <si>
    <t>06/09/24 23:36</t>
  </si>
  <si>
    <t>0888628622</t>
  </si>
  <si>
    <t>671</t>
  </si>
  <si>
    <t>07/09/24 14:36</t>
  </si>
  <si>
    <t>672</t>
  </si>
  <si>
    <t>SIMPON ADAM</t>
  </si>
  <si>
    <t>08/09/24 15:46</t>
  </si>
  <si>
    <t>688</t>
  </si>
  <si>
    <t>572</t>
  </si>
  <si>
    <t>Phan Văn Long</t>
  </si>
  <si>
    <t>08/09/24 14:50</t>
  </si>
  <si>
    <t>10/09/24 08:35</t>
  </si>
  <si>
    <t>0941397368</t>
  </si>
  <si>
    <t>685</t>
  </si>
  <si>
    <t>Speh Simon</t>
  </si>
  <si>
    <t>06/09/24 14:10</t>
  </si>
  <si>
    <t>10/09/24 09:30</t>
  </si>
  <si>
    <t>675</t>
  </si>
  <si>
    <t>Mai Md Apbul</t>
  </si>
  <si>
    <t>09/09/24 22:52</t>
  </si>
  <si>
    <t>10/09/24 11:00</t>
  </si>
  <si>
    <t>694</t>
  </si>
  <si>
    <t>Lê Thị Bích Nhạn</t>
  </si>
  <si>
    <t>09/09/24 14:23</t>
  </si>
  <si>
    <t>10/09/24 15:05</t>
  </si>
  <si>
    <t>692</t>
  </si>
  <si>
    <t>Kim Trà</t>
  </si>
  <si>
    <t>11/09/24 12:25</t>
  </si>
  <si>
    <t>11/09/24 13:35</t>
  </si>
  <si>
    <t>08/09/24 16:40</t>
  </si>
  <si>
    <t>11/09/24 18:00</t>
  </si>
  <si>
    <t>683</t>
  </si>
  <si>
    <t>09/09/24 17:37</t>
  </si>
  <si>
    <t>695</t>
  </si>
  <si>
    <t>585</t>
  </si>
  <si>
    <t>Nguyễn Lê Hòng Minh</t>
  </si>
  <si>
    <t>11/09/24 13:56</t>
  </si>
  <si>
    <t>12/09/24 10:29</t>
  </si>
  <si>
    <t>698</t>
  </si>
  <si>
    <t>Hoàng Thị Kim Liên</t>
  </si>
  <si>
    <t>12/09/24 11:00</t>
  </si>
  <si>
    <t>0972107554</t>
  </si>
  <si>
    <t>690</t>
  </si>
  <si>
    <t>Widayat Anang</t>
  </si>
  <si>
    <t>10/09/24 14:47</t>
  </si>
  <si>
    <t>12/09/24 11:21</t>
  </si>
  <si>
    <t>+61 2035640799</t>
  </si>
  <si>
    <t>awiday.952621@guest.booking.com</t>
  </si>
  <si>
    <t>679</t>
  </si>
  <si>
    <t>4433692047_LDCB1F</t>
  </si>
  <si>
    <t>Anang Widayat</t>
  </si>
  <si>
    <t>+61410331376</t>
  </si>
  <si>
    <t>680</t>
  </si>
  <si>
    <t>Chris Bryson</t>
  </si>
  <si>
    <t>12/09/24 16:33</t>
  </si>
  <si>
    <t>13/09/24 09:27</t>
  </si>
  <si>
    <t>+84 978 182 224</t>
  </si>
  <si>
    <t>bchris.903888@guest.booking.com</t>
  </si>
  <si>
    <t>4581412411_LDCB1F</t>
  </si>
  <si>
    <t>Hoàng Ngọc Linh</t>
  </si>
  <si>
    <t>13/09/24 19:23</t>
  </si>
  <si>
    <t>13/09/24 21:22</t>
  </si>
  <si>
    <t>720</t>
  </si>
  <si>
    <t>Fauzaiah Binti</t>
  </si>
  <si>
    <t>13/09/24 22:12</t>
  </si>
  <si>
    <t>13/09/24 22:14</t>
  </si>
  <si>
    <t>722</t>
  </si>
  <si>
    <t>Lê Hoàng Yến</t>
  </si>
  <si>
    <t>12/09/24 14:03</t>
  </si>
  <si>
    <t>14/09/24 08:59</t>
  </si>
  <si>
    <t>693</t>
  </si>
  <si>
    <t>Hà Thị Giang Phương</t>
  </si>
  <si>
    <t>13/09/24 20:15</t>
  </si>
  <si>
    <t>14/09/24 11:00</t>
  </si>
  <si>
    <t>721</t>
  </si>
  <si>
    <t>Chung Homok</t>
  </si>
  <si>
    <t>14/09/24 12:39</t>
  </si>
  <si>
    <t>14/09/24 15:45</t>
  </si>
  <si>
    <t>723</t>
  </si>
  <si>
    <t>1367569000_LDCB1F</t>
  </si>
  <si>
    <t>Provost Ryan</t>
  </si>
  <si>
    <t>14/09/24 14:44</t>
  </si>
  <si>
    <t>15/09/24 08:33</t>
  </si>
  <si>
    <t>rprovo.603434@guest.booking.com</t>
  </si>
  <si>
    <t>725</t>
  </si>
  <si>
    <t>4941868798_LDCB1F</t>
  </si>
  <si>
    <t>556</t>
  </si>
  <si>
    <t>Nguyen Quang Phuc</t>
  </si>
  <si>
    <t>14/09/24 10:39</t>
  </si>
  <si>
    <t>15/09/24 08:36</t>
  </si>
  <si>
    <t>+84827050751</t>
  </si>
  <si>
    <t>phucnguyen95dn@gmail.com</t>
  </si>
  <si>
    <t>048095007451</t>
  </si>
  <si>
    <t>665</t>
  </si>
  <si>
    <t>86489917430</t>
  </si>
  <si>
    <t>598</t>
  </si>
  <si>
    <t>Pham Phu</t>
  </si>
  <si>
    <t>14/09/24 17:40</t>
  </si>
  <si>
    <t>15/09/24 08:47</t>
  </si>
  <si>
    <t>+84 386 056 456</t>
  </si>
  <si>
    <t>ppham.599312@guest.booking.com</t>
  </si>
  <si>
    <t>718</t>
  </si>
  <si>
    <t>4712220759_LDCB1F</t>
  </si>
  <si>
    <t>14/09/24 16:41</t>
  </si>
  <si>
    <t>15/09/24 10:45</t>
  </si>
  <si>
    <t>724</t>
  </si>
  <si>
    <t>14/09/24 17:36</t>
  </si>
  <si>
    <t>15/09/24 10:51</t>
  </si>
  <si>
    <t>699</t>
  </si>
  <si>
    <t>Trần Phú Cường</t>
  </si>
  <si>
    <t>13/09/24 20:40</t>
  </si>
  <si>
    <t>15/09/24 11:00</t>
  </si>
  <si>
    <t>0948746105</t>
  </si>
  <si>
    <t>c4wvftw7kx@m.expediapartnercentral.com</t>
  </si>
  <si>
    <t>091099002098</t>
  </si>
  <si>
    <t>681</t>
  </si>
  <si>
    <t>315991987_LDCB1F</t>
  </si>
  <si>
    <t>Trần Thị Mỹ Duyên</t>
  </si>
  <si>
    <t>14/09/24 14:30</t>
  </si>
  <si>
    <t>700</t>
  </si>
  <si>
    <t>14/09/24 14:09</t>
  </si>
  <si>
    <t>701</t>
  </si>
  <si>
    <t>606</t>
  </si>
  <si>
    <t>Phạm Hữu Cảnh</t>
  </si>
  <si>
    <t>14/09/24 16:38</t>
  </si>
  <si>
    <t>726</t>
  </si>
  <si>
    <t>15/09/24 11:10</t>
  </si>
  <si>
    <t>15/09/24 15:03</t>
  </si>
  <si>
    <t>729</t>
  </si>
  <si>
    <t>584</t>
  </si>
  <si>
    <t>Nguyễn Thị Thảo Trâm</t>
  </si>
  <si>
    <t>15/09/24 14:02</t>
  </si>
  <si>
    <t>16/09/24 11:00</t>
  </si>
  <si>
    <t>082196001620</t>
  </si>
  <si>
    <t>697</t>
  </si>
  <si>
    <t>Vũ Thị Thu Hằng</t>
  </si>
  <si>
    <t>11/09/24 13:55</t>
  </si>
  <si>
    <t>0965772560</t>
  </si>
  <si>
    <t>031302002079</t>
  </si>
  <si>
    <t>704</t>
  </si>
  <si>
    <t>597</t>
  </si>
  <si>
    <t>Urry Renee</t>
  </si>
  <si>
    <t>14/09/24 19:09</t>
  </si>
  <si>
    <t>61417413007</t>
  </si>
  <si>
    <t>PA6848413</t>
  </si>
  <si>
    <t>716</t>
  </si>
  <si>
    <t>HMEND3BET3_LDCB1F</t>
  </si>
  <si>
    <t>Smethurst Richard John</t>
  </si>
  <si>
    <t>15/09/24 22:53</t>
  </si>
  <si>
    <t>kcldoy3s3l@m.expediapartnercentral.com</t>
  </si>
  <si>
    <t>124606069</t>
  </si>
  <si>
    <t>731</t>
  </si>
  <si>
    <t>321307882_LDCB1F</t>
  </si>
  <si>
    <t>594</t>
  </si>
  <si>
    <t>Dwyer Louise</t>
  </si>
  <si>
    <t>13/09/24 23:11</t>
  </si>
  <si>
    <t>17/09/24 08:28</t>
  </si>
  <si>
    <t>61403184023</t>
  </si>
  <si>
    <t>711</t>
  </si>
  <si>
    <t>HM2XA39QTC_LDCB1F</t>
  </si>
  <si>
    <t>Lê Văn Thu</t>
  </si>
  <si>
    <t>11/09/24 20:43</t>
  </si>
  <si>
    <t>17/09/24 11:00</t>
  </si>
  <si>
    <t>019082000315</t>
  </si>
  <si>
    <t>706</t>
  </si>
  <si>
    <t>jianying huang</t>
  </si>
  <si>
    <t>12/09/24 14:02</t>
  </si>
  <si>
    <t>709</t>
  </si>
  <si>
    <t>Lê Thanh</t>
  </si>
  <si>
    <t>710</t>
  </si>
  <si>
    <t>Eom Junho</t>
  </si>
  <si>
    <t>13/09/24 17:50</t>
  </si>
  <si>
    <t>17/09/24 11:34</t>
  </si>
  <si>
    <t>821050908747</t>
  </si>
  <si>
    <t>M663D5734</t>
  </si>
  <si>
    <t>717</t>
  </si>
  <si>
    <t>HM4HY3RKWW_LDCB1F</t>
  </si>
  <si>
    <t>Mạnh</t>
  </si>
  <si>
    <t>17/09/24 11:35</t>
  </si>
  <si>
    <t>17/09/24 12:59</t>
  </si>
  <si>
    <t>094 1574787</t>
  </si>
  <si>
    <t>735</t>
  </si>
  <si>
    <t>613</t>
  </si>
  <si>
    <t>A RC</t>
  </si>
  <si>
    <t>17/09/24 08:40</t>
  </si>
  <si>
    <t>17/09/24 14:07</t>
  </si>
  <si>
    <t>733</t>
  </si>
  <si>
    <t>1370709940_LDCB1F</t>
  </si>
  <si>
    <t>đạt</t>
  </si>
  <si>
    <t>17/09/24 15:04</t>
  </si>
  <si>
    <t>17/09/24 17:00</t>
  </si>
  <si>
    <t>0975361115</t>
  </si>
  <si>
    <t>736</t>
  </si>
  <si>
    <t>Nguyễn Trọng Đạt</t>
  </si>
  <si>
    <t>17/09/24 18:00</t>
  </si>
  <si>
    <t>030072031987</t>
  </si>
  <si>
    <t>705</t>
  </si>
  <si>
    <t>Nguyễn Sỹ Đồng</t>
  </si>
  <si>
    <t>038086000322</t>
  </si>
  <si>
    <t>707</t>
  </si>
  <si>
    <t>Henry Bao</t>
  </si>
  <si>
    <t>17/09/24 20:15</t>
  </si>
  <si>
    <t>18/09/24 08:12</t>
  </si>
  <si>
    <t>739</t>
  </si>
  <si>
    <t xml:space="preserve"> Kim Ngân</t>
  </si>
  <si>
    <t>14/09/24 12:38</t>
  </si>
  <si>
    <t>18/09/24 11:00</t>
  </si>
  <si>
    <t>+84395100225</t>
  </si>
  <si>
    <t>ngongan326@gmail.com</t>
  </si>
  <si>
    <t>708</t>
  </si>
  <si>
    <t>70390763805</t>
  </si>
  <si>
    <t>Violeta Gress</t>
  </si>
  <si>
    <t>18/09/24 15:18</t>
  </si>
  <si>
    <t>19/09/24 09:15</t>
  </si>
  <si>
    <t>628882727649</t>
  </si>
  <si>
    <t>730</t>
  </si>
  <si>
    <t>HM5XNWCYH9_LDCB1F</t>
  </si>
  <si>
    <t>18/09/24 15:17</t>
  </si>
  <si>
    <t>19/09/24 09:29</t>
  </si>
  <si>
    <t>742</t>
  </si>
  <si>
    <t>nơi</t>
  </si>
  <si>
    <t>19/09/24 13:44</t>
  </si>
  <si>
    <t>19/09/24 16:30</t>
  </si>
  <si>
    <t>753</t>
  </si>
  <si>
    <t>Lê Duy Thành</t>
  </si>
  <si>
    <t>19/09/24 14:27</t>
  </si>
  <si>
    <t>20/09/24 10:27</t>
  </si>
  <si>
    <t>727</t>
  </si>
  <si>
    <t>Anh Trung CAKV</t>
  </si>
  <si>
    <t>18/09/24 22:58</t>
  </si>
  <si>
    <t>20/09/24 10:31</t>
  </si>
  <si>
    <t>750</t>
  </si>
  <si>
    <t>Phan Tuấn Dũng</t>
  </si>
  <si>
    <t>19/09/24 15:47</t>
  </si>
  <si>
    <t>20/09/24 10:32</t>
  </si>
  <si>
    <t>0974365941</t>
  </si>
  <si>
    <t>091089004537</t>
  </si>
  <si>
    <t>754</t>
  </si>
  <si>
    <t>612</t>
  </si>
  <si>
    <t>Thanh Trúc</t>
  </si>
  <si>
    <t>18/09/24 15:16</t>
  </si>
  <si>
    <t>20/09/24 11:00</t>
  </si>
  <si>
    <t>732</t>
  </si>
  <si>
    <t>Huỳnh Trọng Khánh</t>
  </si>
  <si>
    <t>20/09/24 10:00</t>
  </si>
  <si>
    <t>20/09/24 15:06</t>
  </si>
  <si>
    <t>0917 560 568</t>
  </si>
  <si>
    <t>756</t>
  </si>
  <si>
    <t>LI JIAN</t>
  </si>
  <si>
    <t>20/09/24 23:43</t>
  </si>
  <si>
    <t>21/09/24 09:20</t>
  </si>
  <si>
    <t>18pvbpddcs@m.expediapartnercentral.com</t>
  </si>
  <si>
    <t>757</t>
  </si>
  <si>
    <t>324601275_LDCB1F</t>
  </si>
  <si>
    <t>Nguyen Tuan Anh</t>
  </si>
  <si>
    <t>18/09/24 23:01</t>
  </si>
  <si>
    <t>21/09/24 11:00</t>
  </si>
  <si>
    <t>4917647657582</t>
  </si>
  <si>
    <t>eylep5yew3@m.expediapartnercentral.com</t>
  </si>
  <si>
    <t>744</t>
  </si>
  <si>
    <t>323234172_LDCB1F</t>
  </si>
  <si>
    <t>Budagjan David</t>
  </si>
  <si>
    <t>v29td1r4kj@m.expediapartnercentral.com</t>
  </si>
  <si>
    <t>745</t>
  </si>
  <si>
    <t>323234177_LDCB1F</t>
  </si>
  <si>
    <t>19/09/24 14:26</t>
  </si>
  <si>
    <t>749</t>
  </si>
  <si>
    <t>751</t>
  </si>
  <si>
    <t>640</t>
  </si>
  <si>
    <t>Chau Tran - 100135</t>
  </si>
  <si>
    <t>21/09/24 15:04</t>
  </si>
  <si>
    <t>21/09/24 17:00</t>
  </si>
  <si>
    <t>764</t>
  </si>
  <si>
    <t>Hương</t>
  </si>
  <si>
    <t>21/09/24 14:04</t>
  </si>
  <si>
    <t>22/09/24 11:00</t>
  </si>
  <si>
    <t>719</t>
  </si>
  <si>
    <t>Thành Đạt Trần</t>
  </si>
  <si>
    <t>21/09/24 13:42</t>
  </si>
  <si>
    <t>84 +84377707141</t>
  </si>
  <si>
    <t>734</t>
  </si>
  <si>
    <t>1370775200_LDCB1F</t>
  </si>
  <si>
    <t>20/09/24 14:03</t>
  </si>
  <si>
    <t>740</t>
  </si>
  <si>
    <t>Vicky Dang</t>
  </si>
  <si>
    <t>741</t>
  </si>
  <si>
    <t>Thiên Kỳ</t>
  </si>
  <si>
    <t>758</t>
  </si>
  <si>
    <t>Au Tom</t>
  </si>
  <si>
    <t>21/09/24 14:07</t>
  </si>
  <si>
    <t>22/09/24 11:05</t>
  </si>
  <si>
    <t>wf1o67s5us@m.expediapartnercentral.com</t>
  </si>
  <si>
    <t>760</t>
  </si>
  <si>
    <t>325089841_LDCB1F</t>
  </si>
  <si>
    <t>Iida Tsutomu</t>
  </si>
  <si>
    <t>22/09/24 11:07</t>
  </si>
  <si>
    <t>818081695241</t>
  </si>
  <si>
    <t>761</t>
  </si>
  <si>
    <t>HM8JQXSEQF_LDCB1F</t>
  </si>
  <si>
    <t>Kóng Ngọc Huệ</t>
  </si>
  <si>
    <t>22/09/24 14:57</t>
  </si>
  <si>
    <t>22/09/24 16:56</t>
  </si>
  <si>
    <t>077300000141</t>
  </si>
  <si>
    <t>770</t>
  </si>
  <si>
    <t>Jang Won Lim</t>
  </si>
  <si>
    <t>21/09/24 17:44</t>
  </si>
  <si>
    <t>23/09/24 10:31</t>
  </si>
  <si>
    <t>0983469922</t>
  </si>
  <si>
    <t>lienltb@gmail.com</t>
  </si>
  <si>
    <t>765</t>
  </si>
  <si>
    <t>Romanzi Giampaolo</t>
  </si>
  <si>
    <t>22/09/24 12:15</t>
  </si>
  <si>
    <t>23/09/24 10:32</t>
  </si>
  <si>
    <t>+39 349 418 6147</t>
  </si>
  <si>
    <t>groman.692420@guest.booking.com</t>
  </si>
  <si>
    <t>768</t>
  </si>
  <si>
    <t>4658307209_LDCB1F</t>
  </si>
  <si>
    <t>Bartel Ross</t>
  </si>
  <si>
    <t>19/09/24 18:26</t>
  </si>
  <si>
    <t>23/09/24 11:00</t>
  </si>
  <si>
    <t>rbarte.510571@guest.booking.com</t>
  </si>
  <si>
    <t>755</t>
  </si>
  <si>
    <t>4927986755_LDCB1F</t>
  </si>
  <si>
    <t>762</t>
  </si>
  <si>
    <t>763</t>
  </si>
  <si>
    <t>KIM JINHO</t>
  </si>
  <si>
    <t>20/09/24 14:02</t>
  </si>
  <si>
    <t>24/09/24 11:30</t>
  </si>
  <si>
    <t>+82 2035640799</t>
  </si>
  <si>
    <t>cnkswx.486275@guest.booking.com</t>
  </si>
  <si>
    <t>713</t>
  </si>
  <si>
    <t>4679385411_LDCB1F</t>
  </si>
  <si>
    <t>JINHO KIM</t>
  </si>
  <si>
    <t>714</t>
  </si>
  <si>
    <t>KATO SHUN</t>
  </si>
  <si>
    <t>23/09/24 14:05</t>
  </si>
  <si>
    <t>766</t>
  </si>
  <si>
    <t>1375850848_LDCB1F</t>
  </si>
  <si>
    <t>Đoàn Ngọc Hân</t>
  </si>
  <si>
    <t>22/09/24 14:12</t>
  </si>
  <si>
    <t>24/09/24 13:50</t>
  </si>
  <si>
    <t>0985421088</t>
  </si>
  <si>
    <t>Doanngochantc@gmail.com</t>
  </si>
  <si>
    <t>769</t>
  </si>
  <si>
    <t xml:space="preserve"> Wayne Denton Watts</t>
  </si>
  <si>
    <t>20/09/24 11:03</t>
  </si>
  <si>
    <t>25/09/24 10:10</t>
  </si>
  <si>
    <t>+84902540072</t>
  </si>
  <si>
    <t>capt.kila@gmail.com</t>
  </si>
  <si>
    <t>642711895</t>
  </si>
  <si>
    <t>748</t>
  </si>
  <si>
    <t>60853171009</t>
  </si>
  <si>
    <t>652</t>
  </si>
  <si>
    <t>Phương Thảo</t>
  </si>
  <si>
    <t>24/09/24 15:22</t>
  </si>
  <si>
    <t>+84900000000</t>
  </si>
  <si>
    <t>test@gmail.com</t>
  </si>
  <si>
    <t>341666677</t>
  </si>
  <si>
    <t>777</t>
  </si>
  <si>
    <t>52849865028</t>
  </si>
  <si>
    <t>Draken Dark</t>
  </si>
  <si>
    <t>25/09/24 10:11</t>
  </si>
  <si>
    <t>0971120869</t>
  </si>
  <si>
    <t>773</t>
  </si>
  <si>
    <t>24/09/24 15:21</t>
  </si>
  <si>
    <t>774</t>
  </si>
  <si>
    <t>Huyen Nguyen</t>
  </si>
  <si>
    <t>25/09/24 11:00</t>
  </si>
  <si>
    <t>759</t>
  </si>
  <si>
    <t>775</t>
  </si>
  <si>
    <t>Minh Nguyen Dinh</t>
  </si>
  <si>
    <t>25/09/24 10:08</t>
  </si>
  <si>
    <t>25/09/24 12:45</t>
  </si>
  <si>
    <t>783</t>
  </si>
  <si>
    <t>quỳnh</t>
  </si>
  <si>
    <t>25/09/24 13:43</t>
  </si>
  <si>
    <t>25/09/24 15:35</t>
  </si>
  <si>
    <t>788</t>
  </si>
  <si>
    <t>Anh Lựu</t>
  </si>
  <si>
    <t>25/09/24 18:26</t>
  </si>
  <si>
    <t>25/09/24 20:30</t>
  </si>
  <si>
    <t>0968913909</t>
  </si>
  <si>
    <t>792</t>
  </si>
  <si>
    <t>Trần Ngọc hân</t>
  </si>
  <si>
    <t>25/09/24 18:58</t>
  </si>
  <si>
    <t>26/09/24 07:42</t>
  </si>
  <si>
    <t>0383780633</t>
  </si>
  <si>
    <t>791</t>
  </si>
  <si>
    <t>khách</t>
  </si>
  <si>
    <t>25/09/24 13:56</t>
  </si>
  <si>
    <t>26/09/24 10:05</t>
  </si>
  <si>
    <t>786</t>
  </si>
  <si>
    <t>Phạm văn tuấn</t>
  </si>
  <si>
    <t>25/09/24 12:47</t>
  </si>
  <si>
    <t>26/09/24 10:23</t>
  </si>
  <si>
    <t>0928595969</t>
  </si>
  <si>
    <t>784</t>
  </si>
  <si>
    <t>an thư</t>
  </si>
  <si>
    <t>25/09/24 12:56</t>
  </si>
  <si>
    <t>26/09/24 11:00</t>
  </si>
  <si>
    <t>0986234397</t>
  </si>
  <si>
    <t>787</t>
  </si>
  <si>
    <t>Nhung</t>
  </si>
  <si>
    <t>26/09/24 11:38</t>
  </si>
  <si>
    <t>27/09/24 11:00</t>
  </si>
  <si>
    <t>0795060963</t>
  </si>
  <si>
    <t>794</t>
  </si>
  <si>
    <t>bui tien</t>
  </si>
  <si>
    <t>26/09/24 15:54</t>
  </si>
  <si>
    <t>27/09/24 11:19</t>
  </si>
  <si>
    <t>tbui.185440@guest.booking.com</t>
  </si>
  <si>
    <t>800</t>
  </si>
  <si>
    <t>4319803723_LDCB1F</t>
  </si>
  <si>
    <t>27/09/24 11:22</t>
  </si>
  <si>
    <t>27/09/24 12:41</t>
  </si>
  <si>
    <t>805</t>
  </si>
  <si>
    <t>669</t>
  </si>
  <si>
    <t>DoanTran Chi</t>
  </si>
  <si>
    <t>27/09/24 16:41</t>
  </si>
  <si>
    <t>28/09/24 08:34</t>
  </si>
  <si>
    <t>+44 7402 593425</t>
  </si>
  <si>
    <t>cdoant.976368@guest.booking.com</t>
  </si>
  <si>
    <t>797</t>
  </si>
  <si>
    <t>4615647096_LDCB1F</t>
  </si>
  <si>
    <t>phương</t>
  </si>
  <si>
    <t>27/09/24 13:35</t>
  </si>
  <si>
    <t>28/09/24 08:50</t>
  </si>
  <si>
    <t>0842227234</t>
  </si>
  <si>
    <t>807</t>
  </si>
  <si>
    <t>651</t>
  </si>
  <si>
    <t>Smethurst Richard</t>
  </si>
  <si>
    <t>27/09/24 18:11</t>
  </si>
  <si>
    <t>28/09/24 11:00</t>
  </si>
  <si>
    <t>rsmeth.730881@guest.booking.com</t>
  </si>
  <si>
    <t>776</t>
  </si>
  <si>
    <t>4432070727_LDCB1F</t>
  </si>
  <si>
    <t>Murphy craig anthony</t>
  </si>
  <si>
    <t>27/09/24 18:22</t>
  </si>
  <si>
    <t>+61 428 139 111</t>
  </si>
  <si>
    <t>cmurph.234949@guest.booking.com</t>
  </si>
  <si>
    <t>778</t>
  </si>
  <si>
    <t>4414163633_LDCB1F</t>
  </si>
  <si>
    <t>craig anthony Murphy</t>
  </si>
  <si>
    <t>779</t>
  </si>
  <si>
    <t>Robinson Ray</t>
  </si>
  <si>
    <t>26/09/24 17:06</t>
  </si>
  <si>
    <t>8605497289</t>
  </si>
  <si>
    <t>jcn0ism1tl@m.expediapartnercentral.com</t>
  </si>
  <si>
    <t>801</t>
  </si>
  <si>
    <t>328496991_LDCB1F</t>
  </si>
  <si>
    <t>Vi Gam</t>
  </si>
  <si>
    <t>27/09/24 20:35</t>
  </si>
  <si>
    <t>0352425117</t>
  </si>
  <si>
    <t>gvi.822492@guest.booking.com</t>
  </si>
  <si>
    <t>813</t>
  </si>
  <si>
    <t>4901582522_LDCB1F</t>
  </si>
  <si>
    <t>NGUYỄN THUỴ ANH VÂN</t>
  </si>
  <si>
    <t>28/09/24 03:13</t>
  </si>
  <si>
    <t>817</t>
  </si>
  <si>
    <t xml:space="preserve"> Nguyen Van Hau</t>
  </si>
  <si>
    <t>28/09/24 16:22</t>
  </si>
  <si>
    <t>29/09/24 08:12</t>
  </si>
  <si>
    <t>+84921447927</t>
  </si>
  <si>
    <t>Hau.92nguyen@gmail.com</t>
  </si>
  <si>
    <t>Q00366446</t>
  </si>
  <si>
    <t>796</t>
  </si>
  <si>
    <t>28849814405</t>
  </si>
  <si>
    <t>lucien</t>
  </si>
  <si>
    <t>27/09/24 13:34</t>
  </si>
  <si>
    <t>0586029719</t>
  </si>
  <si>
    <t>804</t>
  </si>
  <si>
    <t>Ly Lê Hương</t>
  </si>
  <si>
    <t>28/09/24 14:15</t>
  </si>
  <si>
    <t>+84 888 737 271</t>
  </si>
  <si>
    <t>lly.549176@guest.booking.com</t>
  </si>
  <si>
    <t>818</t>
  </si>
  <si>
    <t>4904054071_LDCB1F</t>
  </si>
  <si>
    <t>MacKinnon Greg</t>
  </si>
  <si>
    <t>27/09/24 12:01</t>
  </si>
  <si>
    <t>29/09/24 09:44</t>
  </si>
  <si>
    <t>+61457269284</t>
  </si>
  <si>
    <t>gmacki.914548@guest.booking.com</t>
  </si>
  <si>
    <t>793</t>
  </si>
  <si>
    <t>4896851865_LDCB1F</t>
  </si>
  <si>
    <t>Phạm Tuyết Lụa</t>
  </si>
  <si>
    <t>29/09/24 10:17</t>
  </si>
  <si>
    <t>820</t>
  </si>
  <si>
    <t>Mason Lee</t>
  </si>
  <si>
    <t>27/09/24 15:29</t>
  </si>
  <si>
    <t>29/09/24 11:00</t>
  </si>
  <si>
    <t>809</t>
  </si>
  <si>
    <t>duyên lê</t>
  </si>
  <si>
    <t>27/09/24 16:43</t>
  </si>
  <si>
    <t>811</t>
  </si>
  <si>
    <t>GO GO</t>
  </si>
  <si>
    <t>28/09/24 18:23</t>
  </si>
  <si>
    <t>rh7pjlivpd@m.expediapartnercentral.com</t>
  </si>
  <si>
    <t>814</t>
  </si>
  <si>
    <t>329305984_LDCB1F</t>
  </si>
  <si>
    <t>691</t>
  </si>
  <si>
    <t>Anh Minh</t>
  </si>
  <si>
    <t>28/09/24 14:13</t>
  </si>
  <si>
    <t>819</t>
  </si>
  <si>
    <t>1383385300_LDCB1F</t>
  </si>
  <si>
    <t>Chen Yu Kun</t>
  </si>
  <si>
    <t>28/09/24 17:27</t>
  </si>
  <si>
    <t>+86 137 1181 1113</t>
  </si>
  <si>
    <t>821</t>
  </si>
  <si>
    <t>Lương Thị Hà</t>
  </si>
  <si>
    <t>27/09/24 21:49</t>
  </si>
  <si>
    <t>29/09/24 11:17</t>
  </si>
  <si>
    <t>+84 916 499 868</t>
  </si>
  <si>
    <t>tluong.754989@guest.booking.com</t>
  </si>
  <si>
    <t>798</t>
  </si>
  <si>
    <t>4757960334_LDCB1F</t>
  </si>
  <si>
    <t>Ngocc Uyen</t>
  </si>
  <si>
    <t>27/09/24 18:48</t>
  </si>
  <si>
    <t>30/09/24 07:35</t>
  </si>
  <si>
    <t>+84935353044</t>
  </si>
  <si>
    <t>810</t>
  </si>
  <si>
    <t>Solans Ruiz gabriel</t>
  </si>
  <si>
    <t>28/09/24 14:28</t>
  </si>
  <si>
    <t>30/09/24 07:36</t>
  </si>
  <si>
    <t>+34 629 13 07 33</t>
  </si>
  <si>
    <t>gruiz.127266@guest.booking.com</t>
  </si>
  <si>
    <t>806</t>
  </si>
  <si>
    <t>4874878962_LDCB1F</t>
  </si>
  <si>
    <t>SHIRAKAWA AKI</t>
  </si>
  <si>
    <t>26/09/24 12:31</t>
  </si>
  <si>
    <t>30/09/24 10:06</t>
  </si>
  <si>
    <t>ashira.331084@guest.booking.com</t>
  </si>
  <si>
    <t>795</t>
  </si>
  <si>
    <t>4431104256_LDCB1F</t>
  </si>
  <si>
    <t>Huy-Loan</t>
  </si>
  <si>
    <t>30/09/24 11:00</t>
  </si>
  <si>
    <t>0903775152</t>
  </si>
  <si>
    <t>808</t>
  </si>
  <si>
    <t>Halliwell Bruce</t>
  </si>
  <si>
    <t>27/09/24 13:25</t>
  </si>
  <si>
    <t>30/09/24 11:24</t>
  </si>
  <si>
    <t>84862681774</t>
  </si>
  <si>
    <t>799</t>
  </si>
  <si>
    <t>HMATMKA2Y9_LDCB1F</t>
  </si>
  <si>
    <t>Cahill Robert</t>
  </si>
  <si>
    <t>25/09/24 17:59</t>
  </si>
  <si>
    <t>30/09/24 12:26</t>
  </si>
  <si>
    <t>5px07abii7@m.expediapartnercentral.com</t>
  </si>
  <si>
    <t>306202227_LDCB1F</t>
  </si>
  <si>
    <t>My Phung</t>
  </si>
  <si>
    <t>29/09/24 14:27</t>
  </si>
  <si>
    <t>01/10/24 11:00</t>
  </si>
  <si>
    <t>827</t>
  </si>
  <si>
    <t>30/09/24 11:44</t>
  </si>
  <si>
    <t>829</t>
  </si>
  <si>
    <t>Thúy</t>
  </si>
  <si>
    <t>01/10/24 15:33</t>
  </si>
  <si>
    <t>02/10/24 08:27</t>
  </si>
  <si>
    <t>056191010582</t>
  </si>
  <si>
    <t>833</t>
  </si>
  <si>
    <t>Nguyễn Thị Hoài Thương</t>
  </si>
  <si>
    <t>01/10/24 18:46</t>
  </si>
  <si>
    <t>834</t>
  </si>
  <si>
    <t>Hậu</t>
  </si>
  <si>
    <t>01/10/24 18:37</t>
  </si>
  <si>
    <t>02/10/24 08:28</t>
  </si>
  <si>
    <t>832</t>
  </si>
  <si>
    <t>Dương Thiên Vũ</t>
  </si>
  <si>
    <t>29/09/24 13:52</t>
  </si>
  <si>
    <t>02/10/24 09:13</t>
  </si>
  <si>
    <t>828</t>
  </si>
  <si>
    <t>Minh</t>
  </si>
  <si>
    <t>02/10/24 12:42</t>
  </si>
  <si>
    <t>02/10/24 15:14</t>
  </si>
  <si>
    <t>835</t>
  </si>
  <si>
    <t>TRẦN LÊ LỰU</t>
  </si>
  <si>
    <t>02/10/24 20:08</t>
  </si>
  <si>
    <t>02/10/24 20:47</t>
  </si>
  <si>
    <t>837</t>
  </si>
  <si>
    <t>TRẦN QUỐC BẢO</t>
  </si>
  <si>
    <t>03/10/24 08:51</t>
  </si>
  <si>
    <t>03/10/24 09:19</t>
  </si>
  <si>
    <t>0586534570</t>
  </si>
  <si>
    <t>838</t>
  </si>
  <si>
    <t>Win Win Hla</t>
  </si>
  <si>
    <t>01/10/24 17:39</t>
  </si>
  <si>
    <t>03/10/24 11:00</t>
  </si>
  <si>
    <t>MH099884</t>
  </si>
  <si>
    <t>825</t>
  </si>
  <si>
    <t>Sơn Thị Lệ Hoa</t>
  </si>
  <si>
    <t>03/10/24 17:11</t>
  </si>
  <si>
    <t>04/10/24 12:00</t>
  </si>
  <si>
    <t>842</t>
  </si>
  <si>
    <t>Kim</t>
  </si>
  <si>
    <t>04/10/24 11:17</t>
  </si>
  <si>
    <t>04/10/24 12:31</t>
  </si>
  <si>
    <t>847</t>
  </si>
  <si>
    <t>Thảo Quyên</t>
  </si>
  <si>
    <t>04/10/24 12:28</t>
  </si>
  <si>
    <t>04/10/24 17:16</t>
  </si>
  <si>
    <t>0938143339</t>
  </si>
  <si>
    <t>quyencntuk@gmail.com</t>
  </si>
  <si>
    <t>846</t>
  </si>
  <si>
    <t>Liên</t>
  </si>
  <si>
    <t>04/10/24 19:39</t>
  </si>
  <si>
    <t>06/10/24 08:02</t>
  </si>
  <si>
    <t>0914660204</t>
  </si>
  <si>
    <t>Baotranphamvu@gmail.com</t>
  </si>
  <si>
    <t>845</t>
  </si>
  <si>
    <t>Twist Sam</t>
  </si>
  <si>
    <t>05/10/24 22:40</t>
  </si>
  <si>
    <t>06/10/24 11:34</t>
  </si>
  <si>
    <t>stwist.429020@guest.booking.com</t>
  </si>
  <si>
    <t>852</t>
  </si>
  <si>
    <t>4948155750_LDCB1F</t>
  </si>
  <si>
    <t>715</t>
  </si>
  <si>
    <t>Hoàng Thị Anh</t>
  </si>
  <si>
    <t>04/10/24 14:00</t>
  </si>
  <si>
    <t>07/10/24 08:27</t>
  </si>
  <si>
    <t>0365170622</t>
  </si>
  <si>
    <t>038197002282</t>
  </si>
  <si>
    <t>844</t>
  </si>
  <si>
    <t>심 재기</t>
  </si>
  <si>
    <t>05/10/24 23:12</t>
  </si>
  <si>
    <t>07/10/24 11:00</t>
  </si>
  <si>
    <t>821040545427</t>
  </si>
  <si>
    <t>747</t>
  </si>
  <si>
    <t>HMXEATCNZX_LDCB1F</t>
  </si>
  <si>
    <t>Hoàng Thanh Ngân Nguyễn</t>
  </si>
  <si>
    <t>06/10/24 14:20</t>
  </si>
  <si>
    <t>07/10/24 12:41</t>
  </si>
  <si>
    <t>0915123566</t>
  </si>
  <si>
    <t>thanhngannguyenhoang18@gmail.com</t>
  </si>
  <si>
    <t>853</t>
  </si>
  <si>
    <t>334914404_LDCB1F</t>
  </si>
  <si>
    <t>LAM BAN</t>
  </si>
  <si>
    <t>07/10/24 14:02</t>
  </si>
  <si>
    <t>19187070663</t>
  </si>
  <si>
    <t>nguyenduongyvp@gmail.com</t>
  </si>
  <si>
    <t>543</t>
  </si>
  <si>
    <t>771185210_LDCB1F</t>
  </si>
  <si>
    <t>Hằng Nguyễn</t>
  </si>
  <si>
    <t>04/10/24 16:08</t>
  </si>
  <si>
    <t>08/10/24 11:00</t>
  </si>
  <si>
    <t>0348514486</t>
  </si>
  <si>
    <t>Nguyenhanghd293@gmail.com</t>
  </si>
  <si>
    <t>848</t>
  </si>
  <si>
    <t>728</t>
  </si>
  <si>
    <t>Dyer Patrick</t>
  </si>
  <si>
    <t>08/10/24 08:46</t>
  </si>
  <si>
    <t>08/10/24 12:37</t>
  </si>
  <si>
    <t>85599908330</t>
  </si>
  <si>
    <t>859</t>
  </si>
  <si>
    <t>HMDADEHN4B_LDCB1F</t>
  </si>
  <si>
    <t>Người in: hnhathcm@gmail.com     Ngày in: 8/10/2024 6:15:47 PM     Powered by ezCloud.vn</t>
  </si>
  <si>
    <t>Room Analyst</t>
  </si>
  <si>
    <t>June 2024</t>
  </si>
  <si>
    <t>Total Capacity</t>
  </si>
  <si>
    <t>Day</t>
  </si>
  <si>
    <t>Month</t>
  </si>
  <si>
    <t>Room Sold</t>
  </si>
  <si>
    <t>Occupancy</t>
  </si>
  <si>
    <t>Total Room</t>
  </si>
  <si>
    <t>A26 PNL</t>
  </si>
  <si>
    <t>October 2024</t>
  </si>
  <si>
    <t>Tue</t>
  </si>
  <si>
    <t>Wed</t>
  </si>
  <si>
    <t>Thu</t>
  </si>
  <si>
    <t>Fri</t>
  </si>
  <si>
    <t>Sat</t>
  </si>
  <si>
    <t>Sun</t>
  </si>
  <si>
    <t>Mon</t>
  </si>
  <si>
    <t>No</t>
  </si>
  <si>
    <t>Room type</t>
  </si>
  <si>
    <t>Room No</t>
  </si>
  <si>
    <t>Capacity (pax)</t>
  </si>
  <si>
    <t>Booked_Ex</t>
  </si>
  <si>
    <t>Booked_BK</t>
  </si>
  <si>
    <t>Booked_Ag</t>
  </si>
  <si>
    <t>Booked_Web</t>
  </si>
  <si>
    <t>Booked_BNB</t>
  </si>
  <si>
    <t>Lock</t>
  </si>
  <si>
    <t>Room sold by</t>
  </si>
  <si>
    <t>Room Empty</t>
  </si>
  <si>
    <t>TOTAL CAPACITY</t>
  </si>
  <si>
    <t>Week</t>
  </si>
  <si>
    <t>Room Type</t>
  </si>
  <si>
    <t>Total room:</t>
  </si>
  <si>
    <t>6/10 - 12/10</t>
  </si>
  <si>
    <t>October</t>
  </si>
  <si>
    <t>Room sold</t>
  </si>
  <si>
    <t>DELUXE - PNL</t>
  </si>
  <si>
    <t>MB - PNL</t>
  </si>
  <si>
    <t>Room sold by channel</t>
  </si>
  <si>
    <t>Code</t>
  </si>
  <si>
    <t>Source</t>
  </si>
  <si>
    <t>Monthly Analyst</t>
  </si>
  <si>
    <t>Booking</t>
  </si>
  <si>
    <t>Total Month</t>
  </si>
  <si>
    <t>Agoda</t>
  </si>
  <si>
    <t>Airbnb</t>
  </si>
  <si>
    <t>Staff</t>
  </si>
  <si>
    <t>A26 web</t>
  </si>
  <si>
    <t>Facebook</t>
  </si>
  <si>
    <t>Walkin</t>
  </si>
  <si>
    <t>Expedia</t>
  </si>
  <si>
    <t>Traveloka</t>
  </si>
  <si>
    <t>Travel Agent</t>
  </si>
  <si>
    <t>Klook</t>
  </si>
  <si>
    <t>Booked_FB</t>
  </si>
  <si>
    <t>Booked_WK</t>
  </si>
  <si>
    <t>Booked_LK</t>
  </si>
  <si>
    <t>Booked_KL</t>
  </si>
  <si>
    <t>A26 Benthanh</t>
  </si>
  <si>
    <t>September 2024</t>
  </si>
  <si>
    <t>6/9 - 12/9</t>
  </si>
  <si>
    <t>September</t>
  </si>
  <si>
    <t>August</t>
  </si>
  <si>
    <t>6/8 - 12/8</t>
  </si>
  <si>
    <t>August 2024</t>
  </si>
  <si>
    <t>Room sold by Type</t>
  </si>
  <si>
    <t>6/6 - 12/6</t>
  </si>
  <si>
    <t>June</t>
  </si>
  <si>
    <t>July 2024</t>
  </si>
  <si>
    <t>6/7 - 12/7</t>
  </si>
  <si>
    <t>July</t>
  </si>
  <si>
    <t>May 2024</t>
  </si>
  <si>
    <t>6/5 - 12/5</t>
  </si>
  <si>
    <t>May</t>
  </si>
  <si>
    <t>Sep 2024</t>
  </si>
  <si>
    <t>Oct 2024</t>
  </si>
  <si>
    <t>Channel Analyst</t>
  </si>
  <si>
    <t>Tháng</t>
  </si>
  <si>
    <t>Total Room (%)</t>
  </si>
  <si>
    <t>T6/2024</t>
  </si>
  <si>
    <t>T7/2024</t>
  </si>
  <si>
    <t>T8/2024</t>
  </si>
  <si>
    <t>T9/2024</t>
  </si>
  <si>
    <t>T10/2024</t>
  </si>
  <si>
    <t>Direct (Phòng)</t>
  </si>
  <si>
    <t>OTA / Kênh khác (Phòng)</t>
  </si>
  <si>
    <t>Tổng cộng</t>
  </si>
  <si>
    <t>Other</t>
  </si>
  <si>
    <t>Revenue</t>
  </si>
  <si>
    <t>Total</t>
  </si>
  <si>
    <t>Rev Share</t>
  </si>
  <si>
    <t>Rev room sold</t>
  </si>
  <si>
    <t>Nhãn Hàng</t>
  </si>
  <si>
    <t>Tổng Cuối</t>
  </si>
  <si>
    <t>Chi tiết về Trung bình của Giá trung bình - Nguồn: Booked_CTV</t>
  </si>
  <si>
    <t>Trung bình của giá tiền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</si>
</sst>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dd/mm/yy\ hh:mm"/>
    <numFmt numFmtId="165" formatCode="dd\ mmmm"/>
    <numFmt numFmtId="166" formatCode="d\ mmmm"/>
    <numFmt numFmtId="167" formatCode="mmmm\ yyyy"/>
    <numFmt numFmtId="168" formatCode="mmm\ yyyy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Times New Roman"/>
    </font>
    <font>
      <b/>
      <sz val="22"/>
      <color rgb="FF000000"/>
      <name val="Times New Roman"/>
    </font>
    <font>
      <sz val="11"/>
      <color rgb="FFFFFFFF"/>
      <name val="Times New Roman"/>
    </font>
    <font>
      <sz val="11"/>
      <color rgb="FF333333"/>
      <name val="Times New Roman"/>
    </font>
    <font>
      <sz val="11"/>
      <color theme="1"/>
      <name val="Times New Roman"/>
    </font>
    <font>
      <b/>
      <sz val="11"/>
      <color theme="1"/>
      <name val="Calibri"/>
    </font>
    <font>
      <b/>
      <sz val="11"/>
      <color rgb="FFFF0000"/>
      <name val="Calibri"/>
    </font>
    <font>
      <sz val="11"/>
      <color theme="1"/>
      <name val="Calibri"/>
    </font>
    <font>
      <sz val="11"/>
      <name val="Calibri"/>
    </font>
    <font>
      <sz val="9"/>
      <color rgb="FF000000"/>
      <name val="Google Sans"/>
    </font>
    <font>
      <sz val="11"/>
      <color rgb="FFFF0000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7"/>
      <name val="Segoe UI"/>
      <family val="2"/>
    </font>
    <font>
      <b/>
      <sz val="7"/>
      <name val="Segoe UI"/>
      <family val="2"/>
    </font>
    <font>
      <sz val="7"/>
      <name val="Segoe UI"/>
      <family val="2"/>
    </font>
    <font>
      <b/>
      <sz val="11"/>
      <name val="Calibri"/>
      <family val="2"/>
      <scheme val="major"/>
    </font>
    <font>
      <b/>
      <sz val="11"/>
      <color theme="1"/>
      <name val="Calibri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7A7A7A"/>
        <bgColor rgb="FF7A7A7A"/>
      </patternFill>
    </fill>
    <fill>
      <patternFill patternType="solid">
        <fgColor rgb="FFDFDFDF"/>
        <bgColor rgb="FFDFDFDF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CC4125"/>
        <bgColor rgb="FFCC4125"/>
      </patternFill>
    </fill>
    <fill>
      <patternFill patternType="solid">
        <fgColor rgb="FFD5A6BD"/>
        <bgColor rgb="FFD5A6BD"/>
      </patternFill>
    </fill>
    <fill>
      <patternFill patternType="solid">
        <fgColor rgb="FF4A86E8"/>
        <bgColor rgb="FF4A86E8"/>
      </patternFill>
    </fill>
    <fill>
      <patternFill patternType="solid">
        <fgColor rgb="FFE69138"/>
        <bgColor rgb="FFE69138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76A5AF"/>
        <bgColor rgb="FF76A5AF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DD7E6B"/>
        <bgColor rgb="FFDD7E6B"/>
      </patternFill>
    </fill>
    <fill>
      <patternFill patternType="solid">
        <fgColor rgb="FF6FA8DC"/>
        <bgColor rgb="FF6FA8D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39">
    <xf numFmtId="0" fontId="0" fillId="0" borderId="0" xfId="0"/>
    <xf numFmtId="0" fontId="5" fillId="2" borderId="0" xfId="0" applyFont="1" applyFill="1"/>
    <xf numFmtId="0" fontId="6" fillId="3" borderId="0" xfId="0" applyFont="1" applyFill="1"/>
    <xf numFmtId="0" fontId="7" fillId="0" borderId="0" xfId="0" applyFont="1"/>
    <xf numFmtId="164" fontId="7" fillId="0" borderId="0" xfId="0" applyNumberFormat="1" applyFont="1"/>
    <xf numFmtId="3" fontId="7" fillId="0" borderId="0" xfId="0" applyNumberFormat="1" applyFont="1"/>
    <xf numFmtId="3" fontId="6" fillId="3" borderId="0" xfId="0" applyNumberFormat="1" applyFont="1" applyFill="1"/>
    <xf numFmtId="3" fontId="0" fillId="0" borderId="0" xfId="0" applyNumberForma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10" fillId="4" borderId="1" xfId="0" applyFont="1" applyFill="1" applyBorder="1"/>
    <xf numFmtId="0" fontId="10" fillId="4" borderId="0" xfId="0" applyFont="1" applyFill="1"/>
    <xf numFmtId="0" fontId="10" fillId="4" borderId="0" xfId="0" applyFont="1" applyFill="1" applyAlignment="1">
      <alignment horizontal="right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/>
    <xf numFmtId="0" fontId="10" fillId="5" borderId="1" xfId="0" applyFont="1" applyFill="1" applyBorder="1"/>
    <xf numFmtId="0" fontId="10" fillId="6" borderId="1" xfId="0" applyFont="1" applyFill="1" applyBorder="1"/>
    <xf numFmtId="0" fontId="10" fillId="6" borderId="0" xfId="0" applyFont="1" applyFill="1"/>
    <xf numFmtId="0" fontId="10" fillId="6" borderId="0" xfId="0" applyFont="1" applyFill="1" applyAlignment="1">
      <alignment horizontal="right"/>
    </xf>
    <xf numFmtId="0" fontId="10" fillId="7" borderId="1" xfId="0" applyFont="1" applyFill="1" applyBorder="1"/>
    <xf numFmtId="0" fontId="10" fillId="7" borderId="0" xfId="0" applyFont="1" applyFill="1"/>
    <xf numFmtId="0" fontId="10" fillId="7" borderId="0" xfId="0" applyFont="1" applyFill="1" applyAlignment="1">
      <alignment horizontal="right"/>
    </xf>
    <xf numFmtId="0" fontId="10" fillId="8" borderId="1" xfId="0" applyFont="1" applyFill="1" applyBorder="1"/>
    <xf numFmtId="0" fontId="10" fillId="8" borderId="0" xfId="0" applyFont="1" applyFill="1"/>
    <xf numFmtId="0" fontId="10" fillId="8" borderId="0" xfId="0" applyFont="1" applyFill="1" applyAlignment="1">
      <alignment horizontal="right"/>
    </xf>
    <xf numFmtId="0" fontId="10" fillId="9" borderId="1" xfId="0" applyFont="1" applyFill="1" applyBorder="1"/>
    <xf numFmtId="0" fontId="10" fillId="0" borderId="0" xfId="0" applyFont="1"/>
    <xf numFmtId="0" fontId="8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66" fontId="10" fillId="0" borderId="1" xfId="0" applyNumberFormat="1" applyFont="1" applyBorder="1" applyAlignment="1">
      <alignment horizontal="center"/>
    </xf>
    <xf numFmtId="0" fontId="8" fillId="10" borderId="1" xfId="0" applyFont="1" applyFill="1" applyBorder="1"/>
    <xf numFmtId="0" fontId="10" fillId="10" borderId="1" xfId="0" applyFont="1" applyFill="1" applyBorder="1" applyAlignment="1">
      <alignment horizontal="center"/>
    </xf>
    <xf numFmtId="0" fontId="12" fillId="9" borderId="1" xfId="0" applyFont="1" applyFill="1" applyBorder="1"/>
    <xf numFmtId="0" fontId="10" fillId="10" borderId="1" xfId="0" applyFont="1" applyFill="1" applyBorder="1"/>
    <xf numFmtId="0" fontId="10" fillId="0" borderId="1" xfId="0" applyFont="1" applyBorder="1" applyAlignment="1">
      <alignment horizontal="right"/>
    </xf>
    <xf numFmtId="10" fontId="13" fillId="0" borderId="1" xfId="0" applyNumberFormat="1" applyFont="1" applyBorder="1" applyAlignment="1">
      <alignment horizontal="right"/>
    </xf>
    <xf numFmtId="10" fontId="10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10" fillId="14" borderId="1" xfId="0" applyFont="1" applyFill="1" applyBorder="1"/>
    <xf numFmtId="0" fontId="10" fillId="15" borderId="1" xfId="0" applyFont="1" applyFill="1" applyBorder="1"/>
    <xf numFmtId="0" fontId="10" fillId="16" borderId="1" xfId="0" applyFont="1" applyFill="1" applyBorder="1"/>
    <xf numFmtId="0" fontId="10" fillId="17" borderId="1" xfId="0" applyFont="1" applyFill="1" applyBorder="1"/>
    <xf numFmtId="0" fontId="10" fillId="18" borderId="1" xfId="0" applyFont="1" applyFill="1" applyBorder="1"/>
    <xf numFmtId="0" fontId="10" fillId="19" borderId="1" xfId="0" applyFont="1" applyFill="1" applyBorder="1"/>
    <xf numFmtId="0" fontId="10" fillId="20" borderId="1" xfId="0" applyFont="1" applyFill="1" applyBorder="1"/>
    <xf numFmtId="10" fontId="10" fillId="0" borderId="1" xfId="0" applyNumberFormat="1" applyFont="1" applyBorder="1"/>
    <xf numFmtId="0" fontId="10" fillId="12" borderId="1" xfId="0" applyFont="1" applyFill="1" applyBorder="1"/>
    <xf numFmtId="0" fontId="10" fillId="21" borderId="1" xfId="0" applyFont="1" applyFill="1" applyBorder="1"/>
    <xf numFmtId="0" fontId="10" fillId="11" borderId="1" xfId="0" applyFont="1" applyFill="1" applyBorder="1"/>
    <xf numFmtId="0" fontId="10" fillId="13" borderId="1" xfId="0" applyFont="1" applyFill="1" applyBorder="1"/>
    <xf numFmtId="0" fontId="10" fillId="22" borderId="1" xfId="0" applyFont="1" applyFill="1" applyBorder="1"/>
    <xf numFmtId="0" fontId="10" fillId="23" borderId="1" xfId="0" applyFont="1" applyFill="1" applyBorder="1"/>
    <xf numFmtId="0" fontId="10" fillId="24" borderId="1" xfId="0" applyFont="1" applyFill="1" applyBorder="1"/>
    <xf numFmtId="0" fontId="10" fillId="25" borderId="1" xfId="0" applyFont="1" applyFill="1" applyBorder="1"/>
    <xf numFmtId="0" fontId="10" fillId="26" borderId="1" xfId="0" applyFont="1" applyFill="1" applyBorder="1"/>
    <xf numFmtId="0" fontId="10" fillId="27" borderId="1" xfId="0" applyFont="1" applyFill="1" applyBorder="1"/>
    <xf numFmtId="0" fontId="10" fillId="28" borderId="1" xfId="0" applyFont="1" applyFill="1" applyBorder="1" applyAlignment="1">
      <alignment horizontal="center"/>
    </xf>
    <xf numFmtId="0" fontId="10" fillId="28" borderId="1" xfId="0" applyFont="1" applyFill="1" applyBorder="1"/>
    <xf numFmtId="0" fontId="12" fillId="28" borderId="1" xfId="0" applyFont="1" applyFill="1" applyBorder="1"/>
    <xf numFmtId="166" fontId="8" fillId="0" borderId="0" xfId="0" applyNumberFormat="1" applyFont="1" applyAlignment="1">
      <alignment horizontal="center"/>
    </xf>
    <xf numFmtId="0" fontId="10" fillId="29" borderId="1" xfId="0" applyFont="1" applyFill="1" applyBorder="1"/>
    <xf numFmtId="0" fontId="10" fillId="30" borderId="1" xfId="0" applyFont="1" applyFill="1" applyBorder="1"/>
    <xf numFmtId="0" fontId="10" fillId="31" borderId="1" xfId="0" applyFont="1" applyFill="1" applyBorder="1"/>
    <xf numFmtId="0" fontId="10" fillId="32" borderId="1" xfId="0" applyFont="1" applyFill="1" applyBorder="1"/>
    <xf numFmtId="0" fontId="10" fillId="33" borderId="1" xfId="0" applyFont="1" applyFill="1" applyBorder="1"/>
    <xf numFmtId="0" fontId="0" fillId="34" borderId="9" xfId="0" applyFill="1" applyBorder="1"/>
    <xf numFmtId="10" fontId="0" fillId="34" borderId="9" xfId="2" applyNumberFormat="1" applyFont="1" applyFill="1" applyBorder="1"/>
    <xf numFmtId="0" fontId="0" fillId="35" borderId="9" xfId="0" applyFill="1" applyBorder="1"/>
    <xf numFmtId="10" fontId="0" fillId="35" borderId="9" xfId="2" applyNumberFormat="1" applyFont="1" applyFill="1" applyBorder="1"/>
    <xf numFmtId="0" fontId="0" fillId="36" borderId="9" xfId="0" applyFill="1" applyBorder="1"/>
    <xf numFmtId="10" fontId="0" fillId="36" borderId="9" xfId="2" applyNumberFormat="1" applyFont="1" applyFill="1" applyBorder="1"/>
    <xf numFmtId="0" fontId="0" fillId="37" borderId="9" xfId="0" applyFill="1" applyBorder="1"/>
    <xf numFmtId="10" fontId="0" fillId="37" borderId="9" xfId="2" applyNumberFormat="1" applyFont="1" applyFill="1" applyBorder="1"/>
    <xf numFmtId="0" fontId="0" fillId="38" borderId="9" xfId="0" applyFill="1" applyBorder="1"/>
    <xf numFmtId="10" fontId="0" fillId="38" borderId="9" xfId="2" applyNumberFormat="1" applyFont="1" applyFill="1" applyBorder="1"/>
    <xf numFmtId="0" fontId="16" fillId="0" borderId="1" xfId="0" applyFont="1" applyBorder="1" applyAlignment="1">
      <alignment horizontal="center"/>
    </xf>
    <xf numFmtId="0" fontId="15" fillId="0" borderId="1" xfId="0" applyFont="1" applyBorder="1"/>
    <xf numFmtId="0" fontId="18" fillId="40" borderId="9" xfId="0" applyFont="1" applyFill="1" applyBorder="1" applyAlignment="1">
      <alignment horizontal="center" vertical="center" wrapText="1"/>
    </xf>
    <xf numFmtId="0" fontId="19" fillId="40" borderId="9" xfId="0" applyFont="1" applyFill="1" applyBorder="1" applyAlignment="1">
      <alignment horizontal="center" vertical="center" wrapText="1"/>
    </xf>
    <xf numFmtId="10" fontId="20" fillId="40" borderId="9" xfId="0" applyNumberFormat="1" applyFont="1" applyFill="1" applyBorder="1" applyAlignment="1">
      <alignment horizontal="center" vertical="center" wrapText="1"/>
    </xf>
    <xf numFmtId="0" fontId="20" fillId="40" borderId="9" xfId="0" applyFont="1" applyFill="1" applyBorder="1" applyAlignment="1">
      <alignment horizontal="center" vertical="center" wrapText="1"/>
    </xf>
    <xf numFmtId="3" fontId="19" fillId="40" borderId="9" xfId="0" applyNumberFormat="1" applyFont="1" applyFill="1" applyBorder="1" applyAlignment="1">
      <alignment horizontal="center" vertical="center" wrapText="1"/>
    </xf>
    <xf numFmtId="10" fontId="19" fillId="40" borderId="9" xfId="0" applyNumberFormat="1" applyFont="1" applyFill="1" applyBorder="1" applyAlignment="1">
      <alignment horizontal="center" vertical="center" wrapText="1"/>
    </xf>
    <xf numFmtId="0" fontId="0" fillId="0" borderId="9" xfId="0" applyBorder="1"/>
    <xf numFmtId="0" fontId="15" fillId="0" borderId="0" xfId="0" applyFont="1"/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5" fillId="0" borderId="12" xfId="0" applyFont="1" applyBorder="1"/>
    <xf numFmtId="0" fontId="15" fillId="0" borderId="9" xfId="0" applyFont="1" applyBorder="1"/>
    <xf numFmtId="0" fontId="1" fillId="0" borderId="9" xfId="0" applyFont="1" applyBorder="1"/>
    <xf numFmtId="9" fontId="0" fillId="0" borderId="9" xfId="2" applyFont="1" applyBorder="1"/>
    <xf numFmtId="0" fontId="21" fillId="40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16" fillId="0" borderId="9" xfId="0" applyFont="1" applyBorder="1"/>
    <xf numFmtId="10" fontId="18" fillId="40" borderId="9" xfId="0" applyNumberFormat="1" applyFont="1" applyFill="1" applyBorder="1" applyAlignment="1">
      <alignment horizontal="center" vertical="center" wrapText="1"/>
    </xf>
    <xf numFmtId="0" fontId="18" fillId="40" borderId="10" xfId="0" applyFont="1" applyFill="1" applyBorder="1" applyAlignment="1">
      <alignment horizontal="center" vertical="center" wrapText="1"/>
    </xf>
    <xf numFmtId="0" fontId="18" fillId="40" borderId="13" xfId="0" applyFont="1" applyFill="1" applyBorder="1" applyAlignment="1">
      <alignment horizontal="center" vertical="center" wrapText="1"/>
    </xf>
    <xf numFmtId="10" fontId="20" fillId="40" borderId="13" xfId="0" applyNumberFormat="1" applyFont="1" applyFill="1" applyBorder="1" applyAlignment="1">
      <alignment horizontal="center" vertical="center" wrapText="1"/>
    </xf>
    <xf numFmtId="1" fontId="20" fillId="40" borderId="10" xfId="0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22" fillId="0" borderId="0" xfId="0" applyFont="1"/>
    <xf numFmtId="0" fontId="3" fillId="0" borderId="0" xfId="0" applyFont="1" applyAlignment="1">
      <alignment horizontal="right"/>
    </xf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14" fillId="38" borderId="9" xfId="1" applyNumberFormat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7" fontId="16" fillId="39" borderId="2" xfId="0" applyNumberFormat="1" applyFont="1" applyFill="1" applyBorder="1" applyAlignment="1">
      <alignment horizontal="center"/>
    </xf>
    <xf numFmtId="0" fontId="17" fillId="0" borderId="3" xfId="0" applyFont="1" applyBorder="1"/>
    <xf numFmtId="0" fontId="17" fillId="0" borderId="4" xfId="0" applyFont="1" applyBorder="1"/>
    <xf numFmtId="167" fontId="16" fillId="28" borderId="2" xfId="0" applyNumberFormat="1" applyFont="1" applyFill="1" applyBorder="1" applyAlignment="1">
      <alignment horizontal="center"/>
    </xf>
    <xf numFmtId="167" fontId="16" fillId="10" borderId="2" xfId="0" applyNumberFormat="1" applyFont="1" applyFill="1" applyBorder="1" applyAlignment="1">
      <alignment horizontal="center"/>
    </xf>
    <xf numFmtId="168" fontId="16" fillId="15" borderId="2" xfId="0" applyNumberFormat="1" applyFont="1" applyFill="1" applyBorder="1" applyAlignment="1">
      <alignment horizontal="center"/>
    </xf>
    <xf numFmtId="168" fontId="16" fillId="29" borderId="2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49" fontId="14" fillId="34" borderId="9" xfId="1" applyNumberFormat="1" applyFont="1" applyFill="1" applyBorder="1" applyAlignment="1">
      <alignment horizontal="center"/>
    </xf>
    <xf numFmtId="49" fontId="14" fillId="35" borderId="9" xfId="1" applyNumberFormat="1" applyFont="1" applyFill="1" applyBorder="1" applyAlignment="1">
      <alignment horizontal="center"/>
    </xf>
    <xf numFmtId="49" fontId="14" fillId="36" borderId="9" xfId="1" applyNumberFormat="1" applyFont="1" applyFill="1" applyBorder="1" applyAlignment="1">
      <alignment horizontal="center"/>
    </xf>
    <xf numFmtId="49" fontId="14" fillId="37" borderId="9" xfId="1" applyNumberFormat="1" applyFont="1" applyFill="1" applyBorder="1" applyAlignment="1">
      <alignment horizontal="center"/>
    </xf>
    <xf numFmtId="0" fontId="8" fillId="13" borderId="2" xfId="0" applyFont="1" applyFill="1" applyBorder="1" applyAlignment="1">
      <alignment horizontal="center"/>
    </xf>
    <xf numFmtId="0" fontId="11" fillId="0" borderId="3" xfId="0" applyFont="1" applyBorder="1"/>
    <xf numFmtId="0" fontId="11" fillId="0" borderId="4" xfId="0" applyFont="1" applyBorder="1"/>
    <xf numFmtId="0" fontId="8" fillId="12" borderId="7" xfId="0" applyFont="1" applyFill="1" applyBorder="1" applyAlignment="1">
      <alignment horizontal="center"/>
    </xf>
    <xf numFmtId="0" fontId="11" fillId="0" borderId="7" xfId="0" applyFont="1" applyBorder="1"/>
    <xf numFmtId="0" fontId="11" fillId="0" borderId="8" xfId="0" applyFont="1" applyBorder="1"/>
    <xf numFmtId="49" fontId="9" fillId="0" borderId="0" xfId="0" applyNumberFormat="1" applyFont="1" applyAlignment="1">
      <alignment horizontal="center"/>
    </xf>
    <xf numFmtId="0" fontId="8" fillId="10" borderId="2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0" fontId="8" fillId="10" borderId="0" xfId="0" applyFont="1" applyFill="1" applyAlignment="1">
      <alignment horizontal="center"/>
    </xf>
    <xf numFmtId="0" fontId="10" fillId="0" borderId="5" xfId="0" applyFont="1" applyBorder="1" applyAlignment="1">
      <alignment horizontal="center"/>
    </xf>
    <xf numFmtId="0" fontId="11" fillId="0" borderId="6" xfId="0" applyFont="1" applyBorder="1"/>
    <xf numFmtId="0" fontId="8" fillId="12" borderId="2" xfId="0" applyFont="1" applyFill="1" applyBorder="1" applyAlignment="1">
      <alignment horizontal="center"/>
    </xf>
  </cellXfs>
  <cellStyles count="3">
    <cellStyle name="Bình thường" xfId="0" builtinId="0"/>
    <cellStyle name="Dấu phẩy" xfId="1" builtinId="3"/>
    <cellStyle name="Phần tră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Xu</a:t>
            </a:r>
            <a:r>
              <a:rPr lang="en-US" baseline="0"/>
              <a:t> hướng công suất phòng ( T6 -&gt; T10/2024)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'Visualize-6-months'!$K$45</c:f>
              <c:strCache>
                <c:ptCount val="1"/>
                <c:pt idx="0">
                  <c:v>Total Room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'Visualize-6-months'!$J$46:$J$50</c:f>
              <c:strCache>
                <c:ptCount val="5"/>
                <c:pt idx="0">
                  <c:v>T6/2024</c:v>
                </c:pt>
                <c:pt idx="1">
                  <c:v>T7/2024</c:v>
                </c:pt>
                <c:pt idx="2">
                  <c:v>T8/2024</c:v>
                </c:pt>
                <c:pt idx="3">
                  <c:v>T9/2024</c:v>
                </c:pt>
                <c:pt idx="4">
                  <c:v>T10/2024</c:v>
                </c:pt>
              </c:strCache>
            </c:strRef>
          </c:cat>
          <c:val>
            <c:numRef>
              <c:f>'Visualize-6-months'!$K$46:$K$50</c:f>
              <c:numCache>
                <c:formatCode>0.00%</c:formatCode>
                <c:ptCount val="5"/>
                <c:pt idx="0">
                  <c:v>0.51670000000000005</c:v>
                </c:pt>
                <c:pt idx="1">
                  <c:v>0.7097</c:v>
                </c:pt>
                <c:pt idx="2">
                  <c:v>0.46710000000000002</c:v>
                </c:pt>
                <c:pt idx="3">
                  <c:v>0.47089999999999999</c:v>
                </c:pt>
                <c:pt idx="4">
                  <c:v>0.18820000000000001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29-48F9-B393-55668A330DE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8585216"/>
        <c:axId val="517161120"/>
      </c:lineChart>
      <c:catAx>
        <c:axId val="61858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161120"/>
        <c:crosses val="autoZero"/>
        <c:auto val="1"/>
        <c:lblAlgn val="ctr"/>
        <c:lblOffset val="100"/>
        <c:noMultiLvlLbl val="0"/>
      </c:catAx>
      <c:valAx>
        <c:axId val="51716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58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Tỷ</a:t>
            </a:r>
            <a:r>
              <a:rPr lang="en-US" baseline="0">
                <a:solidFill>
                  <a:schemeClr val="tx1"/>
                </a:solidFill>
              </a:rPr>
              <a:t> trọng doanh thu giữa các hạng phòng trong 5 tháng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'Visualize-6-months'!$J$75</c:f>
              <c:strCache>
                <c:ptCount val="1"/>
                <c:pt idx="0">
                  <c:v>Rev 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CF-46AA-BD04-4E6E849624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CF-46AA-BD04-4E6E849624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CF-46AA-BD04-4E6E849624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7CF-46AA-BD04-4E6E849624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alpha val="88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'Visualize-6-months'!$H$76:$H$80</c15:sqref>
                  </c15:fullRef>
                </c:ext>
              </c:extLst>
              <c:f>'Visualize-6-months'!$H$76:$H$79</c:f>
              <c:strCache>
                <c:ptCount val="4"/>
                <c:pt idx="0">
                  <c:v>STD-PNL</c:v>
                </c:pt>
                <c:pt idx="1">
                  <c:v>SUP-PNL</c:v>
                </c:pt>
                <c:pt idx="2">
                  <c:v>SUP-Q-PNL</c:v>
                </c:pt>
                <c:pt idx="3">
                  <c:v>DELUXE-PNL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'Visualize-6-months'!$J$76:$J$80</c15:sqref>
                  </c15:fullRef>
                </c:ext>
              </c:extLst>
              <c:f>'Visualize-6-months'!$J$76:$J$79</c:f>
              <c:numCache>
                <c:formatCode>0%</c:formatCode>
                <c:ptCount val="4"/>
                <c:pt idx="0">
                  <c:v>0.35750609985520232</c:v>
                </c:pt>
                <c:pt idx="1">
                  <c:v>0.20021234580425878</c:v>
                </c:pt>
                <c:pt idx="2">
                  <c:v>0.13087756879847787</c:v>
                </c:pt>
                <c:pt idx="3">
                  <c:v>0.311403985542061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1-97F8-48BD-A342-DF7DF298A7E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'Visualize-6-months'!$I$75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57CF-46AA-BD04-4E6E8496247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57CF-46AA-BD04-4E6E8496247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57CF-46AA-BD04-4E6E84962478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57CF-46AA-BD04-4E6E84962478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'Visualize-6-months'!$H$76:$H$80</c15:sqref>
                        </c15:fullRef>
                        <c15:formulaRef>
                          <c15:sqref>'Visualize-6-months'!$H$76:$H$79</c15:sqref>
                        </c15:formulaRef>
                      </c:ext>
                    </c:extLst>
                    <c:strCache>
                      <c:ptCount val="4"/>
                      <c:pt idx="0">
                        <c:v>STD-PNL</c:v>
                      </c:pt>
                      <c:pt idx="1">
                        <c:v>SUP-PNL</c:v>
                      </c:pt>
                      <c:pt idx="2">
                        <c:v>SUP-Q-PNL</c:v>
                      </c:pt>
                      <c:pt idx="3">
                        <c:v>DELUXE-PNL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'Visualize-6-months'!$I$76:$I$80</c15:sqref>
                        </c15:fullRef>
                        <c15:formulaRef>
                          <c15:sqref>'Visualize-6-months'!$I$76:$I$79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289741396</c:v>
                      </c:pt>
                      <c:pt idx="1">
                        <c:v>162262419</c:v>
                      </c:pt>
                      <c:pt idx="2">
                        <c:v>106069937</c:v>
                      </c:pt>
                      <c:pt idx="3">
                        <c:v>252377863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0-97F8-48BD-A342-DF7DF298A7EE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09769451619177"/>
          <c:y val="0.85046756418934644"/>
          <c:w val="0.49898648837933396"/>
          <c:h val="0.12224144291275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Tỷ</a:t>
            </a:r>
            <a:r>
              <a:rPr lang="en-US" b="0" baseline="0"/>
              <a:t> trọng đặt phòng giữa các kênh trong 5 tháng</a:t>
            </a:r>
            <a:endParaRPr lang="en-US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'Visualize-6-months'!$P$61</c:f>
              <c:strCache>
                <c:ptCount val="1"/>
                <c:pt idx="0">
                  <c:v>Rev room sold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79-4CC0-A66B-5DBCC97FF3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79-4CC0-A66B-5DBCC97FF3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79-4CC0-A66B-5DBCC97FF3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179-4CC0-A66B-5DBCC97FF3A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179-4CC0-A66B-5DBCC97FF3A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179-4CC0-A66B-5DBCC97FF3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'Visualize-6-months'!$N$62:$N$68</c15:sqref>
                  </c15:fullRef>
                </c:ext>
              </c:extLst>
              <c:f>'Visualize-6-months'!$N$62:$N$67</c:f>
              <c:strCache>
                <c:ptCount val="6"/>
                <c:pt idx="0">
                  <c:v>Booking</c:v>
                </c:pt>
                <c:pt idx="1">
                  <c:v>Agoda</c:v>
                </c:pt>
                <c:pt idx="2">
                  <c:v>Airbnb</c:v>
                </c:pt>
                <c:pt idx="3">
                  <c:v>Staff</c:v>
                </c:pt>
                <c:pt idx="4">
                  <c:v>A26 web</c:v>
                </c:pt>
                <c:pt idx="5">
                  <c:v>Other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'Visualize-6-months'!$P$62:$P$68</c15:sqref>
                  </c15:fullRef>
                </c:ext>
              </c:extLst>
              <c:f>'Visualize-6-months'!$P$62:$P$67</c:f>
              <c:numCache>
                <c:formatCode>0%</c:formatCode>
                <c:ptCount val="6"/>
                <c:pt idx="0">
                  <c:v>7.183499288762446E-2</c:v>
                </c:pt>
                <c:pt idx="1">
                  <c:v>0.10170697012802275</c:v>
                </c:pt>
                <c:pt idx="2">
                  <c:v>6.0455192034139404E-2</c:v>
                </c:pt>
                <c:pt idx="3">
                  <c:v>0.69914651493598867</c:v>
                </c:pt>
                <c:pt idx="4">
                  <c:v>2.9160739687055477E-2</c:v>
                </c:pt>
                <c:pt idx="5">
                  <c:v>3.7695590327169272E-2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1-8373-4315-B58D-6550691396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'Visualize-6-months'!$O$61</c15:sqref>
                        </c15:formulaRef>
                      </c:ext>
                    </c:extLst>
                    <c:strCache>
                      <c:ptCount val="1"/>
                      <c:pt idx="0">
                        <c:v>Room sold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B179-4CC0-A66B-5DBCC97FF3A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B179-4CC0-A66B-5DBCC97FF3A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1-B179-4CC0-A66B-5DBCC97FF3A2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3-B179-4CC0-A66B-5DBCC97FF3A2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5-B179-4CC0-A66B-5DBCC97FF3A2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7-B179-4CC0-A66B-5DBCC97FF3A2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'Visualize-6-months'!$N$62:$N$68</c15:sqref>
                        </c15:fullRef>
                        <c15:formulaRef>
                          <c15:sqref>'Visualize-6-months'!$N$62:$N$67</c15:sqref>
                        </c15:formulaRef>
                      </c:ext>
                    </c:extLst>
                    <c:strCache>
                      <c:ptCount val="6"/>
                      <c:pt idx="0">
                        <c:v>Booking</c:v>
                      </c:pt>
                      <c:pt idx="1">
                        <c:v>Agoda</c:v>
                      </c:pt>
                      <c:pt idx="2">
                        <c:v>Airbnb</c:v>
                      </c:pt>
                      <c:pt idx="3">
                        <c:v>Staff</c:v>
                      </c:pt>
                      <c:pt idx="4">
                        <c:v>A26 web</c:v>
                      </c:pt>
                      <c:pt idx="5">
                        <c:v>Other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'Visualize-6-months'!$O$62:$O$68</c15:sqref>
                        </c15:fullRef>
                        <c15:formulaRef>
                          <c15:sqref>'Visualize-6-months'!$O$62:$O$67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101</c:v>
                      </c:pt>
                      <c:pt idx="1">
                        <c:v>143</c:v>
                      </c:pt>
                      <c:pt idx="2">
                        <c:v>85</c:v>
                      </c:pt>
                      <c:pt idx="3">
                        <c:v>983</c:v>
                      </c:pt>
                      <c:pt idx="4">
                        <c:v>41</c:v>
                      </c:pt>
                      <c:pt idx="5">
                        <c:v>53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0-8373-4315-B58D-65506913960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>
                <a:effectLst/>
              </a:rPr>
              <a:t>Cơ cấu phòng bán Direct vs OTA theo tháng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'Visualize-6-months'!$K$61</c:f>
              <c:strCache>
                <c:ptCount val="1"/>
                <c:pt idx="0">
                  <c:v>Direct (Phòng)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'Visualize-6-months'!$J$62:$J$67</c15:sqref>
                  </c15:fullRef>
                </c:ext>
              </c:extLst>
              <c:f>'Visualize-6-months'!$J$62:$J$66</c:f>
              <c:strCache>
                <c:ptCount val="5"/>
                <c:pt idx="0">
                  <c:v>T6/2024</c:v>
                </c:pt>
                <c:pt idx="1">
                  <c:v>T7/2024</c:v>
                </c:pt>
                <c:pt idx="2">
                  <c:v>T8/2024</c:v>
                </c:pt>
                <c:pt idx="3">
                  <c:v>T9/2024</c:v>
                </c:pt>
                <c:pt idx="4">
                  <c:v>T10/2024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'Visualize-6-months'!$K$62:$K$67</c15:sqref>
                  </c15:fullRef>
                </c:ext>
              </c:extLst>
              <c:f>'Visualize-6-months'!$K$62:$K$66</c:f>
              <c:numCache>
                <c:formatCode>General</c:formatCode>
                <c:ptCount val="5"/>
                <c:pt idx="0">
                  <c:v>225</c:v>
                </c:pt>
                <c:pt idx="1">
                  <c:v>339</c:v>
                </c:pt>
                <c:pt idx="2">
                  <c:v>219</c:v>
                </c:pt>
                <c:pt idx="3">
                  <c:v>183</c:v>
                </c:pt>
                <c:pt idx="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B-4540-95F5-CAE5A9680CFA}"/>
            </c:ext>
          </c:extLst>
        </c:ser>
        <c:ser>
          <c:idx val="1"/>
          <c:order val="1"/>
          <c:tx>
            <c:strRef>
              <c:f>'Visualize-6-months'!$L$61</c:f>
              <c:strCache>
                <c:ptCount val="1"/>
                <c:pt idx="0">
                  <c:v>OTA / Kênh khác (Phòng)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'Visualize-6-months'!$J$62:$J$67</c15:sqref>
                  </c15:fullRef>
                </c:ext>
              </c:extLst>
              <c:f>'Visualize-6-months'!$J$62:$J$66</c:f>
              <c:strCache>
                <c:ptCount val="5"/>
                <c:pt idx="0">
                  <c:v>T6/2024</c:v>
                </c:pt>
                <c:pt idx="1">
                  <c:v>T7/2024</c:v>
                </c:pt>
                <c:pt idx="2">
                  <c:v>T8/2024</c:v>
                </c:pt>
                <c:pt idx="3">
                  <c:v>T9/2024</c:v>
                </c:pt>
                <c:pt idx="4">
                  <c:v>T10/2024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'Visualize-6-months'!$L$62:$L$67</c15:sqref>
                  </c15:fullRef>
                </c:ext>
              </c:extLst>
              <c:f>'Visualize-6-months'!$L$62:$L$66</c:f>
              <c:numCache>
                <c:formatCode>General</c:formatCode>
                <c:ptCount val="5"/>
                <c:pt idx="0">
                  <c:v>85</c:v>
                </c:pt>
                <c:pt idx="1">
                  <c:v>101</c:v>
                </c:pt>
                <c:pt idx="2">
                  <c:v>65</c:v>
                </c:pt>
                <c:pt idx="3">
                  <c:v>84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DB-4540-95F5-CAE5A9680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0802416"/>
        <c:axId val="818812608"/>
      </c:barChart>
      <c:catAx>
        <c:axId val="99080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812608"/>
        <c:crosses val="autoZero"/>
        <c:auto val="1"/>
        <c:lblAlgn val="ctr"/>
        <c:lblOffset val="100"/>
        <c:noMultiLvlLbl val="0"/>
      </c:catAx>
      <c:valAx>
        <c:axId val="81881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80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Sản</a:t>
            </a:r>
            <a:r>
              <a:rPr lang="en-US" baseline="0"/>
              <a:t> lượng phòng bán được theo hạng phòng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'Visualize-6-months'!$O$49</c:f>
              <c:strCache>
                <c:ptCount val="1"/>
                <c:pt idx="0">
                  <c:v>Room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'Visualize-6-months'!$N$50:$N$53</c:f>
              <c:strCache>
                <c:ptCount val="4"/>
                <c:pt idx="0">
                  <c:v>STD-PNL</c:v>
                </c:pt>
                <c:pt idx="1">
                  <c:v>SUP-PNL</c:v>
                </c:pt>
                <c:pt idx="2">
                  <c:v>SUP-Q-PNL</c:v>
                </c:pt>
                <c:pt idx="3">
                  <c:v>DELUXE-PNL</c:v>
                </c:pt>
              </c:strCache>
            </c:strRef>
          </c:cat>
          <c:val>
            <c:numRef>
              <c:f>'Visualize-6-months'!$O$50:$O$53</c:f>
              <c:numCache>
                <c:formatCode>0</c:formatCode>
                <c:ptCount val="4"/>
                <c:pt idx="0">
                  <c:v>548</c:v>
                </c:pt>
                <c:pt idx="1">
                  <c:v>282</c:v>
                </c:pt>
                <c:pt idx="2">
                  <c:v>169</c:v>
                </c:pt>
                <c:pt idx="3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0-42AE-9186-9B57D7195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7336176"/>
        <c:axId val="674003680"/>
      </c:barChart>
      <c:catAx>
        <c:axId val="82733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003680"/>
        <c:crosses val="autoZero"/>
        <c:auto val="1"/>
        <c:lblAlgn val="ctr"/>
        <c:lblOffset val="100"/>
        <c:noMultiLvlLbl val="0"/>
      </c:catAx>
      <c:valAx>
        <c:axId val="67400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33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542873</xdr:colOff>
      <xdr:row>43</xdr:row>
      <xdr:rowOff>144934</xdr:rowOff>
    </xdr:from>
    <xdr:to>
      <xdr:col>12</xdr:col>
      <xdr:colOff>31849</xdr:colOff>
      <xdr:row>58</xdr:row>
      <xdr:rowOff>86575</xdr:rowOff>
    </xdr:to>
    <xdr:graphicFrame macro="">
      <xdr:nvGraphicFramePr>
        <xdr:cNvPr id="5" name="Biểu đồ 4">
          <a:extLst>
            <a:ext uri="{FF2B5EF4-FFF2-40B4-BE49-F238E27FC236}">
              <a16:creationId xmlns:a16="http://schemas.microsoft.com/office/drawing/2014/main" id="{E761C811-497E-D2F3-4D04-B360A6432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506131</xdr:colOff>
      <xdr:row>72</xdr:row>
      <xdr:rowOff>171441</xdr:rowOff>
    </xdr:from>
    <xdr:to>
      <xdr:col>12</xdr:col>
      <xdr:colOff>3424</xdr:colOff>
      <xdr:row>88</xdr:row>
      <xdr:rowOff>12762</xdr:rowOff>
    </xdr:to>
    <xdr:graphicFrame macro="">
      <xdr:nvGraphicFramePr>
        <xdr:cNvPr id="10" name="Biểu đồ 9">
          <a:extLst>
            <a:ext uri="{FF2B5EF4-FFF2-40B4-BE49-F238E27FC236}">
              <a16:creationId xmlns:a16="http://schemas.microsoft.com/office/drawing/2014/main" id="{A6384B34-B856-077E-84EE-477554303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9118</xdr:colOff>
      <xdr:row>58</xdr:row>
      <xdr:rowOff>90854</xdr:rowOff>
    </xdr:from>
    <xdr:to>
      <xdr:col>19</xdr:col>
      <xdr:colOff>225018</xdr:colOff>
      <xdr:row>72</xdr:row>
      <xdr:rowOff>130257</xdr:rowOff>
    </xdr:to>
    <xdr:graphicFrame macro="">
      <xdr:nvGraphicFramePr>
        <xdr:cNvPr id="11" name="Biểu đồ 10">
          <a:extLst>
            <a:ext uri="{FF2B5EF4-FFF2-40B4-BE49-F238E27FC236}">
              <a16:creationId xmlns:a16="http://schemas.microsoft.com/office/drawing/2014/main" id="{502EFFC6-DF73-D2FA-1222-5F21C367C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488222</xdr:colOff>
      <xdr:row>58</xdr:row>
      <xdr:rowOff>101390</xdr:rowOff>
    </xdr:from>
    <xdr:to>
      <xdr:col>12</xdr:col>
      <xdr:colOff>20819</xdr:colOff>
      <xdr:row>72</xdr:row>
      <xdr:rowOff>145738</xdr:rowOff>
    </xdr:to>
    <xdr:graphicFrame macro="">
      <xdr:nvGraphicFramePr>
        <xdr:cNvPr id="2" name="Biểu đồ 1">
          <a:extLst>
            <a:ext uri="{FF2B5EF4-FFF2-40B4-BE49-F238E27FC236}">
              <a16:creationId xmlns:a16="http://schemas.microsoft.com/office/drawing/2014/main" id="{5A0EAF48-8CFC-F7A5-278E-3C9B2662A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40598</xdr:colOff>
      <xdr:row>43</xdr:row>
      <xdr:rowOff>143031</xdr:rowOff>
    </xdr:from>
    <xdr:to>
      <xdr:col>19</xdr:col>
      <xdr:colOff>156449</xdr:colOff>
      <xdr:row>58</xdr:row>
      <xdr:rowOff>101231</xdr:rowOff>
    </xdr:to>
    <xdr:graphicFrame macro="">
      <xdr:nvGraphicFramePr>
        <xdr:cNvPr id="3" name="Biểu đồ 2">
          <a:extLst>
            <a:ext uri="{FF2B5EF4-FFF2-40B4-BE49-F238E27FC236}">
              <a16:creationId xmlns:a16="http://schemas.microsoft.com/office/drawing/2014/main" id="{8DFE37E6-E733-2D59-2E9A-358945287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64.610785185185" createdVersion="8" refreshedVersion="8" minRefreshableVersion="3" recordCount="734" xr:uid="{52C14A22-2337-44AC-8938-1692551A000F}">
  <cacheSource type="worksheet">
    <worksheetSource ref="B6:Z735" sheet="A26 Pham Ngu Lao"/>
  </cacheSource>
  <cacheFields count="25">
    <cacheField name="Mã đặt phòng" numFmtId="0">
      <sharedItems/>
    </cacheField>
    <cacheField name="Loại phòng" numFmtId="0">
      <sharedItems/>
    </cacheField>
    <cacheField name="Tên phòng" numFmtId="0">
      <sharedItems/>
    </cacheField>
    <cacheField name="Tên khách" numFmtId="0">
      <sharedItems/>
    </cacheField>
    <cacheField name="Ngày đến" numFmtId="164">
      <sharedItems/>
    </cacheField>
    <cacheField name="Ngày đi" numFmtId="164">
      <sharedItems/>
    </cacheField>
    <cacheField name="Tiền phòng" numFmtId="3">
      <sharedItems containsSemiMixedTypes="0" containsString="0" containsNumber="1" containsInteger="1" minValue="0" maxValue="28021400"/>
    </cacheField>
    <cacheField name="Dịch vụ" numFmtId="3">
      <sharedItems containsSemiMixedTypes="0" containsString="0" containsNumber="1" containsInteger="1" minValue="0" maxValue="2384000"/>
    </cacheField>
    <cacheField name="Tổng doanh thu" numFmtId="3">
      <sharedItems containsSemiMixedTypes="0" containsString="0" containsNumber="1" containsInteger="1" minValue="0" maxValue="30395520"/>
    </cacheField>
    <cacheField name="Nợ trước" numFmtId="3">
      <sharedItems containsSemiMixedTypes="0" containsString="0" containsNumber="1" containsInteger="1" minValue="0" maxValue="0"/>
    </cacheField>
    <cacheField name="Tiền mặt" numFmtId="3">
      <sharedItems containsSemiMixedTypes="0" containsString="0" containsNumber="1" containsInteger="1" minValue="-4538000" maxValue="6620000"/>
    </cacheField>
    <cacheField name="Thẻ tín dụng" numFmtId="3">
      <sharedItems containsSemiMixedTypes="0" containsString="0" containsNumber="1" containsInteger="1" minValue="0" maxValue="0"/>
    </cacheField>
    <cacheField name="Chuyển khoản" numFmtId="3">
      <sharedItems containsSemiMixedTypes="0" containsString="0" containsNumber="1" containsInteger="1" minValue="0" maxValue="30395520"/>
    </cacheField>
    <cacheField name="Công nợ" numFmtId="3">
      <sharedItems containsSemiMixedTypes="0" containsString="0" containsNumber="1" containsInteger="1" minValue="0" maxValue="16078400"/>
    </cacheField>
    <cacheField name="Còn thiếu" numFmtId="3">
      <sharedItems containsSemiMixedTypes="0" containsString="0" containsNumber="1" containsInteger="1" minValue="-3045000" maxValue="3045000"/>
    </cacheField>
    <cacheField name="SĐT" numFmtId="0">
      <sharedItems containsBlank="1"/>
    </cacheField>
    <cacheField name="Email" numFmtId="0">
      <sharedItems containsBlank="1"/>
    </cacheField>
    <cacheField name="CMND/Hộ chiếu" numFmtId="0">
      <sharedItems containsBlank="1"/>
    </cacheField>
    <cacheField name="Nguồn" numFmtId="0">
      <sharedItems count="6">
        <s v=""/>
        <s v="Booked_CTV"/>
        <s v="ONLINE"/>
        <s v="Booked_TA"/>
        <s v="Công ty"/>
        <s v="OTA"/>
      </sharedItems>
    </cacheField>
    <cacheField name="Thị trường" numFmtId="0">
      <sharedItems/>
    </cacheField>
    <cacheField name="Trạng thái" numFmtId="0">
      <sharedItems/>
    </cacheField>
    <cacheField name="Số hóa đơn" numFmtId="0">
      <sharedItems/>
    </cacheField>
    <cacheField name="Mã CMS" numFmtId="0">
      <sharedItems containsBlank="1"/>
    </cacheField>
    <cacheField name="Giá trung bình" numFmtId="3">
      <sharedItems containsSemiMixedTypes="0" containsString="0" containsNumber="1" minValue="0" maxValue="1583280"/>
    </cacheField>
    <cacheField name="Số đêm" numFmtId="3">
      <sharedItems containsSemiMixedTypes="0" containsString="0" containsNumber="1" containsInteger="1" minValue="1" maxValue="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4">
  <r>
    <s v="1"/>
    <s v="DELUXE-PNL"/>
    <s v="503"/>
    <s v="chị trang"/>
    <s v="22/05/24 09:40"/>
    <s v="22/05/24 15:54"/>
    <n v="0"/>
    <n v="0"/>
    <n v="0"/>
    <n v="0"/>
    <n v="0"/>
    <n v="0"/>
    <n v="0"/>
    <n v="0"/>
    <n v="0"/>
    <s v=""/>
    <s v=""/>
    <s v=""/>
    <x v="0"/>
    <s v=""/>
    <s v="CHECKOUT"/>
    <s v="1"/>
    <m/>
    <n v="0"/>
    <n v="1"/>
  </r>
  <r>
    <s v="9"/>
    <s v="DELUXE-PNL"/>
    <s v="303"/>
    <s v="Kayden"/>
    <s v="24/05/24 21:00"/>
    <s v="25/05/24 08:59"/>
    <n v="449000"/>
    <n v="0"/>
    <n v="449000"/>
    <n v="0"/>
    <n v="449000"/>
    <n v="0"/>
    <n v="0"/>
    <n v="0"/>
    <n v="0"/>
    <s v=""/>
    <s v=""/>
    <s v=""/>
    <x v="1"/>
    <s v=""/>
    <s v="CHECKOUT"/>
    <s v="9"/>
    <m/>
    <n v="449000"/>
    <n v="1"/>
  </r>
  <r>
    <s v="5"/>
    <s v="DELUXE-PNL"/>
    <s v="403"/>
    <s v="Kang Byeong Jae"/>
    <s v="24/05/24 23:40"/>
    <s v="25/05/24 09:00"/>
    <n v="784534"/>
    <n v="0"/>
    <n v="784534"/>
    <n v="0"/>
    <n v="0"/>
    <n v="0"/>
    <n v="0"/>
    <n v="784534"/>
    <n v="0"/>
    <s v="821052846890"/>
    <s v=""/>
    <s v=""/>
    <x v="2"/>
    <s v=""/>
    <s v="CHECKOUT"/>
    <s v="5"/>
    <s v="HM5TCXPYJ5_LDCB1F"/>
    <n v="784534"/>
    <n v="1"/>
  </r>
  <r>
    <s v="13"/>
    <s v="DELUXE-PNL"/>
    <s v="403"/>
    <s v="Long Hoàng"/>
    <s v="25/05/24 14:09"/>
    <s v="25/05/24 14:09"/>
    <n v="0"/>
    <n v="0"/>
    <n v="0"/>
    <n v="0"/>
    <n v="0"/>
    <n v="0"/>
    <n v="0"/>
    <n v="0"/>
    <n v="0"/>
    <m/>
    <m/>
    <m/>
    <x v="3"/>
    <s v=""/>
    <s v="CHECKOUT"/>
    <s v="13"/>
    <m/>
    <n v="0"/>
    <n v="1"/>
  </r>
  <r>
    <s v="16"/>
    <s v="DELUXE-PNL"/>
    <s v="303"/>
    <s v="NG"/>
    <s v="25/05/24 15:04"/>
    <s v="25/05/24 17:24"/>
    <n v="449000"/>
    <n v="0"/>
    <n v="449000"/>
    <n v="0"/>
    <n v="0"/>
    <n v="0"/>
    <n v="449000"/>
    <n v="0"/>
    <n v="0"/>
    <m/>
    <m/>
    <m/>
    <x v="1"/>
    <s v=""/>
    <s v="CHECKOUT"/>
    <s v="16"/>
    <m/>
    <n v="449000"/>
    <n v="1"/>
  </r>
  <r>
    <s v="14"/>
    <s v="SUP-PNL"/>
    <s v="302"/>
    <s v="Đào Ngọc Mạnh"/>
    <s v="25/05/24 15:04"/>
    <s v="25/05/24 18:42"/>
    <n v="469000"/>
    <n v="19000"/>
    <n v="488000"/>
    <n v="0"/>
    <n v="19000"/>
    <n v="0"/>
    <n v="469000"/>
    <n v="0"/>
    <n v="0"/>
    <s v=""/>
    <s v=""/>
    <s v=""/>
    <x v="1"/>
    <s v=""/>
    <s v="CHECKOUT"/>
    <s v="14"/>
    <m/>
    <n v="469000"/>
    <n v="1"/>
  </r>
  <r>
    <s v="12"/>
    <s v="STD-PNL"/>
    <s v="501"/>
    <s v="Tuấn"/>
    <s v="25/05/24 12:43"/>
    <s v="26/05/24 08:35"/>
    <n v="585000"/>
    <n v="0"/>
    <n v="585000"/>
    <n v="0"/>
    <n v="0"/>
    <n v="0"/>
    <n v="585000"/>
    <n v="0"/>
    <n v="0"/>
    <s v="0349743629"/>
    <s v=""/>
    <s v=""/>
    <x v="3"/>
    <s v=""/>
    <s v="CHECKOUT"/>
    <s v="12"/>
    <m/>
    <n v="585000"/>
    <n v="1"/>
  </r>
  <r>
    <s v="8"/>
    <s v="SUP-Q-PNL"/>
    <s v="502"/>
    <s v="ASPA Baptiste"/>
    <s v="24/05/24 19:03"/>
    <s v="26/05/24 08:35"/>
    <n v="1530000"/>
    <n v="0"/>
    <n v="1530000"/>
    <n v="0"/>
    <n v="0"/>
    <n v="0"/>
    <n v="0"/>
    <n v="1530000"/>
    <n v="0"/>
    <s v=""/>
    <s v=""/>
    <s v=""/>
    <x v="1"/>
    <s v=""/>
    <s v="CHECKOUT"/>
    <s v="8"/>
    <m/>
    <n v="765000"/>
    <n v="2"/>
  </r>
  <r>
    <s v="6"/>
    <s v="STD-PNL"/>
    <s v="301"/>
    <s v="Đặng Mai"/>
    <s v="25/05/24 20:06"/>
    <s v="26/05/24 09:05"/>
    <n v="463075"/>
    <n v="0"/>
    <n v="463075"/>
    <n v="0"/>
    <n v="0"/>
    <n v="0"/>
    <n v="0"/>
    <n v="463075"/>
    <n v="0"/>
    <s v="841212120676"/>
    <s v=""/>
    <s v=""/>
    <x v="2"/>
    <s v=""/>
    <s v="CHECKOUT"/>
    <s v="6"/>
    <s v="HMKHY5YWEM_LDCB1F"/>
    <n v="463075"/>
    <n v="1"/>
  </r>
  <r>
    <s v="15"/>
    <s v="STD-PNL"/>
    <s v="401"/>
    <s v="Lý Minh Trí"/>
    <s v="25/05/24 14:16"/>
    <s v="26/05/24 10:06"/>
    <n v="580000"/>
    <n v="0"/>
    <n v="580000"/>
    <n v="0"/>
    <n v="580000"/>
    <n v="0"/>
    <n v="0"/>
    <n v="0"/>
    <n v="0"/>
    <s v="0932829180"/>
    <s v=""/>
    <s v=""/>
    <x v="1"/>
    <s v=""/>
    <s v="CHECKOUT"/>
    <s v="15"/>
    <m/>
    <n v="580000"/>
    <n v="1"/>
  </r>
  <r>
    <s v="11"/>
    <s v="STD-PNL"/>
    <s v="601"/>
    <s v="Lê Nhật"/>
    <s v="25/05/24 18:01"/>
    <s v="26/05/24 11:00"/>
    <n v="585000"/>
    <n v="0"/>
    <n v="585000"/>
    <n v="0"/>
    <n v="0"/>
    <n v="0"/>
    <n v="585000"/>
    <n v="0"/>
    <n v="0"/>
    <s v="0382156526"/>
    <s v=""/>
    <s v=""/>
    <x v="3"/>
    <s v=""/>
    <s v="CHECKOUT"/>
    <s v="11"/>
    <m/>
    <n v="585000"/>
    <n v="1"/>
  </r>
  <r>
    <s v="17"/>
    <s v="SUP-Q-PNL"/>
    <s v="602"/>
    <s v="Russell"/>
    <s v="25/05/24 18:38"/>
    <s v="26/05/24 11:00"/>
    <n v="700000"/>
    <n v="0"/>
    <n v="700000"/>
    <n v="0"/>
    <n v="0"/>
    <n v="0"/>
    <n v="0"/>
    <n v="700000"/>
    <n v="0"/>
    <s v=""/>
    <s v=""/>
    <s v=""/>
    <x v="1"/>
    <s v=""/>
    <s v="CHECKOUT"/>
    <s v="17"/>
    <m/>
    <n v="700000"/>
    <n v="1"/>
  </r>
  <r>
    <s v="19"/>
    <s v="STD-PNL"/>
    <s v="201"/>
    <s v="Quỳnh Như"/>
    <s v="25/05/24 22:35"/>
    <s v="26/05/24 16:00"/>
    <n v="825000"/>
    <n v="0"/>
    <n v="825000"/>
    <n v="0"/>
    <n v="240000"/>
    <n v="0"/>
    <n v="585000"/>
    <n v="0"/>
    <n v="0"/>
    <s v="0333038479"/>
    <s v=""/>
    <s v=""/>
    <x v="1"/>
    <s v=""/>
    <s v="CHECKOUT"/>
    <s v="19"/>
    <m/>
    <n v="825000"/>
    <n v="1"/>
  </r>
  <r>
    <s v="22"/>
    <s v="STD-PNL"/>
    <s v="501"/>
    <s v="Jo Phạm"/>
    <s v="26/05/24 13:59"/>
    <s v="26/05/24 20:00"/>
    <n v="575000"/>
    <n v="0"/>
    <n v="575000"/>
    <n v="0"/>
    <n v="0"/>
    <n v="0"/>
    <n v="0"/>
    <n v="575000"/>
    <n v="0"/>
    <s v="0906380089"/>
    <m/>
    <m/>
    <x v="3"/>
    <s v=""/>
    <s v="CHECKOUT"/>
    <s v="22"/>
    <m/>
    <n v="575000"/>
    <n v="1"/>
  </r>
  <r>
    <s v="23"/>
    <s v="DELUXE-PNL"/>
    <s v="603"/>
    <s v="Lê Văn Thấu"/>
    <s v="26/05/24 19:44"/>
    <s v="27/05/24 11:00"/>
    <n v="585000"/>
    <n v="0"/>
    <n v="555000"/>
    <n v="0"/>
    <n v="0"/>
    <n v="0"/>
    <n v="555000"/>
    <n v="0"/>
    <n v="0"/>
    <s v=""/>
    <s v=""/>
    <s v="038050003261"/>
    <x v="1"/>
    <s v=""/>
    <s v="CHECKOUT"/>
    <s v="24"/>
    <m/>
    <n v="585000"/>
    <n v="1"/>
  </r>
  <r>
    <s v="26"/>
    <s v="SUP-Q-PNL"/>
    <s v="602"/>
    <s v="Elvinas"/>
    <s v="26/05/24 19:31"/>
    <s v="27/05/24 11:00"/>
    <n v="804667"/>
    <n v="0"/>
    <n v="804667"/>
    <n v="0"/>
    <n v="0"/>
    <n v="0"/>
    <n v="0"/>
    <n v="804667"/>
    <n v="0"/>
    <s v=""/>
    <s v=""/>
    <s v=""/>
    <x v="4"/>
    <s v=""/>
    <s v="CHECKOUT"/>
    <s v="29"/>
    <m/>
    <n v="804667"/>
    <n v="1"/>
  </r>
  <r>
    <s v="10"/>
    <s v="SUP-PNL"/>
    <s v="402"/>
    <s v="Linh Đan"/>
    <s v="25/05/24 15:34"/>
    <s v="27/05/24 11:30"/>
    <n v="2042000"/>
    <n v="200000"/>
    <n v="2242000"/>
    <n v="0"/>
    <n v="1570000"/>
    <n v="0"/>
    <n v="672000"/>
    <n v="0"/>
    <n v="0"/>
    <s v="0989838633"/>
    <s v=""/>
    <s v=""/>
    <x v="1"/>
    <s v=""/>
    <s v="CHECKOUT"/>
    <s v="10"/>
    <m/>
    <n v="1021000"/>
    <n v="2"/>
  </r>
  <r>
    <s v="30"/>
    <s v="STD-PNL"/>
    <s v="501"/>
    <s v="Nghĩa Trịnh"/>
    <s v="27/05/24 12:00"/>
    <s v="27/05/24 23:00"/>
    <n v="529000"/>
    <n v="0"/>
    <n v="529000"/>
    <n v="0"/>
    <n v="0"/>
    <n v="0"/>
    <n v="529000"/>
    <n v="0"/>
    <n v="0"/>
    <s v="0395425614"/>
    <s v=""/>
    <s v=""/>
    <x v="3"/>
    <s v=""/>
    <s v="CHECKOUT"/>
    <s v="33"/>
    <m/>
    <n v="529000"/>
    <n v="1"/>
  </r>
  <r>
    <s v="31"/>
    <s v="DELUXE-PNL"/>
    <s v="303"/>
    <s v="Võ Việt Trung"/>
    <s v="27/05/24 20:14"/>
    <s v="28/05/24 09:09"/>
    <n v="899000"/>
    <n v="0"/>
    <n v="809100"/>
    <n v="0"/>
    <n v="0"/>
    <n v="0"/>
    <n v="809100"/>
    <n v="0"/>
    <n v="0"/>
    <s v="+84989109476"/>
    <s v="johntrung@gmail.com"/>
    <s v=""/>
    <x v="2"/>
    <s v=""/>
    <s v="CHECKOUT"/>
    <s v="34"/>
    <s v="88825144721"/>
    <n v="899000"/>
    <n v="1"/>
  </r>
  <r>
    <s v="23"/>
    <s v="STD-PNL"/>
    <s v="601"/>
    <s v="Lê Ngọc Long"/>
    <s v="26/05/24 19:44"/>
    <s v="28/05/24 09:34"/>
    <n v="990000"/>
    <n v="0"/>
    <n v="990000"/>
    <n v="0"/>
    <n v="0"/>
    <n v="0"/>
    <n v="990000"/>
    <n v="0"/>
    <n v="0"/>
    <s v="0947865604"/>
    <s v=""/>
    <s v="038200032687"/>
    <x v="1"/>
    <s v=""/>
    <s v="CHECKOUT"/>
    <s v="23"/>
    <m/>
    <n v="495000"/>
    <n v="2"/>
  </r>
  <r>
    <s v="28"/>
    <s v="STD-PNL"/>
    <s v="501"/>
    <s v="Tien Tien"/>
    <s v="28/05/24 23:21"/>
    <s v="29/05/24 10:37"/>
    <n v="494000"/>
    <n v="19000"/>
    <n v="513000"/>
    <n v="0"/>
    <n v="19000"/>
    <n v="0"/>
    <n v="494000"/>
    <n v="0"/>
    <n v="0"/>
    <s v="0932006246"/>
    <s v=""/>
    <s v=""/>
    <x v="3"/>
    <s v=""/>
    <s v="CHECKOUT"/>
    <s v="31"/>
    <m/>
    <n v="494000"/>
    <n v="1"/>
  </r>
  <r>
    <s v="24"/>
    <s v="SUP-PNL"/>
    <s v="402"/>
    <s v="phạm uyên thuỳ"/>
    <s v="27/05/24 14:33"/>
    <s v="29/05/24 11:00"/>
    <n v="1173334"/>
    <n v="29000"/>
    <n v="1202334"/>
    <n v="0"/>
    <n v="29000"/>
    <n v="0"/>
    <n v="1173334"/>
    <n v="0"/>
    <n v="0"/>
    <s v="0849127979"/>
    <s v=""/>
    <s v=""/>
    <x v="1"/>
    <s v=""/>
    <s v="CHECKOUT"/>
    <s v="26"/>
    <m/>
    <n v="586667"/>
    <n v="2"/>
  </r>
  <r>
    <s v="25"/>
    <s v="STD-PNL"/>
    <s v="401"/>
    <s v="Phan thị trang"/>
    <s v="26/05/24 23:40"/>
    <s v="29/05/24 11:00"/>
    <n v="1485000"/>
    <n v="0"/>
    <n v="1485000"/>
    <n v="0"/>
    <n v="0"/>
    <n v="0"/>
    <n v="1485000"/>
    <n v="0"/>
    <n v="0"/>
    <s v="0935954348"/>
    <m/>
    <m/>
    <x v="1"/>
    <s v=""/>
    <s v="CHECKOUT"/>
    <s v="28"/>
    <m/>
    <n v="495000"/>
    <n v="3"/>
  </r>
  <r>
    <s v="32"/>
    <s v="DELUXE-PNL"/>
    <s v="303"/>
    <s v="Tran huu Duc"/>
    <s v="28/05/24 17:12"/>
    <s v="29/05/24 11:00"/>
    <n v="899000"/>
    <n v="0"/>
    <n v="899000"/>
    <n v="0"/>
    <n v="0"/>
    <n v="0"/>
    <n v="899000"/>
    <n v="0"/>
    <n v="0"/>
    <s v="+84 90 417 97 79"/>
    <s v=""/>
    <s v=""/>
    <x v="1"/>
    <s v=""/>
    <s v="CHECKOUT"/>
    <s v="35"/>
    <m/>
    <n v="899000"/>
    <n v="1"/>
  </r>
  <r>
    <s v="34"/>
    <s v="DELUXE-PNL"/>
    <s v="503"/>
    <s v="Bai Song"/>
    <s v="28/05/24 17:43"/>
    <s v="29/05/24 11:00"/>
    <n v="641656"/>
    <n v="0"/>
    <n v="641656"/>
    <n v="0"/>
    <n v="0"/>
    <n v="0"/>
    <n v="0"/>
    <n v="641656"/>
    <n v="0"/>
    <s v="8613216128828"/>
    <s v=""/>
    <s v=""/>
    <x v="2"/>
    <s v=""/>
    <s v="CHECKOUT"/>
    <s v="37"/>
    <s v="HM52SZN2WB_LDCB1F"/>
    <n v="641656"/>
    <n v="1"/>
  </r>
  <r>
    <s v="33"/>
    <s v="DELUXE-PNL"/>
    <s v="403"/>
    <s v="Verma Shekher"/>
    <s v="28/05/24 11:15"/>
    <s v="29/05/24 12:00"/>
    <n v="467587"/>
    <n v="39000"/>
    <n v="506587"/>
    <n v="0"/>
    <n v="39000"/>
    <n v="0"/>
    <n v="0"/>
    <n v="467587"/>
    <n v="0"/>
    <s v=""/>
    <s v=""/>
    <s v=""/>
    <x v="0"/>
    <s v=""/>
    <s v="CHECKOUT"/>
    <s v="36"/>
    <m/>
    <n v="467587"/>
    <n v="1"/>
  </r>
  <r>
    <s v="39"/>
    <s v="STD-PNL"/>
    <s v="101"/>
    <s v="Nguyễn Trung Kiên"/>
    <s v="28/05/24 23:35"/>
    <s v="29/05/24 12:00"/>
    <n v="400000"/>
    <n v="0"/>
    <n v="400000"/>
    <n v="0"/>
    <n v="0"/>
    <n v="0"/>
    <n v="400000"/>
    <n v="0"/>
    <n v="0"/>
    <s v="0336280281"/>
    <s v=""/>
    <s v=""/>
    <x v="1"/>
    <s v=""/>
    <s v="CHECKOUT"/>
    <s v="42"/>
    <m/>
    <n v="400000"/>
    <n v="1"/>
  </r>
  <r>
    <s v="24"/>
    <s v="SUP-Q-PNL"/>
    <s v="602"/>
    <s v="phạm uyên thuỳ"/>
    <s v="27/05/24 14:33"/>
    <s v="29/05/24 17:35"/>
    <n v="1833334"/>
    <n v="0"/>
    <n v="1833334"/>
    <n v="0"/>
    <n v="580000"/>
    <n v="0"/>
    <n v="1253334"/>
    <n v="0"/>
    <n v="0"/>
    <s v="0849127979"/>
    <s v=""/>
    <s v=""/>
    <x v="1"/>
    <s v=""/>
    <s v="CHECKOUT"/>
    <s v="27"/>
    <m/>
    <n v="916667"/>
    <n v="2"/>
  </r>
  <r>
    <s v="24"/>
    <s v="SUP-Q-PNL"/>
    <s v="502"/>
    <s v="phạm uyên thuỳ"/>
    <s v="27/05/24 14:33"/>
    <s v="29/05/24 17:36"/>
    <n v="1833332"/>
    <n v="0"/>
    <n v="1833332"/>
    <n v="0"/>
    <n v="580000"/>
    <n v="0"/>
    <n v="1253332"/>
    <n v="0"/>
    <n v="0"/>
    <s v="0849127979"/>
    <s v=""/>
    <s v=""/>
    <x v="1"/>
    <s v=""/>
    <s v="CHECKOUT"/>
    <s v="25"/>
    <m/>
    <n v="916666"/>
    <n v="2"/>
  </r>
  <r>
    <s v="43"/>
    <s v="SUP-PNL"/>
    <s v="202"/>
    <s v="Nguyễn Thương"/>
    <s v="29/05/24 14:53"/>
    <s v="29/05/24 17:38"/>
    <n v="400000"/>
    <n v="0"/>
    <n v="400000"/>
    <n v="0"/>
    <n v="0"/>
    <n v="0"/>
    <n v="400000"/>
    <n v="0"/>
    <n v="0"/>
    <s v="0912465699"/>
    <s v=""/>
    <s v=""/>
    <x v="1"/>
    <s v=""/>
    <s v="CHECKOUT"/>
    <s v="46"/>
    <m/>
    <n v="400000"/>
    <n v="1"/>
  </r>
  <r>
    <s v="35"/>
    <s v="STD-PNL"/>
    <s v="601"/>
    <s v="Huỳnh Tuấn Kiệt"/>
    <s v="28/05/24 17:05"/>
    <s v="30/05/24 08:06"/>
    <n v="990000"/>
    <n v="0"/>
    <n v="990000"/>
    <n v="0"/>
    <n v="495000"/>
    <n v="0"/>
    <n v="495000"/>
    <n v="0"/>
    <n v="0"/>
    <s v="0914787909"/>
    <s v=""/>
    <s v=""/>
    <x v="1"/>
    <s v=""/>
    <s v="CHECKOUT"/>
    <s v="38"/>
    <m/>
    <n v="495000"/>
    <n v="2"/>
  </r>
  <r>
    <s v="37"/>
    <s v="SUP-PNL"/>
    <s v="102"/>
    <s v="Trần Thị Tường Vi"/>
    <s v="28/05/24 18:59"/>
    <s v="30/05/24 10:57"/>
    <n v="1100000"/>
    <n v="0"/>
    <n v="1100000"/>
    <n v="0"/>
    <n v="1100000"/>
    <n v="0"/>
    <n v="0"/>
    <n v="0"/>
    <n v="0"/>
    <m/>
    <m/>
    <m/>
    <x v="1"/>
    <s v=""/>
    <s v="CHECKOUT"/>
    <s v="40"/>
    <m/>
    <n v="550000"/>
    <n v="2"/>
  </r>
  <r>
    <s v="42"/>
    <s v="STD-PNL"/>
    <s v="501"/>
    <s v="Quốc Bảo"/>
    <s v="29/05/24 20:15"/>
    <s v="30/05/24 11:00"/>
    <n v="495000"/>
    <n v="19000"/>
    <n v="514000"/>
    <n v="0"/>
    <n v="264000"/>
    <n v="0"/>
    <n v="250000"/>
    <n v="0"/>
    <n v="0"/>
    <s v="0819200907"/>
    <s v=""/>
    <s v=""/>
    <x v="3"/>
    <s v=""/>
    <s v="CHECKOUT"/>
    <s v="45"/>
    <m/>
    <n v="495000"/>
    <n v="1"/>
  </r>
  <r>
    <s v="46"/>
    <s v="STD-PNL"/>
    <s v="101"/>
    <s v="Choi Jae Min"/>
    <s v="30/05/24 12:30"/>
    <s v="30/05/24 12:51"/>
    <n v="349000"/>
    <n v="0"/>
    <n v="349000"/>
    <n v="0"/>
    <n v="349000"/>
    <n v="0"/>
    <n v="0"/>
    <n v="0"/>
    <n v="0"/>
    <s v=""/>
    <s v=""/>
    <s v=""/>
    <x v="1"/>
    <s v=""/>
    <s v="CHECKOUT"/>
    <s v="51"/>
    <m/>
    <n v="349000"/>
    <n v="1"/>
  </r>
  <r>
    <s v="29"/>
    <s v="SUP-PNL"/>
    <s v="302"/>
    <s v="Ivy Van"/>
    <s v="27/05/24 15:12"/>
    <s v="30/05/24 13:51"/>
    <n v="1912000"/>
    <n v="57000"/>
    <n v="1969000"/>
    <n v="0"/>
    <n v="217000"/>
    <n v="0"/>
    <n v="1752000"/>
    <n v="0"/>
    <n v="0"/>
    <s v="0934 611 494"/>
    <s v=""/>
    <s v=""/>
    <x v="3"/>
    <s v=""/>
    <s v="CHECKOUT"/>
    <s v="32"/>
    <m/>
    <n v="637333.33330000006"/>
    <n v="3"/>
  </r>
  <r>
    <s v="48"/>
    <s v="STD-PNL"/>
    <s v="601"/>
    <s v="Hứa Bích Trân"/>
    <s v="30/05/24 14:46"/>
    <s v="31/05/24 08:53"/>
    <n v="349000"/>
    <n v="0"/>
    <n v="349000"/>
    <n v="0"/>
    <n v="349000"/>
    <n v="0"/>
    <n v="0"/>
    <n v="0"/>
    <n v="0"/>
    <s v=""/>
    <s v=""/>
    <s v=""/>
    <x v="1"/>
    <s v=""/>
    <s v="CHECKOUT"/>
    <s v="53"/>
    <m/>
    <n v="349000"/>
    <n v="1"/>
  </r>
  <r>
    <s v="36"/>
    <s v="STD-PNL"/>
    <s v="201"/>
    <s v="Nguyễn Xuân Hải"/>
    <s v="28/05/24 18:23"/>
    <s v="31/05/24 08:55"/>
    <n v="1290000"/>
    <n v="0"/>
    <n v="1290000"/>
    <n v="0"/>
    <n v="0"/>
    <n v="0"/>
    <n v="840000"/>
    <n v="450000"/>
    <n v="0"/>
    <s v="0948653477"/>
    <s v=""/>
    <s v=""/>
    <x v="1"/>
    <s v=""/>
    <s v="CHECKOUT"/>
    <s v="39"/>
    <m/>
    <n v="430000"/>
    <n v="3"/>
  </r>
  <r>
    <s v="52"/>
    <s v="STD-PNL"/>
    <s v="101"/>
    <s v="chị Mão - anh Cảnh"/>
    <s v="30/05/24 21:45"/>
    <s v="31/05/24 09:11"/>
    <n v="490000"/>
    <n v="0"/>
    <n v="490000"/>
    <n v="0"/>
    <n v="0"/>
    <n v="0"/>
    <n v="490000"/>
    <n v="0"/>
    <n v="0"/>
    <s v="0845302686"/>
    <m/>
    <m/>
    <x v="1"/>
    <s v=""/>
    <s v="CHECKOUT"/>
    <s v="58"/>
    <m/>
    <n v="490000"/>
    <n v="1"/>
  </r>
  <r>
    <s v="52"/>
    <s v="SUP-PNL"/>
    <s v="102"/>
    <s v="Guest"/>
    <s v="30/05/24 21:45"/>
    <s v="31/05/24 09:11"/>
    <n v="490000"/>
    <n v="0"/>
    <n v="490000"/>
    <n v="0"/>
    <n v="0"/>
    <n v="0"/>
    <n v="490000"/>
    <n v="0"/>
    <n v="0"/>
    <m/>
    <m/>
    <m/>
    <x v="1"/>
    <s v=""/>
    <s v="CHECKOUT"/>
    <s v="59"/>
    <m/>
    <n v="490000"/>
    <n v="1"/>
  </r>
  <r>
    <s v="20"/>
    <s v="STD-PNL"/>
    <s v="301"/>
    <s v="Kevin Smith"/>
    <s v="26/05/24 11:12"/>
    <s v="31/05/24 11:00"/>
    <n v="2475000"/>
    <n v="0"/>
    <n v="2475000"/>
    <n v="0"/>
    <n v="0"/>
    <n v="0"/>
    <n v="0"/>
    <n v="2475000"/>
    <n v="0"/>
    <m/>
    <m/>
    <m/>
    <x v="1"/>
    <s v=""/>
    <s v="CHECKOUT"/>
    <s v="20"/>
    <m/>
    <n v="495000"/>
    <n v="5"/>
  </r>
  <r>
    <s v="18"/>
    <s v="MB-PNL"/>
    <s v="MB-PNL"/>
    <s v="Spa"/>
    <s v="18/05/24 19:15"/>
    <s v="01/06/24 11:00"/>
    <n v="0"/>
    <n v="0"/>
    <n v="0"/>
    <n v="0"/>
    <n v="0"/>
    <n v="0"/>
    <n v="0"/>
    <n v="0"/>
    <n v="0"/>
    <m/>
    <m/>
    <m/>
    <x v="0"/>
    <s v=""/>
    <s v="CHECKOUT"/>
    <s v="18"/>
    <m/>
    <n v="0"/>
    <n v="14"/>
  </r>
  <r>
    <s v="3"/>
    <s v="STD-PNL"/>
    <s v="401"/>
    <s v="신 민석"/>
    <s v="29/05/24 14:39"/>
    <s v="01/06/24 12:00"/>
    <n v="1246225"/>
    <n v="0"/>
    <n v="1246225"/>
    <n v="0"/>
    <n v="0"/>
    <n v="0"/>
    <n v="0"/>
    <n v="1246225"/>
    <n v="0"/>
    <s v="821026641117"/>
    <s v=""/>
    <s v=""/>
    <x v="2"/>
    <s v=""/>
    <s v="CHECKOUT"/>
    <s v="3"/>
    <s v="HMDKWHSKAM_LDCB1F"/>
    <n v="415408.3333"/>
    <n v="3"/>
  </r>
  <r>
    <s v="54"/>
    <s v="DELUXE-PNL"/>
    <s v="603"/>
    <s v="SUGIYAMA KOICHI"/>
    <s v="31/05/24 13:51"/>
    <s v="01/06/24 12:07"/>
    <n v="557000"/>
    <n v="180000"/>
    <n v="737000"/>
    <n v="0"/>
    <n v="0"/>
    <n v="0"/>
    <n v="0"/>
    <n v="737000"/>
    <n v="0"/>
    <s v="442039293737"/>
    <s v="8l7mf2ygge@m.expediapartnercentral.com"/>
    <s v=""/>
    <x v="5"/>
    <s v=""/>
    <s v="CHECKOUT"/>
    <s v="61"/>
    <s v="246444810_LDCB1F"/>
    <n v="557000"/>
    <n v="1"/>
  </r>
  <r>
    <s v="44"/>
    <s v="SUP-PNL"/>
    <s v="202"/>
    <s v="Tran Quynh Quynh"/>
    <s v="30/05/24 21:46"/>
    <s v="01/06/24 13:26"/>
    <n v="1418000"/>
    <n v="0"/>
    <n v="1418000"/>
    <n v="0"/>
    <n v="0"/>
    <n v="0"/>
    <n v="1418000"/>
    <n v="0"/>
    <n v="0"/>
    <s v="0966157774"/>
    <s v=""/>
    <s v=""/>
    <x v="3"/>
    <s v=""/>
    <s v="CHECKOUT"/>
    <s v="47"/>
    <m/>
    <n v="709000"/>
    <n v="2"/>
  </r>
  <r>
    <s v="40"/>
    <s v="STD-PNL"/>
    <s v="201"/>
    <s v="Nguyễn Anh Dũng"/>
    <s v="31/05/24 13:30"/>
    <s v="02/06/24 08:06"/>
    <n v="945000"/>
    <n v="0"/>
    <n v="945000"/>
    <n v="0"/>
    <n v="0"/>
    <n v="0"/>
    <n v="945000"/>
    <n v="0"/>
    <n v="0"/>
    <s v=""/>
    <s v="A26hotel.btx@gmail.com"/>
    <s v=""/>
    <x v="1"/>
    <s v=""/>
    <s v="CHECKOUT"/>
    <s v="43"/>
    <m/>
    <n v="472500"/>
    <n v="2"/>
  </r>
  <r>
    <s v="58"/>
    <s v="STD-PNL"/>
    <s v="401"/>
    <s v="khách Hàn Quốc"/>
    <s v="01/06/24 12:25"/>
    <s v="02/06/24 08:06"/>
    <n v="580000"/>
    <n v="0"/>
    <n v="580000"/>
    <n v="0"/>
    <n v="580000"/>
    <n v="0"/>
    <n v="0"/>
    <n v="0"/>
    <n v="0"/>
    <m/>
    <m/>
    <m/>
    <x v="1"/>
    <s v=""/>
    <s v="CHECKOUT"/>
    <s v="65"/>
    <m/>
    <n v="580000"/>
    <n v="1"/>
  </r>
  <r>
    <s v="57"/>
    <s v="SUP-PNL"/>
    <s v="302"/>
    <s v="Thu Hương"/>
    <s v="31/05/24 13:21"/>
    <s v="02/06/24 10:06"/>
    <n v="1350000"/>
    <n v="0"/>
    <n v="1350000"/>
    <n v="0"/>
    <n v="0"/>
    <n v="0"/>
    <n v="1350000"/>
    <n v="0"/>
    <n v="0"/>
    <s v="0934585256"/>
    <s v=""/>
    <s v=""/>
    <x v="1"/>
    <s v=""/>
    <s v="CHECKOUT"/>
    <s v="64"/>
    <m/>
    <n v="675000"/>
    <n v="2"/>
  </r>
  <r>
    <s v="56"/>
    <s v="DELUXE-PNL"/>
    <s v="603"/>
    <s v="SUGIYAMA KOICHI"/>
    <s v="01/06/24 12:07"/>
    <s v="02/06/24 10:07"/>
    <n v="737486"/>
    <n v="0"/>
    <n v="737486"/>
    <n v="0"/>
    <n v="0"/>
    <n v="0"/>
    <n v="0"/>
    <n v="737486"/>
    <n v="0"/>
    <s v="442039293737"/>
    <s v="gx10qybs5y@m.expediapartnercentral.com"/>
    <s v=""/>
    <x v="5"/>
    <s v=""/>
    <s v="CHECKOUT"/>
    <s v="63"/>
    <s v="246831736_LDCB1F"/>
    <n v="737486"/>
    <n v="1"/>
  </r>
  <r>
    <s v="59"/>
    <s v="SUP-Q-PNL"/>
    <s v="502"/>
    <s v="Hiếu Minh"/>
    <s v="01/06/24 14:56"/>
    <s v="02/06/24 11:00"/>
    <n v="584000"/>
    <n v="0"/>
    <n v="584000"/>
    <n v="0"/>
    <n v="0"/>
    <n v="0"/>
    <n v="584000"/>
    <n v="0"/>
    <n v="0"/>
    <s v="0772685784"/>
    <s v=""/>
    <s v=""/>
    <x v="3"/>
    <s v=""/>
    <s v="CHECKOUT"/>
    <s v="66"/>
    <m/>
    <n v="584000"/>
    <n v="1"/>
  </r>
  <r>
    <s v="50"/>
    <s v="STD-PNL"/>
    <s v="101"/>
    <s v="Lê Nguyễn Phương Anh"/>
    <s v="31/05/24 15:36"/>
    <s v="02/06/24 11:00"/>
    <n v="1168000"/>
    <n v="30000"/>
    <n v="1198000"/>
    <n v="0"/>
    <n v="30000"/>
    <n v="0"/>
    <n v="1168000"/>
    <n v="0"/>
    <n v="0"/>
    <s v="0978106251"/>
    <s v=""/>
    <s v=""/>
    <x v="1"/>
    <s v=""/>
    <s v="CHECKOUT"/>
    <s v="55"/>
    <m/>
    <n v="584000"/>
    <n v="2"/>
  </r>
  <r>
    <s v="38"/>
    <s v="STD-PNL"/>
    <s v="501"/>
    <s v=" Trần Minh Hoàng"/>
    <s v="01/06/24 14:07"/>
    <s v="02/06/24 11:01"/>
    <n v="649000"/>
    <n v="0"/>
    <n v="584100"/>
    <n v="0"/>
    <n v="334100"/>
    <n v="0"/>
    <n v="250000"/>
    <n v="0"/>
    <n v="0"/>
    <s v="+84327151474"/>
    <s v="tranmh1997@gmail.com"/>
    <s v=""/>
    <x v="2"/>
    <s v=""/>
    <s v="CHECKOUT"/>
    <s v="41"/>
    <s v="12584485837"/>
    <n v="649000"/>
    <n v="1"/>
  </r>
  <r>
    <s v="47"/>
    <s v="STD-PNL"/>
    <s v="301"/>
    <s v="Đường Huy"/>
    <s v="01/06/24 16:48"/>
    <s v="02/06/24 13:17"/>
    <n v="849000"/>
    <n v="0"/>
    <n v="784100"/>
    <n v="0"/>
    <n v="0"/>
    <n v="0"/>
    <n v="584100"/>
    <n v="200000"/>
    <n v="0"/>
    <s v="+84398864949"/>
    <s v="huyphucpu@gmail.com"/>
    <s v=""/>
    <x v="2"/>
    <s v=""/>
    <s v="CHECKOUT"/>
    <s v="52"/>
    <s v="49875093153"/>
    <n v="849000"/>
    <n v="1"/>
  </r>
  <r>
    <s v="64"/>
    <s v="SUP-PNL"/>
    <s v="102"/>
    <s v="Trần Nhung"/>
    <s v="02/06/24 11:51"/>
    <s v="02/06/24 14:56"/>
    <n v="479000"/>
    <n v="0"/>
    <n v="479000"/>
    <n v="0"/>
    <n v="0"/>
    <n v="0"/>
    <n v="479000"/>
    <n v="0"/>
    <n v="0"/>
    <s v="0909551027"/>
    <s v=""/>
    <s v=""/>
    <x v="1"/>
    <s v=""/>
    <s v="CHECKOUT"/>
    <s v="71"/>
    <m/>
    <n v="479000"/>
    <n v="1"/>
  </r>
  <r>
    <s v="66"/>
    <s v="STD-PNL"/>
    <s v="401"/>
    <s v="Anh Nguyen"/>
    <s v="02/06/24 17:58"/>
    <s v="02/06/24 21:11"/>
    <n v="400000"/>
    <n v="0"/>
    <n v="400000"/>
    <n v="0"/>
    <n v="0"/>
    <n v="0"/>
    <n v="400000"/>
    <n v="0"/>
    <n v="0"/>
    <s v="0395221760"/>
    <s v=""/>
    <s v=""/>
    <x v="1"/>
    <s v=""/>
    <s v="CHECKOUT"/>
    <s v="73"/>
    <m/>
    <n v="400000"/>
    <n v="1"/>
  </r>
  <r>
    <s v="65"/>
    <s v="STD-PNL"/>
    <s v="601"/>
    <s v="Tấn Phúc"/>
    <s v="02/06/24 17:27"/>
    <s v="03/06/24 11:00"/>
    <n v="494000"/>
    <n v="39000"/>
    <n v="533000"/>
    <n v="0"/>
    <n v="0"/>
    <n v="0"/>
    <n v="533000"/>
    <n v="0"/>
    <n v="0"/>
    <s v="0902542119"/>
    <s v=""/>
    <s v=""/>
    <x v="1"/>
    <s v=""/>
    <s v="CHECKOUT"/>
    <s v="72"/>
    <m/>
    <n v="494000"/>
    <n v="1"/>
  </r>
  <r>
    <s v="63"/>
    <s v="SUP-Q-PNL"/>
    <s v="602"/>
    <s v="Brauer Emely"/>
    <s v="02/06/24 09:46"/>
    <s v="03/06/24 11:00"/>
    <n v="498782"/>
    <n v="0"/>
    <n v="498782"/>
    <n v="0"/>
    <n v="0"/>
    <n v="0"/>
    <n v="0"/>
    <n v="498782"/>
    <n v="0"/>
    <s v="491772270967"/>
    <s v=""/>
    <s v=""/>
    <x v="2"/>
    <s v=""/>
    <s v="CHECKOUT"/>
    <s v="70"/>
    <s v="HMSFZPR3TH_LDCB1F"/>
    <n v="498782"/>
    <n v="1"/>
  </r>
  <r>
    <s v="70"/>
    <s v="DELUXE-PNL"/>
    <s v="303"/>
    <s v="Nguyên Hải"/>
    <s v="03/06/24 13:08"/>
    <s v="03/06/24 17:00"/>
    <n v="649000"/>
    <n v="58000"/>
    <n v="707000"/>
    <n v="0"/>
    <n v="0"/>
    <n v="0"/>
    <n v="707000"/>
    <n v="0"/>
    <n v="0"/>
    <s v="0932720793"/>
    <s v=""/>
    <s v=""/>
    <x v="1"/>
    <s v=""/>
    <s v="CHECKOUT"/>
    <s v="77"/>
    <m/>
    <n v="649000"/>
    <n v="1"/>
  </r>
  <r>
    <s v="45"/>
    <s v="SUP-Q-PNL"/>
    <s v="502"/>
    <s v="Guest"/>
    <s v="04/06/24 09:54"/>
    <s v="05/06/24 11:00"/>
    <n v="905000"/>
    <n v="0"/>
    <n v="905000"/>
    <n v="0"/>
    <n v="0"/>
    <n v="0"/>
    <n v="905000"/>
    <n v="0"/>
    <n v="0"/>
    <m/>
    <m/>
    <m/>
    <x v="1"/>
    <s v=""/>
    <s v="CHECKOUT"/>
    <s v="48"/>
    <m/>
    <n v="905000"/>
    <n v="1"/>
  </r>
  <r>
    <s v="45"/>
    <s v="STD-PNL"/>
    <s v="501"/>
    <s v="Nguyễn Thanh Hiền"/>
    <s v="04/06/24 09:54"/>
    <s v="05/06/24 11:00"/>
    <n v="735000"/>
    <n v="138000"/>
    <n v="873000"/>
    <n v="0"/>
    <n v="138000"/>
    <n v="0"/>
    <n v="735000"/>
    <n v="0"/>
    <n v="0"/>
    <m/>
    <m/>
    <m/>
    <x v="1"/>
    <s v=""/>
    <s v="CHECKOUT"/>
    <s v="49"/>
    <m/>
    <n v="735000"/>
    <n v="1"/>
  </r>
  <r>
    <s v="45"/>
    <s v="DELUXE-PNL"/>
    <s v="503"/>
    <s v="Guest"/>
    <s v="04/06/24 09:54"/>
    <s v="05/06/24 11:00"/>
    <n v="1207000"/>
    <n v="0"/>
    <n v="1207000"/>
    <n v="0"/>
    <n v="0"/>
    <n v="0"/>
    <n v="1207000"/>
    <n v="0"/>
    <n v="0"/>
    <m/>
    <m/>
    <m/>
    <x v="1"/>
    <s v=""/>
    <s v="CHECKOUT"/>
    <s v="50"/>
    <m/>
    <n v="1207000"/>
    <n v="1"/>
  </r>
  <r>
    <s v="75"/>
    <s v="SUP-PNL"/>
    <s v="202"/>
    <s v="Guest"/>
    <s v="04/06/24 16:32"/>
    <s v="05/06/24 11:00"/>
    <n v="585000"/>
    <n v="0"/>
    <n v="585000"/>
    <n v="0"/>
    <n v="0"/>
    <n v="0"/>
    <n v="585000"/>
    <n v="0"/>
    <n v="0"/>
    <m/>
    <m/>
    <m/>
    <x v="1"/>
    <s v=""/>
    <s v="CHECKOUT"/>
    <s v="83"/>
    <m/>
    <n v="585000"/>
    <n v="1"/>
  </r>
  <r>
    <s v="79"/>
    <s v="DELUXE-PNL"/>
    <s v="303"/>
    <s v="Trần Đức Huy"/>
    <s v="05/06/24 01:23"/>
    <s v="05/06/24 14:33"/>
    <n v="890000"/>
    <n v="0"/>
    <n v="890000"/>
    <n v="0"/>
    <n v="0"/>
    <n v="0"/>
    <n v="890000"/>
    <n v="0"/>
    <n v="0"/>
    <m/>
    <m/>
    <m/>
    <x v="1"/>
    <s v=""/>
    <s v="CHECKOUT"/>
    <s v="88"/>
    <m/>
    <n v="890000"/>
    <n v="1"/>
  </r>
  <r>
    <s v="77"/>
    <s v="STD-PNL"/>
    <s v="601"/>
    <s v="Brian Lam"/>
    <s v="04/06/24 20:01"/>
    <s v="05/06/24 14:59"/>
    <n v="735000"/>
    <n v="0"/>
    <n v="735000"/>
    <n v="0"/>
    <n v="0"/>
    <n v="0"/>
    <n v="735000"/>
    <n v="0"/>
    <n v="0"/>
    <s v="0917791794"/>
    <s v=""/>
    <s v=""/>
    <x v="1"/>
    <s v=""/>
    <s v="CHECKOUT"/>
    <s v="86"/>
    <m/>
    <n v="735000"/>
    <n v="1"/>
  </r>
  <r>
    <s v="75"/>
    <s v="SUP-PNL"/>
    <s v="102"/>
    <s v="Nguyễn Thị Ngọc Trâm"/>
    <s v="04/06/24 16:33"/>
    <s v="06/06/24 09:28"/>
    <n v="1170000"/>
    <n v="40000"/>
    <n v="1210000"/>
    <n v="0"/>
    <n v="640000"/>
    <n v="0"/>
    <n v="570000"/>
    <n v="0"/>
    <n v="0"/>
    <s v="0898071063"/>
    <s v=""/>
    <s v="321505748"/>
    <x v="1"/>
    <s v=""/>
    <s v="CHECKOUT"/>
    <s v="84"/>
    <m/>
    <n v="585000"/>
    <n v="2"/>
  </r>
  <r>
    <s v="83"/>
    <s v="SUP-Q-PNL"/>
    <s v="502"/>
    <s v="Lê Thuỳ Dương"/>
    <s v="06/06/24 00:37"/>
    <s v="06/06/24 11:00"/>
    <n v="620000"/>
    <n v="0"/>
    <n v="620000"/>
    <n v="0"/>
    <n v="0"/>
    <n v="0"/>
    <n v="620000"/>
    <n v="0"/>
    <n v="0"/>
    <m/>
    <m/>
    <m/>
    <x v="1"/>
    <s v=""/>
    <s v="CHECKOUT"/>
    <s v="93"/>
    <m/>
    <n v="620000"/>
    <n v="1"/>
  </r>
  <r>
    <s v="60"/>
    <s v="SUP-PNL"/>
    <s v="302"/>
    <s v="NEGRI Julien"/>
    <s v="02/06/24 11:26"/>
    <s v="06/06/24 11:04"/>
    <n v="2168555"/>
    <n v="20000"/>
    <n v="2188555"/>
    <n v="0"/>
    <n v="20000"/>
    <n v="0"/>
    <n v="0"/>
    <n v="2168555"/>
    <n v="0"/>
    <s v="+33 6 11 80 97 83"/>
    <s v="jnegri.116685@guest.booking.com"/>
    <s v=""/>
    <x v="2"/>
    <s v=""/>
    <s v="CHECKOUT"/>
    <s v="67"/>
    <s v="4770475850_LDCB1F"/>
    <n v="542138.75"/>
    <n v="4"/>
  </r>
  <r>
    <s v="89"/>
    <s v="SUP-PNL"/>
    <s v="302"/>
    <s v="Qui"/>
    <s v="06/06/24 21:56"/>
    <s v="07/06/24 09:32"/>
    <n v="585000"/>
    <n v="0"/>
    <n v="585000"/>
    <n v="0"/>
    <n v="585000"/>
    <n v="0"/>
    <n v="0"/>
    <n v="0"/>
    <n v="0"/>
    <s v="0869222364"/>
    <s v=""/>
    <s v=""/>
    <x v="1"/>
    <s v=""/>
    <s v="CHECKOUT"/>
    <s v="99"/>
    <m/>
    <n v="585000"/>
    <n v="1"/>
  </r>
  <r>
    <s v="93"/>
    <s v="SUP-PNL"/>
    <s v="402"/>
    <s v="Minh Quân"/>
    <s v="07/06/24 00:03"/>
    <s v="07/06/24 09:33"/>
    <n v="585000"/>
    <n v="0"/>
    <n v="585000"/>
    <n v="0"/>
    <n v="0"/>
    <n v="0"/>
    <n v="0"/>
    <n v="585000"/>
    <n v="0"/>
    <s v="0776306800"/>
    <s v=""/>
    <s v=""/>
    <x v="1"/>
    <s v=""/>
    <s v="CHECKOUT"/>
    <s v="104"/>
    <m/>
    <n v="585000"/>
    <n v="1"/>
  </r>
  <r>
    <s v="69"/>
    <s v="STD-PNL"/>
    <s v="501"/>
    <s v="Ngọc Uyên"/>
    <s v="06/06/24 17:43"/>
    <s v="07/06/24 09:35"/>
    <n v="495000"/>
    <n v="150000"/>
    <n v="645000"/>
    <n v="0"/>
    <n v="0"/>
    <n v="0"/>
    <n v="645000"/>
    <n v="0"/>
    <n v="0"/>
    <s v="0899968619"/>
    <m/>
    <m/>
    <x v="1"/>
    <s v=""/>
    <s v="CHECKOUT"/>
    <s v="76"/>
    <m/>
    <n v="495000"/>
    <n v="1"/>
  </r>
  <r>
    <s v="71"/>
    <s v="STD-PNL"/>
    <s v="401"/>
    <s v="Guest"/>
    <s v="04/06/24 13:08"/>
    <s v="07/06/24 11:00"/>
    <n v="1480000"/>
    <n v="0"/>
    <n v="1480000"/>
    <n v="0"/>
    <n v="0"/>
    <n v="0"/>
    <n v="1480000"/>
    <n v="0"/>
    <n v="0"/>
    <m/>
    <m/>
    <m/>
    <x v="1"/>
    <s v=""/>
    <s v="CHECKOUT"/>
    <s v="78"/>
    <m/>
    <n v="493333.3333"/>
    <n v="3"/>
  </r>
  <r>
    <s v="71"/>
    <s v="STD-PNL"/>
    <s v="301"/>
    <s v="Trieu Le"/>
    <s v="04/06/24 13:08"/>
    <s v="07/06/24 11:00"/>
    <n v="1480000"/>
    <n v="0"/>
    <n v="1480000"/>
    <n v="0"/>
    <n v="1000000"/>
    <n v="0"/>
    <n v="480000"/>
    <n v="0"/>
    <n v="0"/>
    <s v=""/>
    <s v=""/>
    <s v=""/>
    <x v="1"/>
    <s v=""/>
    <s v="CHECKOUT"/>
    <s v="79"/>
    <m/>
    <n v="493333.3333"/>
    <n v="3"/>
  </r>
  <r>
    <s v="86"/>
    <s v="SUP-Q-PNL"/>
    <s v="502"/>
    <s v="Berge Tommy"/>
    <s v="06/06/24 16:51"/>
    <s v="07/06/24 11:00"/>
    <n v="444960"/>
    <n v="0"/>
    <n v="444960"/>
    <n v="0"/>
    <n v="0"/>
    <n v="0"/>
    <n v="0"/>
    <n v="444960"/>
    <n v="0"/>
    <s v="84 0800092944"/>
    <s v=""/>
    <s v=""/>
    <x v="2"/>
    <s v=""/>
    <s v="CHECKOUT"/>
    <s v="96"/>
    <s v="1291209829_LDCB1F"/>
    <n v="444960"/>
    <n v="1"/>
  </r>
  <r>
    <s v="92"/>
    <s v="DELUXE-PNL"/>
    <s v="403"/>
    <s v="Trong Hieu"/>
    <s v="06/06/24 23:38"/>
    <s v="07/06/24 11:00"/>
    <n v="809000"/>
    <n v="0"/>
    <n v="809000"/>
    <n v="0"/>
    <n v="0"/>
    <n v="0"/>
    <n v="0"/>
    <n v="809000"/>
    <n v="0"/>
    <s v="0933906103"/>
    <s v=""/>
    <s v=""/>
    <x v="1"/>
    <s v=""/>
    <s v="CHECKOUT"/>
    <s v="103"/>
    <m/>
    <n v="809000"/>
    <n v="1"/>
  </r>
  <r>
    <s v="82"/>
    <s v="STD-PNL"/>
    <s v="601"/>
    <s v="Trần Quỳnh Như"/>
    <s v="06/06/24 16:34"/>
    <s v="07/06/24 15:38"/>
    <n v="549000"/>
    <n v="0"/>
    <n v="494100"/>
    <n v="0"/>
    <n v="94100"/>
    <n v="0"/>
    <n v="400000"/>
    <n v="0"/>
    <n v="0"/>
    <m/>
    <m/>
    <m/>
    <x v="2"/>
    <s v=""/>
    <s v="CHECKOUT"/>
    <s v="92"/>
    <s v="05564381973"/>
    <n v="549000"/>
    <n v="1"/>
  </r>
  <r>
    <s v="82"/>
    <s v="STD-PNL"/>
    <s v="201"/>
    <s v="Trần Quỳnh Như"/>
    <s v="06/06/24 16:34"/>
    <s v="07/06/24 15:38"/>
    <n v="549000"/>
    <n v="0"/>
    <n v="494100"/>
    <n v="0"/>
    <n v="494100"/>
    <n v="0"/>
    <n v="0"/>
    <n v="0"/>
    <n v="0"/>
    <s v="+84858802412"/>
    <s v="qt17876@gmail.com"/>
    <s v="091304003593"/>
    <x v="2"/>
    <s v=""/>
    <s v="CHECKOUT"/>
    <s v="91"/>
    <s v="05564381973"/>
    <n v="549000"/>
    <n v="1"/>
  </r>
  <r>
    <s v="97"/>
    <s v="STD-PNL"/>
    <s v="601"/>
    <s v="Trần Quỳnh Như"/>
    <s v="07/06/24 15:42"/>
    <s v="08/06/24 08:25"/>
    <n v="550000"/>
    <n v="0"/>
    <n v="550000"/>
    <n v="0"/>
    <n v="550000"/>
    <n v="0"/>
    <n v="0"/>
    <n v="0"/>
    <n v="0"/>
    <s v="+84858802412"/>
    <s v="qt17876@gmail.com"/>
    <s v="091304003593"/>
    <x v="1"/>
    <s v=""/>
    <s v="CHECKOUT"/>
    <s v="109"/>
    <m/>
    <n v="550000"/>
    <n v="1"/>
  </r>
  <r>
    <s v="87"/>
    <s v="DELUXE-PNL"/>
    <s v="503"/>
    <s v="Hà Thị Thu Hiền"/>
    <s v="06/06/24 13:04"/>
    <s v="08/06/24 08:26"/>
    <n v="1600000"/>
    <n v="0"/>
    <n v="1600000"/>
    <n v="0"/>
    <n v="1600000"/>
    <n v="0"/>
    <n v="0"/>
    <n v="0"/>
    <n v="0"/>
    <s v="0964961998"/>
    <s v=""/>
    <s v=""/>
    <x v="1"/>
    <s v=""/>
    <s v="CHECKOUT"/>
    <s v="97"/>
    <m/>
    <n v="800000"/>
    <n v="2"/>
  </r>
  <r>
    <s v="94"/>
    <s v="SUP-PNL"/>
    <s v="102"/>
    <s v="Berge Tommy"/>
    <s v="07/06/24 14:31"/>
    <s v="08/06/24 11:00"/>
    <n v="525600"/>
    <n v="0"/>
    <n v="525600"/>
    <n v="0"/>
    <n v="0"/>
    <n v="0"/>
    <n v="0"/>
    <n v="525600"/>
    <n v="0"/>
    <s v="84 0800092944"/>
    <s v=""/>
    <s v=""/>
    <x v="2"/>
    <s v=""/>
    <s v="CHECKOUT"/>
    <s v="105"/>
    <s v="1258437480_LDCB1F"/>
    <n v="525600"/>
    <n v="1"/>
  </r>
  <r>
    <s v="80"/>
    <s v="SUP-Q-PNL"/>
    <s v="602"/>
    <s v="Brauer Emely"/>
    <s v="06/06/24 14:42"/>
    <s v="08/06/24 13:02"/>
    <n v="1069034"/>
    <n v="0"/>
    <n v="1069034"/>
    <n v="0"/>
    <n v="0"/>
    <n v="0"/>
    <n v="0"/>
    <n v="1069034"/>
    <n v="0"/>
    <s v="491772270967"/>
    <s v=""/>
    <s v=""/>
    <x v="2"/>
    <s v=""/>
    <s v="CHECKOUT"/>
    <s v="89"/>
    <s v="HMMSBWZHH5_LDCB1F"/>
    <n v="534517"/>
    <n v="2"/>
  </r>
  <r>
    <s v="102"/>
    <s v="DELUXE-PNL"/>
    <s v="203"/>
    <s v="Nguyễn Lan Anh"/>
    <s v="08/06/24 13:08"/>
    <s v="08/06/24 15:07"/>
    <n v="450000"/>
    <n v="0"/>
    <n v="450000"/>
    <n v="0"/>
    <n v="-50000"/>
    <n v="0"/>
    <n v="500000"/>
    <n v="0"/>
    <n v="0"/>
    <m/>
    <m/>
    <m/>
    <x v="1"/>
    <s v=""/>
    <s v="CHECKOUT"/>
    <s v="116"/>
    <m/>
    <n v="450000"/>
    <n v="1"/>
  </r>
  <r>
    <s v="105"/>
    <s v="SUP-Q-PNL"/>
    <s v="502"/>
    <s v="Trần Văn Chính"/>
    <s v="08/06/24 14:57"/>
    <s v="08/06/24 17:00"/>
    <n v="350000"/>
    <n v="0"/>
    <n v="350000"/>
    <n v="0"/>
    <n v="350000"/>
    <n v="0"/>
    <n v="0"/>
    <n v="0"/>
    <n v="0"/>
    <s v=""/>
    <s v=""/>
    <s v=""/>
    <x v="1"/>
    <s v=""/>
    <s v="CHECKOUT"/>
    <s v="119"/>
    <m/>
    <n v="350000"/>
    <n v="1"/>
  </r>
  <r>
    <s v="101"/>
    <s v="STD-PNL"/>
    <s v="501"/>
    <s v="Phan Vỹ"/>
    <s v="08/06/24 11:45"/>
    <s v="09/06/24 08:15"/>
    <n v="580000"/>
    <n v="0"/>
    <n v="580000"/>
    <n v="0"/>
    <n v="0"/>
    <n v="0"/>
    <n v="580000"/>
    <n v="0"/>
    <n v="0"/>
    <s v="0868340906"/>
    <s v=""/>
    <s v=""/>
    <x v="1"/>
    <s v=""/>
    <s v="CHECKOUT"/>
    <s v="115"/>
    <m/>
    <n v="580000"/>
    <n v="1"/>
  </r>
  <r>
    <s v="99"/>
    <s v="DELUXE-PNL"/>
    <s v="303"/>
    <s v="Tuấn"/>
    <s v="08/06/24 11:45"/>
    <s v="09/06/24 08:17"/>
    <n v="800000"/>
    <n v="0"/>
    <n v="800000"/>
    <n v="0"/>
    <n v="400000"/>
    <n v="0"/>
    <n v="400000"/>
    <n v="0"/>
    <n v="0"/>
    <m/>
    <m/>
    <m/>
    <x v="1"/>
    <s v=""/>
    <s v="CHECKOUT"/>
    <s v="113"/>
    <m/>
    <n v="800000"/>
    <n v="1"/>
  </r>
  <r>
    <s v="96"/>
    <s v="STD-PNL"/>
    <s v="301"/>
    <s v="Lê Gia Khánh"/>
    <s v="08/06/24 12:32"/>
    <s v="09/06/24 08:43"/>
    <n v="585000"/>
    <n v="19000"/>
    <n v="604000"/>
    <n v="0"/>
    <n v="19000"/>
    <n v="0"/>
    <n v="585000"/>
    <n v="0"/>
    <n v="0"/>
    <s v="0849457828"/>
    <s v=""/>
    <s v=""/>
    <x v="1"/>
    <s v=""/>
    <s v="CHECKOUT"/>
    <s v="108"/>
    <m/>
    <n v="585000"/>
    <n v="1"/>
  </r>
  <r>
    <s v="103"/>
    <s v="SUP-PNL"/>
    <s v="302"/>
    <s v="Nguyễn Tấn Huy Anh"/>
    <s v="08/06/24 12:33"/>
    <s v="09/06/24 10:50"/>
    <n v="585000"/>
    <n v="0"/>
    <n v="585000"/>
    <n v="0"/>
    <n v="0"/>
    <n v="0"/>
    <n v="585000"/>
    <n v="0"/>
    <n v="0"/>
    <s v="0977305193"/>
    <m/>
    <m/>
    <x v="1"/>
    <s v=""/>
    <s v="CHECKOUT"/>
    <s v="117"/>
    <m/>
    <n v="585000"/>
    <n v="1"/>
  </r>
  <r>
    <s v="107"/>
    <s v="STD-PNL"/>
    <s v="101"/>
    <s v="Nguyễn Phùng Duy Anh"/>
    <s v="09/06/24 11:42"/>
    <s v="09/06/24 14:41"/>
    <n v="410000"/>
    <n v="20000"/>
    <n v="430000"/>
    <n v="0"/>
    <n v="0"/>
    <n v="0"/>
    <n v="430000"/>
    <n v="0"/>
    <n v="0"/>
    <s v="0778954648"/>
    <s v=""/>
    <s v="093098000014"/>
    <x v="1"/>
    <s v=""/>
    <s v="CHECKOUT"/>
    <s v="123"/>
    <m/>
    <n v="410000"/>
    <n v="1"/>
  </r>
  <r>
    <s v="74"/>
    <s v="DELUXE-PNL"/>
    <s v="503"/>
    <s v="_bnleh"/>
    <s v="08/06/24 14:37"/>
    <s v="09/06/24 14:57"/>
    <n v="1139000"/>
    <n v="160000"/>
    <n v="1299000"/>
    <n v="0"/>
    <n v="0"/>
    <n v="0"/>
    <n v="1299000"/>
    <n v="0"/>
    <n v="0"/>
    <s v="0967670374"/>
    <s v=""/>
    <s v=""/>
    <x v="1"/>
    <s v=""/>
    <s v="CHECKOUT"/>
    <s v="82"/>
    <m/>
    <n v="1139000"/>
    <n v="1"/>
  </r>
  <r>
    <s v="78"/>
    <s v="STD-PNL"/>
    <s v="301"/>
    <s v="Thanh Thúy"/>
    <s v="09/06/24 21:10"/>
    <s v="09/06/24 21:11"/>
    <n v="300000"/>
    <n v="0"/>
    <n v="300000"/>
    <n v="0"/>
    <n v="0"/>
    <n v="0"/>
    <n v="300000"/>
    <n v="0"/>
    <n v="0"/>
    <m/>
    <m/>
    <m/>
    <x v="1"/>
    <s v=""/>
    <s v="CHECKOUT"/>
    <s v="87"/>
    <m/>
    <n v="300000"/>
    <n v="1"/>
  </r>
  <r>
    <s v="111"/>
    <s v="STD-PNL"/>
    <s v="301"/>
    <s v="Mai Văn Nguyên"/>
    <s v="09/06/24 21:43"/>
    <s v="10/06/24 08:17"/>
    <n v="495000"/>
    <n v="0"/>
    <n v="495000"/>
    <n v="0"/>
    <n v="0"/>
    <n v="0"/>
    <n v="495000"/>
    <n v="0"/>
    <n v="0"/>
    <s v="0974910889"/>
    <s v=""/>
    <s v=""/>
    <x v="1"/>
    <s v=""/>
    <s v="CHECKOUT"/>
    <s v="129"/>
    <m/>
    <n v="495000"/>
    <n v="1"/>
  </r>
  <r>
    <s v="100"/>
    <s v="DELUXE-PNL"/>
    <s v="403"/>
    <s v="chị Trang founder"/>
    <s v="07/06/24 22:32"/>
    <s v="10/06/24 08:36"/>
    <n v="0"/>
    <n v="0"/>
    <n v="0"/>
    <n v="0"/>
    <n v="0"/>
    <n v="0"/>
    <n v="0"/>
    <n v="0"/>
    <n v="0"/>
    <s v="0904490031"/>
    <s v=""/>
    <s v=""/>
    <x v="4"/>
    <s v=""/>
    <s v="CHECKOUT"/>
    <s v="114"/>
    <m/>
    <n v="0"/>
    <n v="3"/>
  </r>
  <r>
    <s v="76"/>
    <s v="SUP-Q-PNL"/>
    <s v="602"/>
    <s v="Mio"/>
    <s v="09/06/24 14:21"/>
    <s v="10/06/24 10:01"/>
    <n v="629100"/>
    <n v="0"/>
    <n v="629100"/>
    <n v="0"/>
    <n v="329100"/>
    <n v="0"/>
    <n v="300000"/>
    <n v="0"/>
    <n v="0"/>
    <s v="0967215343"/>
    <s v=""/>
    <s v=""/>
    <x v="1"/>
    <s v=""/>
    <s v="CHECKOUT"/>
    <s v="85"/>
    <m/>
    <n v="629100"/>
    <n v="1"/>
  </r>
  <r>
    <s v="109"/>
    <s v="STD-PNL"/>
    <s v="501"/>
    <s v="Hồ Văn Cường"/>
    <s v="09/06/24 18:33"/>
    <s v="10/06/24 11:00"/>
    <n v="495000"/>
    <n v="0"/>
    <n v="495000"/>
    <n v="0"/>
    <n v="0"/>
    <n v="0"/>
    <n v="495000"/>
    <n v="0"/>
    <n v="0"/>
    <s v="0587623098"/>
    <s v=""/>
    <s v=""/>
    <x v="1"/>
    <s v=""/>
    <s v="CHECKOUT"/>
    <s v="127"/>
    <m/>
    <n v="495000"/>
    <n v="1"/>
  </r>
  <r>
    <s v="113"/>
    <s v="SUP-Q-PNL"/>
    <s v="502"/>
    <s v="한 홍수"/>
    <s v="10/06/24 14:08"/>
    <s v="11/06/24 08:28"/>
    <n v="489485"/>
    <n v="65000"/>
    <n v="554485"/>
    <n v="0"/>
    <n v="65000"/>
    <n v="0"/>
    <n v="0"/>
    <n v="489485"/>
    <n v="0"/>
    <s v="821034397777"/>
    <s v=""/>
    <s v=""/>
    <x v="2"/>
    <s v=""/>
    <s v="CHECKOUT"/>
    <s v="131"/>
    <s v="HMW8NJJ3AR_LDCB1F"/>
    <n v="489485"/>
    <n v="1"/>
  </r>
  <r>
    <s v="90"/>
    <s v="STD-PNL"/>
    <s v="601"/>
    <s v="Thanh Mai Nguyen"/>
    <s v="09/06/24 08:16"/>
    <s v="11/06/24 08:28"/>
    <n v="1550001"/>
    <n v="0"/>
    <n v="1550001"/>
    <n v="0"/>
    <n v="0"/>
    <n v="0"/>
    <n v="1550001"/>
    <n v="0"/>
    <n v="0"/>
    <s v="0936259514"/>
    <s v=""/>
    <s v=""/>
    <x v="1"/>
    <s v=""/>
    <s v="CHECKOUT"/>
    <s v="100"/>
    <m/>
    <n v="775000.5"/>
    <n v="2"/>
  </r>
  <r>
    <s v="85"/>
    <s v="DELUXE-PNL"/>
    <s v="603"/>
    <s v="Adamos Costas"/>
    <s v="06/06/24 13:04"/>
    <s v="11/06/24 08:28"/>
    <n v="4225000"/>
    <n v="0"/>
    <n v="4225000"/>
    <n v="0"/>
    <n v="4225000"/>
    <n v="0"/>
    <n v="0"/>
    <n v="0"/>
    <n v="0"/>
    <s v=""/>
    <s v=""/>
    <s v=""/>
    <x v="1"/>
    <s v=""/>
    <s v="CHECKOUT"/>
    <s v="95"/>
    <m/>
    <n v="845000"/>
    <n v="5"/>
  </r>
  <r>
    <s v="117"/>
    <s v="DELUXE-PNL"/>
    <s v="503"/>
    <s v="Cao Tiến Hùng"/>
    <s v="10/06/24 21:15"/>
    <s v="11/06/24 08:29"/>
    <n v="449000"/>
    <n v="0"/>
    <n v="449000"/>
    <n v="0"/>
    <n v="449000"/>
    <n v="0"/>
    <n v="0"/>
    <n v="0"/>
    <n v="0"/>
    <s v=""/>
    <s v=""/>
    <s v=""/>
    <x v="1"/>
    <s v=""/>
    <s v="CHECKOUT"/>
    <s v="135"/>
    <m/>
    <n v="449000"/>
    <n v="1"/>
  </r>
  <r>
    <s v="84"/>
    <s v="STD-PNL"/>
    <s v="401"/>
    <s v="Ngân Kim"/>
    <s v="08/06/24 12:33"/>
    <s v="11/06/24 09:51"/>
    <n v="1565000"/>
    <n v="199000"/>
    <n v="1764000"/>
    <n v="0"/>
    <n v="1264000"/>
    <n v="0"/>
    <n v="500000"/>
    <n v="0"/>
    <n v="0"/>
    <s v="0978969605"/>
    <s v=""/>
    <s v=""/>
    <x v="1"/>
    <s v=""/>
    <s v="CHECKOUT"/>
    <s v="94"/>
    <m/>
    <n v="521666.6666"/>
    <n v="3"/>
  </r>
  <r>
    <s v="115"/>
    <s v="DELUXE-PNL"/>
    <s v="503"/>
    <s v="Thanhh Hương"/>
    <s v="11/06/24 15:49"/>
    <s v="11/06/24 21:00"/>
    <n v="585000"/>
    <n v="0"/>
    <n v="585000"/>
    <n v="0"/>
    <n v="295000"/>
    <n v="0"/>
    <n v="290000"/>
    <n v="0"/>
    <n v="0"/>
    <s v="0859710047"/>
    <s v=""/>
    <s v=""/>
    <x v="1"/>
    <s v=""/>
    <s v="CHECKOUT"/>
    <s v="133"/>
    <m/>
    <n v="585000"/>
    <n v="1"/>
  </r>
  <r>
    <s v="95"/>
    <s v="STD-PNL"/>
    <s v="201"/>
    <s v="Trieu Le"/>
    <s v="10/06/24 14:57"/>
    <s v="12/06/24 11:00"/>
    <n v="988000"/>
    <n v="0"/>
    <n v="988000"/>
    <n v="0"/>
    <n v="0"/>
    <n v="0"/>
    <n v="988000"/>
    <n v="0"/>
    <n v="0"/>
    <s v=""/>
    <s v=""/>
    <s v=""/>
    <x v="1"/>
    <s v=""/>
    <s v="CHECKOUT"/>
    <s v="106"/>
    <m/>
    <n v="494000"/>
    <n v="2"/>
  </r>
  <r>
    <s v="95"/>
    <s v="STD-PNL"/>
    <s v="301"/>
    <s v="Trieu Le"/>
    <s v="10/06/24 14:57"/>
    <s v="12/06/24 11:00"/>
    <n v="988000"/>
    <n v="0"/>
    <n v="988000"/>
    <n v="0"/>
    <n v="500000"/>
    <n v="0"/>
    <n v="488000"/>
    <n v="0"/>
    <n v="0"/>
    <s v=""/>
    <s v=""/>
    <s v=""/>
    <x v="1"/>
    <s v=""/>
    <s v="CHECKOUT"/>
    <s v="107"/>
    <m/>
    <n v="494000"/>
    <n v="2"/>
  </r>
  <r>
    <s v="108"/>
    <s v="DELUXE-PNL"/>
    <s v="203"/>
    <s v="Lý Huệ"/>
    <s v="09/06/24 14:20"/>
    <s v="12/06/24 11:00"/>
    <n v="2418000"/>
    <n v="316000"/>
    <n v="2734000"/>
    <n v="0"/>
    <n v="966000"/>
    <n v="0"/>
    <n v="1768000"/>
    <n v="0"/>
    <n v="0"/>
    <m/>
    <m/>
    <m/>
    <x v="1"/>
    <s v=""/>
    <s v="CHECKOUT"/>
    <s v="124"/>
    <m/>
    <n v="806000"/>
    <n v="3"/>
  </r>
  <r>
    <s v="108"/>
    <s v="DELUXE-PNL"/>
    <s v="703"/>
    <s v="Guest"/>
    <s v="09/06/24 14:20"/>
    <s v="12/06/24 11:00"/>
    <n v="2418000"/>
    <n v="0"/>
    <n v="2418000"/>
    <n v="0"/>
    <n v="800000"/>
    <n v="0"/>
    <n v="1618000"/>
    <n v="0"/>
    <n v="0"/>
    <m/>
    <m/>
    <m/>
    <x v="1"/>
    <s v=""/>
    <s v="CHECKOUT"/>
    <s v="125"/>
    <m/>
    <n v="806000"/>
    <n v="3"/>
  </r>
  <r>
    <s v="108"/>
    <s v="DELUXE-PNL"/>
    <s v="303"/>
    <s v="Guest"/>
    <s v="09/06/24 14:20"/>
    <s v="12/06/24 11:00"/>
    <n v="2418000"/>
    <n v="0"/>
    <n v="2418000"/>
    <n v="0"/>
    <n v="800000"/>
    <n v="0"/>
    <n v="1618000"/>
    <n v="0"/>
    <n v="0"/>
    <m/>
    <m/>
    <m/>
    <x v="1"/>
    <s v=""/>
    <s v="CHECKOUT"/>
    <s v="126"/>
    <m/>
    <n v="806000"/>
    <n v="3"/>
  </r>
  <r>
    <s v="123"/>
    <s v="SUP-PNL"/>
    <s v="302"/>
    <s v="Nguyễn Thị Ngọc Trâm"/>
    <s v="11/06/24 14:03"/>
    <s v="12/06/24 11:00"/>
    <n v="585000"/>
    <n v="0"/>
    <n v="585000"/>
    <n v="0"/>
    <n v="0"/>
    <n v="0"/>
    <n v="585000"/>
    <n v="0"/>
    <n v="0"/>
    <s v="0898071063"/>
    <s v=""/>
    <s v="321505748"/>
    <x v="1"/>
    <s v=""/>
    <s v="CHECKOUT"/>
    <s v="141"/>
    <m/>
    <n v="585000"/>
    <n v="1"/>
  </r>
  <r>
    <s v="123"/>
    <s v="SUP-PNL"/>
    <s v="402"/>
    <s v="Guest"/>
    <s v="11/06/24 14:03"/>
    <s v="12/06/24 11:00"/>
    <n v="585000"/>
    <n v="0"/>
    <n v="585000"/>
    <n v="0"/>
    <n v="585000"/>
    <n v="0"/>
    <n v="0"/>
    <n v="0"/>
    <n v="0"/>
    <m/>
    <m/>
    <m/>
    <x v="1"/>
    <s v=""/>
    <s v="CHECKOUT"/>
    <s v="142"/>
    <m/>
    <n v="585000"/>
    <n v="1"/>
  </r>
  <r>
    <s v="123"/>
    <s v="SUP-Q-PNL"/>
    <s v="502"/>
    <s v="Guest"/>
    <s v="11/06/24 14:03"/>
    <s v="12/06/24 11:00"/>
    <n v="585000"/>
    <n v="0"/>
    <n v="585000"/>
    <n v="0"/>
    <n v="585000"/>
    <n v="0"/>
    <n v="0"/>
    <n v="0"/>
    <n v="0"/>
    <s v=""/>
    <s v=""/>
    <s v=""/>
    <x v="1"/>
    <s v=""/>
    <s v="CHECKOUT"/>
    <s v="143"/>
    <m/>
    <n v="585000"/>
    <n v="1"/>
  </r>
  <r>
    <s v="114"/>
    <s v="SUP-Q-PNL"/>
    <s v="602"/>
    <s v=" Aruto Mikawa"/>
    <s v="10/06/24 14:08"/>
    <s v="12/06/24 12:29"/>
    <n v="1098000"/>
    <n v="0"/>
    <n v="988200"/>
    <n v="0"/>
    <n v="988200"/>
    <n v="0"/>
    <n v="0"/>
    <n v="0"/>
    <n v="0"/>
    <s v="+819046647643"/>
    <s v="aruaruyokuaru@gmail.com"/>
    <s v="TT2664740"/>
    <x v="2"/>
    <s v=""/>
    <s v="CHECKOUT"/>
    <s v="132"/>
    <s v="00445269411"/>
    <n v="549000"/>
    <n v="2"/>
  </r>
  <r>
    <s v="130"/>
    <s v="STD-PNL"/>
    <s v="401"/>
    <s v="nguyễn bá vương"/>
    <s v="12/06/24 15:43"/>
    <s v="12/06/24 17:20"/>
    <n v="450000"/>
    <n v="0"/>
    <n v="450000"/>
    <n v="0"/>
    <n v="0"/>
    <n v="0"/>
    <n v="450000"/>
    <n v="0"/>
    <n v="0"/>
    <s v=""/>
    <s v=""/>
    <s v=""/>
    <x v="1"/>
    <s v=""/>
    <s v="CHECKOUT"/>
    <s v="151"/>
    <m/>
    <n v="450000"/>
    <n v="1"/>
  </r>
  <r>
    <s v="81"/>
    <s v="DELUXE-PNL"/>
    <s v="503"/>
    <s v="Chau Benny"/>
    <s v="12/06/24 12:30"/>
    <s v="13/06/24 08:58"/>
    <n v="802045"/>
    <n v="0"/>
    <n v="802045"/>
    <n v="0"/>
    <n v="0"/>
    <n v="0"/>
    <n v="0"/>
    <n v="802045"/>
    <n v="0"/>
    <s v="85296555699"/>
    <s v=""/>
    <s v=""/>
    <x v="2"/>
    <s v=""/>
    <s v="CHECKOUT"/>
    <s v="90"/>
    <s v="HMDJ9C2EJB_LDCB1F"/>
    <n v="802045"/>
    <n v="1"/>
  </r>
  <r>
    <s v="126"/>
    <s v="SUP-Q-PNL"/>
    <s v="602"/>
    <s v="Mikawa Aruto"/>
    <s v="12/06/24 12:30"/>
    <s v="13/06/24 11:00"/>
    <n v="444960"/>
    <n v="0"/>
    <n v="444960"/>
    <n v="0"/>
    <n v="0"/>
    <n v="0"/>
    <n v="0"/>
    <n v="444960"/>
    <n v="0"/>
    <s v="81 81 09046647643"/>
    <s v=""/>
    <s v=""/>
    <x v="2"/>
    <s v=""/>
    <s v="CHECKOUT"/>
    <s v="146"/>
    <s v="1263166416_LDCB1F"/>
    <n v="444960"/>
    <n v="1"/>
  </r>
  <r>
    <s v="129"/>
    <s v="SUP-PNL"/>
    <s v="402"/>
    <s v="Foster"/>
    <s v="12/06/24 14:38"/>
    <s v="13/06/24 11:00"/>
    <n v="495000"/>
    <n v="0"/>
    <n v="495000"/>
    <n v="0"/>
    <n v="495000"/>
    <n v="0"/>
    <n v="0"/>
    <n v="0"/>
    <n v="0"/>
    <s v=""/>
    <s v=""/>
    <s v=""/>
    <x v="1"/>
    <s v=""/>
    <s v="CHECKOUT"/>
    <s v="150"/>
    <m/>
    <n v="495000"/>
    <n v="1"/>
  </r>
  <r>
    <s v="124"/>
    <s v="STD-PNL"/>
    <s v="501"/>
    <s v="Nguyễn Mạnh Phước"/>
    <s v="12/06/24 16:04"/>
    <s v="13/06/24 11:53"/>
    <n v="570000"/>
    <n v="200000"/>
    <n v="770000"/>
    <n v="0"/>
    <n v="0"/>
    <n v="0"/>
    <n v="770000"/>
    <n v="0"/>
    <n v="0"/>
    <s v="0935082400"/>
    <m/>
    <m/>
    <x v="1"/>
    <s v=""/>
    <s v="CHECKOUT"/>
    <s v="144"/>
    <m/>
    <n v="570000"/>
    <n v="1"/>
  </r>
  <r>
    <s v="135"/>
    <s v="SUP-PNL"/>
    <s v="102"/>
    <s v="Thái Văn Cường"/>
    <s v="13/06/24 15:58"/>
    <s v="13/06/24 17:58"/>
    <n v="400000"/>
    <n v="0"/>
    <n v="400000"/>
    <n v="0"/>
    <n v="400000"/>
    <n v="0"/>
    <n v="0"/>
    <n v="0"/>
    <n v="0"/>
    <s v="0933906103"/>
    <m/>
    <m/>
    <x v="1"/>
    <s v=""/>
    <s v="CHECKOUT"/>
    <s v="161"/>
    <m/>
    <n v="400000"/>
    <n v="1"/>
  </r>
  <r>
    <s v="61"/>
    <s v="STD-PNL"/>
    <s v="301"/>
    <s v="Lâm Mỹ Nhi"/>
    <s v="13/06/24 14:58"/>
    <s v="14/06/24 08:41"/>
    <n v="495000"/>
    <n v="0"/>
    <n v="495000"/>
    <n v="0"/>
    <n v="295000"/>
    <n v="0"/>
    <n v="200000"/>
    <n v="0"/>
    <n v="0"/>
    <s v="0375056444"/>
    <m/>
    <m/>
    <x v="1"/>
    <s v=""/>
    <s v="CHECKOUT"/>
    <s v="68"/>
    <m/>
    <n v="495000"/>
    <n v="1"/>
  </r>
  <r>
    <s v="122"/>
    <s v="DELUXE-PNL"/>
    <s v="403"/>
    <s v="chị Trang founder"/>
    <s v="11/06/24 09:48"/>
    <s v="14/06/24 08:42"/>
    <n v="0"/>
    <n v="140000"/>
    <n v="140000"/>
    <n v="0"/>
    <n v="0"/>
    <n v="0"/>
    <n v="140000"/>
    <n v="0"/>
    <n v="0"/>
    <s v="0904490031"/>
    <s v=""/>
    <s v=""/>
    <x v="4"/>
    <s v=""/>
    <s v="CHECKOUT"/>
    <s v="140"/>
    <m/>
    <n v="0"/>
    <n v="3"/>
  </r>
  <r>
    <s v="136"/>
    <s v="SUP-Q-PNL"/>
    <s v="502"/>
    <s v="Đăng Linh"/>
    <s v="13/06/24 15:53"/>
    <s v="14/06/24 11:00"/>
    <n v="630000"/>
    <n v="0"/>
    <n v="630000"/>
    <n v="0"/>
    <n v="630000"/>
    <n v="0"/>
    <n v="0"/>
    <n v="0"/>
    <n v="0"/>
    <s v="0933906103"/>
    <m/>
    <m/>
    <x v="1"/>
    <s v=""/>
    <s v="CHECKOUT"/>
    <s v="162"/>
    <m/>
    <n v="630000"/>
    <n v="1"/>
  </r>
  <r>
    <s v="137"/>
    <s v="DELUXE-PNL"/>
    <s v="303"/>
    <s v="Lê Ngọc Minh"/>
    <s v="13/06/24 16:05"/>
    <s v="14/06/24 11:00"/>
    <n v="809000"/>
    <n v="0"/>
    <n v="809000"/>
    <n v="0"/>
    <n v="0"/>
    <n v="0"/>
    <n v="809000"/>
    <n v="0"/>
    <n v="0"/>
    <s v="0933906103"/>
    <m/>
    <m/>
    <x v="1"/>
    <s v=""/>
    <s v="CHECKOUT"/>
    <s v="163"/>
    <m/>
    <n v="809000"/>
    <n v="1"/>
  </r>
  <r>
    <s v="137"/>
    <s v="DELUXE-PNL"/>
    <s v="203"/>
    <s v="Guest"/>
    <s v="13/06/24 16:05"/>
    <s v="14/06/24 11:00"/>
    <n v="809000"/>
    <n v="0"/>
    <n v="809000"/>
    <n v="0"/>
    <n v="0"/>
    <n v="0"/>
    <n v="809000"/>
    <n v="0"/>
    <n v="0"/>
    <m/>
    <m/>
    <m/>
    <x v="1"/>
    <s v=""/>
    <s v="CHECKOUT"/>
    <s v="164"/>
    <m/>
    <n v="809000"/>
    <n v="1"/>
  </r>
  <r>
    <s v="133"/>
    <s v="SUP-Q-PNL"/>
    <s v="602"/>
    <s v="Mikawa Aruto"/>
    <s v="13/06/24 11:42"/>
    <s v="14/06/24 11:21"/>
    <n v="444960"/>
    <n v="0"/>
    <n v="444960"/>
    <n v="0"/>
    <n v="0"/>
    <n v="0"/>
    <n v="0"/>
    <n v="444960"/>
    <n v="0"/>
    <s v="81 81 09046647643"/>
    <s v=""/>
    <s v=""/>
    <x v="2"/>
    <s v=""/>
    <s v="CHECKOUT"/>
    <s v="156"/>
    <s v="1264246916_LDCB1F"/>
    <n v="444960"/>
    <n v="1"/>
  </r>
  <r>
    <s v="127"/>
    <s v="SUP-PNL"/>
    <s v="302"/>
    <s v="Như Tiên"/>
    <s v="12/06/24 14:52"/>
    <s v="15/06/24 09:18"/>
    <n v="1415520"/>
    <n v="0"/>
    <n v="1415520"/>
    <n v="0"/>
    <n v="0"/>
    <n v="0"/>
    <n v="0"/>
    <n v="1415520"/>
    <n v="0"/>
    <s v="84 0369635638"/>
    <s v=""/>
    <s v=""/>
    <x v="2"/>
    <s v=""/>
    <s v="CHECKOUT"/>
    <s v="147"/>
    <s v="1263564836_LDCB1F"/>
    <n v="471840"/>
    <n v="3"/>
  </r>
  <r>
    <s v="134"/>
    <s v="SUP-PNL"/>
    <s v="102"/>
    <s v="Đăng thi hồng"/>
    <s v="13/06/24 17:03"/>
    <s v="15/06/24 11:00"/>
    <n v="1160000"/>
    <n v="0"/>
    <n v="1160000"/>
    <n v="0"/>
    <n v="680000"/>
    <n v="0"/>
    <n v="480000"/>
    <n v="0"/>
    <n v="0"/>
    <s v="0869 102 319"/>
    <s v=""/>
    <s v=""/>
    <x v="1"/>
    <s v=""/>
    <s v="CHECKOUT"/>
    <s v="157"/>
    <m/>
    <n v="580000"/>
    <n v="2"/>
  </r>
  <r>
    <s v="134"/>
    <s v="STD-PNL"/>
    <s v="501"/>
    <s v="Guest"/>
    <s v="13/06/24 17:03"/>
    <s v="15/06/24 11:00"/>
    <n v="960000"/>
    <n v="0"/>
    <n v="960000"/>
    <n v="0"/>
    <n v="960000"/>
    <n v="0"/>
    <n v="0"/>
    <n v="0"/>
    <n v="0"/>
    <s v=""/>
    <s v=""/>
    <s v=""/>
    <x v="1"/>
    <s v=""/>
    <s v="CHECKOUT"/>
    <s v="158"/>
    <m/>
    <n v="480000"/>
    <n v="2"/>
  </r>
  <r>
    <s v="134"/>
    <s v="STD-PNL"/>
    <s v="201"/>
    <s v="Guest"/>
    <s v="13/06/24 17:03"/>
    <s v="15/06/24 11:00"/>
    <n v="960000"/>
    <n v="0"/>
    <n v="960000"/>
    <n v="0"/>
    <n v="960000"/>
    <n v="0"/>
    <n v="0"/>
    <n v="0"/>
    <n v="0"/>
    <s v=""/>
    <s v=""/>
    <s v=""/>
    <x v="1"/>
    <s v=""/>
    <s v="CHECKOUT"/>
    <s v="159"/>
    <m/>
    <n v="480000"/>
    <n v="2"/>
  </r>
  <r>
    <s v="134"/>
    <s v="STD-PNL"/>
    <s v="601"/>
    <s v="Guest"/>
    <s v="13/06/24 17:03"/>
    <s v="15/06/24 11:00"/>
    <n v="960000"/>
    <n v="0"/>
    <n v="960000"/>
    <n v="0"/>
    <n v="960000"/>
    <n v="0"/>
    <n v="0"/>
    <n v="0"/>
    <n v="0"/>
    <m/>
    <m/>
    <m/>
    <x v="1"/>
    <s v=""/>
    <s v="CHECKOUT"/>
    <s v="160"/>
    <m/>
    <n v="480000"/>
    <n v="2"/>
  </r>
  <r>
    <s v="120"/>
    <s v="STD-PNL"/>
    <s v="301"/>
    <s v="Tuấn Anh Nguyễn"/>
    <s v="14/06/24 12:53"/>
    <s v="16/06/24 10:21"/>
    <n v="1051200"/>
    <n v="0"/>
    <n v="1051200"/>
    <n v="0"/>
    <n v="0"/>
    <n v="0"/>
    <n v="0"/>
    <n v="1051200"/>
    <n v="0"/>
    <s v="0977355094"/>
    <s v=""/>
    <s v=""/>
    <x v="2"/>
    <s v=""/>
    <s v="CHECKOUT"/>
    <s v="138"/>
    <s v="1262382800_LDCB1F"/>
    <n v="525600"/>
    <n v="2"/>
  </r>
  <r>
    <s v="140"/>
    <s v="STD-PNL"/>
    <s v="501"/>
    <s v="Huyền Phương"/>
    <s v="15/06/24 15:01"/>
    <s v="16/06/24 10:22"/>
    <n v="570000"/>
    <n v="0"/>
    <n v="570000"/>
    <n v="0"/>
    <n v="50800"/>
    <n v="0"/>
    <n v="519200"/>
    <n v="0"/>
    <n v="0"/>
    <s v="0938900810"/>
    <s v=""/>
    <s v=""/>
    <x v="1"/>
    <s v=""/>
    <s v="CHECKOUT"/>
    <s v="167"/>
    <m/>
    <n v="570000"/>
    <n v="1"/>
  </r>
  <r>
    <s v="142"/>
    <s v="STD-PNL"/>
    <s v="601"/>
    <s v="Lữ Ngân"/>
    <s v="15/06/24 13:07"/>
    <s v="16/06/24 10:23"/>
    <n v="525600"/>
    <n v="0"/>
    <n v="525600"/>
    <n v="0"/>
    <n v="0"/>
    <n v="0"/>
    <n v="0"/>
    <n v="525600"/>
    <n v="0"/>
    <s v="0855868086"/>
    <s v=""/>
    <s v=""/>
    <x v="2"/>
    <s v=""/>
    <s v="CHECKOUT"/>
    <s v="169"/>
    <s v="1265938496_LDCB1F"/>
    <n v="525600"/>
    <n v="1"/>
  </r>
  <r>
    <s v="143"/>
    <s v="SUP-PNL"/>
    <s v="302"/>
    <s v="Như Tiên"/>
    <s v="15/06/24 13:07"/>
    <s v="16/06/24 10:39"/>
    <n v="525600"/>
    <n v="0"/>
    <n v="525600"/>
    <n v="0"/>
    <n v="0"/>
    <n v="0"/>
    <n v="0"/>
    <n v="525600"/>
    <n v="0"/>
    <s v=""/>
    <s v=""/>
    <s v=""/>
    <x v="2"/>
    <s v=""/>
    <s v="CHECKOUT"/>
    <s v="170"/>
    <s v="1266476020_LDCB1F"/>
    <n v="525600"/>
    <n v="1"/>
  </r>
  <r>
    <s v="138"/>
    <s v="SUP-Q-PNL"/>
    <s v="602"/>
    <s v="Tan Chảy"/>
    <s v="14/06/24 20:48"/>
    <s v="16/06/24 11:00"/>
    <n v="1100000"/>
    <n v="0"/>
    <n v="1100000"/>
    <n v="0"/>
    <n v="0"/>
    <n v="0"/>
    <n v="1100000"/>
    <n v="0"/>
    <n v="0"/>
    <m/>
    <m/>
    <m/>
    <x v="1"/>
    <s v=""/>
    <s v="CHECKOUT"/>
    <s v="166"/>
    <m/>
    <n v="550000"/>
    <n v="2"/>
  </r>
  <r>
    <s v="147"/>
    <s v="STD-PNL"/>
    <s v="601"/>
    <s v="Tran L Chau"/>
    <s v="16/06/24 13:50"/>
    <s v="17/06/24 09:09"/>
    <n v="406000"/>
    <n v="0"/>
    <n v="406000"/>
    <n v="0"/>
    <n v="0"/>
    <n v="0"/>
    <n v="406000"/>
    <n v="0"/>
    <n v="0"/>
    <s v="0399756210"/>
    <s v=""/>
    <s v=""/>
    <x v="3"/>
    <s v=""/>
    <s v="CHECKOUT"/>
    <s v="176"/>
    <m/>
    <n v="406000"/>
    <n v="1"/>
  </r>
  <r>
    <s v="72"/>
    <s v="DELUXE-PNL"/>
    <s v="403"/>
    <s v="Taylor Robert"/>
    <s v="14/06/24 20:48"/>
    <s v="17/06/24 09:11"/>
    <n v="2067833"/>
    <n v="0"/>
    <n v="2067833"/>
    <n v="0"/>
    <n v="0"/>
    <n v="0"/>
    <n v="0"/>
    <n v="2067833"/>
    <n v="0"/>
    <s v="66800075540"/>
    <s v=""/>
    <s v=""/>
    <x v="2"/>
    <s v=""/>
    <s v="CHECKOUT"/>
    <s v="80"/>
    <s v="HM8NAMHRJD_LDCB1F"/>
    <n v="689277.6666"/>
    <n v="3"/>
  </r>
  <r>
    <s v="141"/>
    <s v="DELUXE-PNL"/>
    <s v="503"/>
    <s v="Đinh Thị Mỹ Thanh"/>
    <s v="14/06/24 15:30"/>
    <s v="17/06/24 09:11"/>
    <n v="1500000"/>
    <n v="38000"/>
    <n v="1538000"/>
    <n v="0"/>
    <n v="1538000"/>
    <n v="0"/>
    <n v="0"/>
    <n v="0"/>
    <n v="0"/>
    <s v="0373189378"/>
    <s v=""/>
    <s v=""/>
    <x v="1"/>
    <s v=""/>
    <s v="CHECKOUT"/>
    <s v="168"/>
    <m/>
    <n v="500000"/>
    <n v="3"/>
  </r>
  <r>
    <s v="132"/>
    <s v="STD-PNL"/>
    <s v="501"/>
    <s v="Bowker Stewart"/>
    <s v="16/06/24 17:21"/>
    <s v="17/06/24 10:04"/>
    <n v="444960"/>
    <n v="0"/>
    <n v="444960"/>
    <n v="0"/>
    <n v="0"/>
    <n v="0"/>
    <n v="0"/>
    <n v="444960"/>
    <n v="0"/>
    <s v=""/>
    <s v=""/>
    <s v=""/>
    <x v="2"/>
    <s v=""/>
    <s v="CHECKOUT"/>
    <s v="155"/>
    <s v="1297363145_LDCB1F"/>
    <n v="444960"/>
    <n v="1"/>
  </r>
  <r>
    <s v="121"/>
    <s v="STD-PNL"/>
    <s v="301"/>
    <s v="Tuấn Anh Nguyễn"/>
    <s v="14/06/24 12:52"/>
    <s v="17/06/24 11:00"/>
    <n v="1496160"/>
    <n v="127000"/>
    <n v="1623160"/>
    <n v="0"/>
    <n v="38000"/>
    <n v="0"/>
    <n v="89000"/>
    <n v="1496160"/>
    <n v="0"/>
    <s v=""/>
    <s v=""/>
    <s v=""/>
    <x v="2"/>
    <s v=""/>
    <s v="CHECKOUT"/>
    <s v="139"/>
    <s v="1262385872_LDCB1F"/>
    <n v="498720"/>
    <n v="3"/>
  </r>
  <r>
    <s v="144"/>
    <s v="STD-PNL"/>
    <s v="201"/>
    <s v="Guest"/>
    <s v="15/06/24 23:25"/>
    <s v="17/06/24 11:00"/>
    <n v="990000"/>
    <n v="0"/>
    <n v="990000"/>
    <n v="0"/>
    <n v="0"/>
    <n v="0"/>
    <n v="990000"/>
    <n v="0"/>
    <n v="0"/>
    <m/>
    <m/>
    <m/>
    <x v="1"/>
    <s v=""/>
    <s v="CHECKOUT"/>
    <s v="171"/>
    <m/>
    <n v="495000"/>
    <n v="2"/>
  </r>
  <r>
    <s v="145"/>
    <s v="SUP-PNL"/>
    <s v="102"/>
    <s v="Đoàn Quang Huy"/>
    <s v="15/06/24 14:53"/>
    <s v="17/06/24 11:00"/>
    <n v="1160000"/>
    <n v="400000"/>
    <n v="1560000"/>
    <n v="0"/>
    <n v="0"/>
    <n v="0"/>
    <n v="1560000"/>
    <n v="0"/>
    <n v="0"/>
    <s v="0986666969"/>
    <m/>
    <m/>
    <x v="1"/>
    <s v=""/>
    <s v="CHECKOUT"/>
    <s v="173"/>
    <m/>
    <n v="580000"/>
    <n v="2"/>
  </r>
  <r>
    <s v="150"/>
    <s v="SUP-PNL"/>
    <s v="202"/>
    <s v="Zalo Trúc"/>
    <s v="17/06/24 11:10"/>
    <s v="17/06/24 12:00"/>
    <n v="550000"/>
    <n v="0"/>
    <n v="550000"/>
    <n v="0"/>
    <n v="-100000"/>
    <n v="0"/>
    <n v="100000"/>
    <n v="550000"/>
    <n v="0"/>
    <m/>
    <m/>
    <m/>
    <x v="1"/>
    <s v=""/>
    <s v="CHECKOUT"/>
    <s v="179"/>
    <m/>
    <n v="550000"/>
    <n v="1"/>
  </r>
  <r>
    <s v="144"/>
    <s v="DELUXE-PNL"/>
    <s v="203"/>
    <s v="Trúc"/>
    <s v="15/06/24 23:25"/>
    <s v="17/06/24 14:55"/>
    <n v="1230000"/>
    <n v="85000"/>
    <n v="1315000"/>
    <n v="0"/>
    <n v="0"/>
    <n v="0"/>
    <n v="1315000"/>
    <n v="0"/>
    <n v="0"/>
    <m/>
    <m/>
    <m/>
    <x v="1"/>
    <s v=""/>
    <s v="CHECKOUT"/>
    <s v="172"/>
    <m/>
    <n v="615000"/>
    <n v="2"/>
  </r>
  <r>
    <s v="146"/>
    <s v="SUP-Q-PNL"/>
    <s v="602"/>
    <s v="Trịnh Bảo Anh"/>
    <s v="17/06/24 12:09"/>
    <s v="18/06/24 08:58"/>
    <n v="790000"/>
    <n v="0"/>
    <n v="790000"/>
    <n v="0"/>
    <n v="0"/>
    <n v="0"/>
    <n v="790000"/>
    <n v="0"/>
    <n v="0"/>
    <s v=""/>
    <s v=""/>
    <s v="056096013737"/>
    <x v="1"/>
    <s v=""/>
    <s v="CHECKOUT"/>
    <s v="175"/>
    <m/>
    <n v="790000"/>
    <n v="1"/>
  </r>
  <r>
    <s v="146"/>
    <s v="DELUXE-PNL"/>
    <s v="503"/>
    <s v="Trịnh Bảo Anh"/>
    <s v="17/06/24 12:09"/>
    <s v="18/06/24 08:58"/>
    <n v="970000"/>
    <n v="0"/>
    <n v="970000"/>
    <n v="0"/>
    <n v="0"/>
    <n v="0"/>
    <n v="970000"/>
    <n v="0"/>
    <n v="0"/>
    <s v="0931807931"/>
    <m/>
    <m/>
    <x v="1"/>
    <s v=""/>
    <s v="CHECKOUT"/>
    <s v="174"/>
    <m/>
    <n v="970000"/>
    <n v="1"/>
  </r>
  <r>
    <s v="138"/>
    <s v="SUP-Q-PNL"/>
    <s v="502"/>
    <s v="Tan Chảy"/>
    <s v="14/06/24 20:48"/>
    <s v="18/06/24 11:00"/>
    <n v="2200000"/>
    <n v="200000"/>
    <n v="2400000"/>
    <n v="0"/>
    <n v="200000"/>
    <n v="0"/>
    <n v="2200000"/>
    <n v="0"/>
    <n v="0"/>
    <m/>
    <m/>
    <m/>
    <x v="1"/>
    <s v=""/>
    <s v="CHECKOUT"/>
    <s v="165"/>
    <m/>
    <n v="550000"/>
    <n v="4"/>
  </r>
  <r>
    <s v="128"/>
    <s v="STD-PNL"/>
    <s v="401"/>
    <s v="Pham Kim Tien"/>
    <s v="13/06/24 23:07"/>
    <s v="18/06/24 16:00"/>
    <n v="2835000"/>
    <n v="399000"/>
    <n v="3234000"/>
    <n v="0"/>
    <n v="5779000"/>
    <n v="0"/>
    <n v="500000"/>
    <n v="0"/>
    <n v="-3045000"/>
    <s v="+6584687049"/>
    <s v=""/>
    <s v="N2415321"/>
    <x v="1"/>
    <s v=""/>
    <s v="CHECKOUT"/>
    <s v="148"/>
    <m/>
    <n v="567000"/>
    <n v="5"/>
  </r>
  <r>
    <s v="128"/>
    <s v="SUP-PNL"/>
    <s v="402"/>
    <s v="Ong Sheng Yao"/>
    <s v="13/06/24 23:07"/>
    <s v="18/06/24 16:00"/>
    <n v="3325000"/>
    <n v="0"/>
    <n v="3325000"/>
    <n v="0"/>
    <n v="280000"/>
    <n v="0"/>
    <n v="0"/>
    <n v="0"/>
    <n v="3045000"/>
    <s v=""/>
    <s v=""/>
    <s v="K4022307D"/>
    <x v="1"/>
    <s v=""/>
    <s v="CHECKOUT"/>
    <s v="149"/>
    <m/>
    <n v="665000"/>
    <n v="5"/>
  </r>
  <r>
    <s v="155"/>
    <s v="SUP-PNL"/>
    <s v="302"/>
    <s v="Lê Minh Quân"/>
    <s v="18/06/24 07:44"/>
    <s v="18/06/24 18:00"/>
    <n v="989000"/>
    <n v="0"/>
    <n v="989000"/>
    <n v="0"/>
    <n v="350000"/>
    <n v="0"/>
    <n v="639000"/>
    <n v="0"/>
    <n v="0"/>
    <s v=""/>
    <s v=""/>
    <s v=""/>
    <x v="1"/>
    <s v=""/>
    <s v="CHECKOUT"/>
    <s v="184"/>
    <m/>
    <n v="989000"/>
    <n v="1"/>
  </r>
  <r>
    <s v="156"/>
    <s v="DELUXE-PNL"/>
    <s v="503"/>
    <s v="HOÀNG THU HÀNG"/>
    <s v="18/06/24 18:19"/>
    <s v="18/06/24 22:20"/>
    <n v="449000"/>
    <n v="0"/>
    <n v="449000"/>
    <n v="0"/>
    <n v="0"/>
    <n v="0"/>
    <n v="449000"/>
    <n v="0"/>
    <n v="0"/>
    <s v="0908866377"/>
    <s v=""/>
    <s v="001195036172"/>
    <x v="1"/>
    <s v=""/>
    <s v="CHECKOUT"/>
    <s v="185"/>
    <m/>
    <n v="449000"/>
    <n v="1"/>
  </r>
  <r>
    <s v="157"/>
    <s v="STD-PNL"/>
    <s v="501"/>
    <s v="Trúc Nhân"/>
    <s v="19/06/24 01:13"/>
    <s v="19/06/24 11:00"/>
    <n v="450000"/>
    <n v="0"/>
    <n v="450000"/>
    <n v="0"/>
    <n v="0"/>
    <n v="0"/>
    <n v="450000"/>
    <n v="0"/>
    <n v="0"/>
    <s v="0933906103"/>
    <s v=""/>
    <s v=""/>
    <x v="1"/>
    <s v=""/>
    <s v="CHECKOUT"/>
    <s v="186"/>
    <m/>
    <n v="450000"/>
    <n v="1"/>
  </r>
  <r>
    <s v="152"/>
    <s v="STD-PNL"/>
    <s v="601"/>
    <s v="Mah See Cheong"/>
    <s v="17/06/24 17:37"/>
    <s v="19/06/24 11:03"/>
    <n v="889920"/>
    <n v="0"/>
    <n v="889920"/>
    <n v="0"/>
    <n v="0"/>
    <n v="0"/>
    <n v="0"/>
    <n v="889920"/>
    <n v="0"/>
    <s v="65 91865160"/>
    <s v=""/>
    <s v="K3519097D"/>
    <x v="2"/>
    <s v=""/>
    <s v="CHECKOUT"/>
    <s v="181"/>
    <s v="1301317637_LDCB1F"/>
    <n v="444960"/>
    <n v="2"/>
  </r>
  <r>
    <s v="162"/>
    <s v="STD-PNL"/>
    <s v="201"/>
    <s v="Nguyen Ba Hoi"/>
    <s v="19/06/24 23:32"/>
    <s v="20/06/24 10:09"/>
    <n v="495000"/>
    <n v="0"/>
    <n v="495000"/>
    <n v="0"/>
    <n v="0"/>
    <n v="0"/>
    <n v="495000"/>
    <n v="0"/>
    <n v="0"/>
    <s v="0906490070"/>
    <m/>
    <m/>
    <x v="1"/>
    <s v=""/>
    <s v="CHECKOUT"/>
    <s v="191"/>
    <m/>
    <n v="495000"/>
    <n v="1"/>
  </r>
  <r>
    <s v="106"/>
    <s v="STD-PNL"/>
    <s v="301"/>
    <s v="Đặng Thị Trúc Ly"/>
    <s v="17/06/24 11:33"/>
    <s v="20/06/24 11:45"/>
    <n v="1727000"/>
    <n v="0"/>
    <n v="1562300"/>
    <n v="0"/>
    <n v="1562300"/>
    <n v="0"/>
    <n v="0"/>
    <n v="0"/>
    <n v="0"/>
    <s v=""/>
    <s v=""/>
    <s v="052170013831"/>
    <x v="2"/>
    <s v=""/>
    <s v="CHECKOUT"/>
    <s v="122"/>
    <s v="99541446132"/>
    <n v="575666.6666"/>
    <n v="3"/>
  </r>
  <r>
    <s v="106"/>
    <s v="DELUXE-PNL"/>
    <s v="403"/>
    <s v="Ban Vinh Tin"/>
    <s v="17/06/24 11:33"/>
    <s v="20/06/24 11:45"/>
    <n v="2507000"/>
    <n v="0"/>
    <n v="2342300"/>
    <n v="0"/>
    <n v="860000"/>
    <n v="0"/>
    <n v="1482300"/>
    <n v="0"/>
    <n v="0"/>
    <s v="+84983855583"/>
    <s v="Nhanban0206@gmail.com"/>
    <s v="C2758400"/>
    <x v="2"/>
    <s v=""/>
    <s v="CHECKOUT"/>
    <s v="120"/>
    <s v="99541446132"/>
    <n v="835666.6666"/>
    <n v="3"/>
  </r>
  <r>
    <s v="106"/>
    <s v="DELUXE-PNL"/>
    <s v="303"/>
    <s v=""/>
    <s v="17/06/24 11:33"/>
    <s v="20/06/24 11:45"/>
    <n v="2507000"/>
    <n v="0"/>
    <n v="2342300"/>
    <n v="0"/>
    <n v="1624300"/>
    <n v="0"/>
    <n v="718000"/>
    <n v="0"/>
    <n v="0"/>
    <s v=""/>
    <s v=""/>
    <s v="052190014159"/>
    <x v="2"/>
    <s v=""/>
    <s v="CHECKOUT"/>
    <s v="121"/>
    <s v="99541446132"/>
    <n v="835666.6666"/>
    <n v="3"/>
  </r>
  <r>
    <s v="160"/>
    <s v="STD-PNL"/>
    <s v="401"/>
    <s v="Thanh Bình"/>
    <s v="19/06/24 14:32"/>
    <s v="21/06/24 08:14"/>
    <n v="1000000"/>
    <n v="0"/>
    <n v="1000000"/>
    <n v="0"/>
    <n v="500000"/>
    <n v="0"/>
    <n v="500000"/>
    <n v="0"/>
    <n v="0"/>
    <s v="0905076333"/>
    <m/>
    <m/>
    <x v="1"/>
    <s v=""/>
    <s v="CHECKOUT"/>
    <s v="189"/>
    <m/>
    <n v="500000"/>
    <n v="2"/>
  </r>
  <r>
    <s v="164"/>
    <s v="STD-PNL"/>
    <s v="201"/>
    <s v="Lingard Gregory James"/>
    <s v="20/06/24 22:29"/>
    <s v="21/06/24 10:34"/>
    <n v="1496160"/>
    <n v="0"/>
    <n v="1496160"/>
    <n v="0"/>
    <n v="0"/>
    <n v="0"/>
    <n v="0"/>
    <n v="1496160"/>
    <n v="0"/>
    <s v=""/>
    <s v=""/>
    <s v="RA1477869"/>
    <x v="2"/>
    <s v=""/>
    <s v="CHECKOUT"/>
    <s v="193"/>
    <s v="1303984273_LDCB1F"/>
    <n v="1496160"/>
    <n v="1"/>
  </r>
  <r>
    <s v="169"/>
    <s v="SUP-PNL"/>
    <s v="202"/>
    <s v="Lingard Gregory James"/>
    <s v="20/06/24 22:29"/>
    <s v="21/06/24 10:34"/>
    <n v="0"/>
    <n v="0"/>
    <n v="0"/>
    <n v="0"/>
    <n v="0"/>
    <n v="0"/>
    <n v="0"/>
    <n v="0"/>
    <n v="0"/>
    <s v=""/>
    <s v=""/>
    <s v="RA1477869"/>
    <x v="1"/>
    <s v=""/>
    <s v="CHECKOUT"/>
    <s v="200"/>
    <m/>
    <n v="0"/>
    <n v="1"/>
  </r>
  <r>
    <s v="166"/>
    <s v="SUP-PNL"/>
    <s v="402"/>
    <s v="Nguyễn Xuân Cường"/>
    <s v="20/06/24 16:38"/>
    <s v="21/06/24 11:00"/>
    <n v="585000"/>
    <n v="200000"/>
    <n v="785000"/>
    <n v="0"/>
    <n v="0"/>
    <n v="0"/>
    <n v="785000"/>
    <n v="0"/>
    <n v="0"/>
    <s v="0978287588"/>
    <s v=""/>
    <s v=""/>
    <x v="1"/>
    <s v=""/>
    <s v="CHECKOUT"/>
    <s v="197"/>
    <m/>
    <n v="585000"/>
    <n v="1"/>
  </r>
  <r>
    <s v="167"/>
    <s v="SUP-Q-PNL"/>
    <s v="602"/>
    <s v="Pham Huynh"/>
    <s v="20/06/24 20:15"/>
    <s v="21/06/24 11:27"/>
    <n v="543600"/>
    <n v="0"/>
    <n v="543600"/>
    <n v="0"/>
    <n v="0"/>
    <n v="0"/>
    <n v="0"/>
    <n v="543600"/>
    <n v="0"/>
    <s v="+84 943728686"/>
    <s v="hpham.300830@guest.booking.com"/>
    <s v=""/>
    <x v="2"/>
    <s v=""/>
    <s v="CHECKOUT"/>
    <s v="198"/>
    <s v="4342916014_LDCB1F"/>
    <n v="543600"/>
    <n v="1"/>
  </r>
  <r>
    <s v="161"/>
    <s v="DELUXE-PNL"/>
    <s v="503"/>
    <s v="Bannister Lee"/>
    <s v="19/06/24 22:56"/>
    <s v="21/06/24 11:38"/>
    <n v="1392343"/>
    <n v="0"/>
    <n v="1392343"/>
    <n v="0"/>
    <n v="0"/>
    <n v="0"/>
    <n v="0"/>
    <n v="1392343"/>
    <n v="0"/>
    <s v="447896270609,66643276650"/>
    <s v=""/>
    <s v=""/>
    <x v="2"/>
    <s v=""/>
    <s v="CHECKOUT"/>
    <s v="190"/>
    <s v="HM3WZ24D9R_LDCB1F"/>
    <n v="696171.5"/>
    <n v="2"/>
  </r>
  <r>
    <s v="154"/>
    <s v="STD-PNL"/>
    <s v="501"/>
    <s v="Ta Thanh"/>
    <s v="19/06/24 14:09"/>
    <s v="21/06/24 12:01"/>
    <n v="889920"/>
    <n v="0"/>
    <n v="889920"/>
    <n v="0"/>
    <n v="0"/>
    <n v="0"/>
    <n v="0"/>
    <n v="889920"/>
    <n v="0"/>
    <s v="442036847925"/>
    <s v=""/>
    <s v=""/>
    <x v="2"/>
    <s v=""/>
    <s v="CHECKOUT"/>
    <s v="183"/>
    <s v="443379659_LDCB1F"/>
    <n v="444960"/>
    <n v="2"/>
  </r>
  <r>
    <s v="172"/>
    <s v="DELUXE-PNL"/>
    <s v="503"/>
    <s v="Banister Lee"/>
    <s v="21/06/24 11:39"/>
    <s v="22/06/24 08:13"/>
    <n v="696172"/>
    <n v="0"/>
    <n v="696172"/>
    <n v="0"/>
    <n v="0"/>
    <n v="0"/>
    <n v="0"/>
    <n v="696172"/>
    <n v="0"/>
    <m/>
    <m/>
    <m/>
    <x v="1"/>
    <s v=""/>
    <s v="CHECKOUT"/>
    <s v="203"/>
    <m/>
    <n v="696172"/>
    <n v="1"/>
  </r>
  <r>
    <s v="159"/>
    <s v="SUP-Q-PNL"/>
    <s v="502"/>
    <s v="신 민석"/>
    <s v="20/06/24 15:52"/>
    <s v="22/06/24 09:07"/>
    <n v="929529"/>
    <n v="0"/>
    <n v="929529"/>
    <n v="0"/>
    <n v="0"/>
    <n v="0"/>
    <n v="0"/>
    <n v="929529"/>
    <n v="0"/>
    <s v="821026641117"/>
    <s v=""/>
    <s v=""/>
    <x v="2"/>
    <s v=""/>
    <s v="CHECKOUT"/>
    <s v="188"/>
    <s v="HMCFBBT24W_LDCB1F"/>
    <n v="464764.5"/>
    <n v="2"/>
  </r>
  <r>
    <s v="158"/>
    <s v="STD-PNL"/>
    <s v="601"/>
    <s v="Mah See Cheong"/>
    <s v="19/06/24 14:10"/>
    <s v="22/06/24 11:00"/>
    <n v="1575000"/>
    <n v="0"/>
    <n v="1575000"/>
    <n v="0"/>
    <n v="1575000"/>
    <n v="0"/>
    <n v="0"/>
    <n v="0"/>
    <n v="0"/>
    <s v="65 91865160"/>
    <s v=""/>
    <s v="K3519097D"/>
    <x v="1"/>
    <s v=""/>
    <s v="CHECKOUT"/>
    <s v="187"/>
    <m/>
    <n v="525000"/>
    <n v="3"/>
  </r>
  <r>
    <s v="176"/>
    <s v="STD-PNL"/>
    <s v="501"/>
    <s v="NGUYỄN THỊ THANH LOÀN"/>
    <s v="21/06/24 19:35"/>
    <s v="22/06/24 14:51"/>
    <n v="680000"/>
    <n v="0"/>
    <n v="680000"/>
    <n v="0"/>
    <n v="680000"/>
    <n v="0"/>
    <n v="0"/>
    <n v="0"/>
    <n v="0"/>
    <s v=""/>
    <s v=""/>
    <s v="001179036091"/>
    <x v="1"/>
    <s v=""/>
    <s v="CHECKOUT"/>
    <s v="207"/>
    <m/>
    <n v="680000"/>
    <n v="1"/>
  </r>
  <r>
    <s v="151"/>
    <s v="SUP-Q-PNL"/>
    <s v="602"/>
    <s v="SHINTANI YUMI"/>
    <s v="22/06/24 15:08"/>
    <s v="23/06/24 10:26"/>
    <n v="525600"/>
    <n v="0"/>
    <n v="525600"/>
    <n v="0"/>
    <n v="0"/>
    <n v="0"/>
    <n v="0"/>
    <n v="525600"/>
    <n v="0"/>
    <s v=""/>
    <s v=""/>
    <s v=""/>
    <x v="2"/>
    <s v=""/>
    <s v="CHECKOUT"/>
    <s v="180"/>
    <s v="1267851996_LDCB1F"/>
    <n v="525600"/>
    <n v="1"/>
  </r>
  <r>
    <s v="118"/>
    <s v="STD-PNL"/>
    <s v="401"/>
    <s v="Phú Tấn"/>
    <s v="21/06/24 15:41"/>
    <s v="23/06/24 11:00"/>
    <n v="1098000"/>
    <n v="0"/>
    <n v="1098000"/>
    <n v="0"/>
    <n v="498000"/>
    <n v="0"/>
    <n v="600000"/>
    <n v="0"/>
    <n v="0"/>
    <s v="0983947685"/>
    <s v=""/>
    <s v=""/>
    <x v="1"/>
    <s v=""/>
    <s v="CHECKOUT"/>
    <s v="136"/>
    <m/>
    <n v="549000"/>
    <n v="2"/>
  </r>
  <r>
    <s v="175"/>
    <s v="SUP-PNL"/>
    <s v="302"/>
    <s v="HOSSAIN MOHAMMAD SAMIM"/>
    <s v="21/06/24 18:56"/>
    <s v="23/06/24 11:00"/>
    <n v="1000000"/>
    <n v="0"/>
    <n v="1000000"/>
    <n v="0"/>
    <n v="1000000"/>
    <n v="0"/>
    <n v="0"/>
    <n v="0"/>
    <n v="0"/>
    <s v=""/>
    <s v=""/>
    <s v="EH0134708"/>
    <x v="1"/>
    <s v=""/>
    <s v="CHECKOUT"/>
    <s v="206"/>
    <m/>
    <n v="500000"/>
    <n v="2"/>
  </r>
  <r>
    <s v="112"/>
    <s v="DELUXE-PNL"/>
    <s v="603"/>
    <s v="P-C Olivier"/>
    <s v="12/06/24 14:09"/>
    <s v="23/06/24 11:09"/>
    <n v="8537252"/>
    <n v="0"/>
    <n v="8537252"/>
    <n v="0"/>
    <n v="0"/>
    <n v="0"/>
    <n v="0"/>
    <n v="8537252"/>
    <n v="0"/>
    <s v="15148058923"/>
    <s v=""/>
    <s v=""/>
    <x v="2"/>
    <s v=""/>
    <s v="CHECKOUT"/>
    <s v="130"/>
    <s v="HM2XKTBMYM_LDCB1F"/>
    <n v="776113.81810000003"/>
    <n v="11"/>
  </r>
  <r>
    <s v="173"/>
    <s v="DELUXE-PNL"/>
    <s v="403"/>
    <s v="Thu Hồng"/>
    <s v="22/06/24 10:00"/>
    <s v="24/06/24 09:02"/>
    <n v="1700000"/>
    <n v="0"/>
    <n v="1700000"/>
    <n v="0"/>
    <n v="0"/>
    <n v="0"/>
    <n v="1700000"/>
    <n v="0"/>
    <n v="0"/>
    <s v="0905158209"/>
    <s v=""/>
    <s v=""/>
    <x v="1"/>
    <s v=""/>
    <s v="CHECKOUT"/>
    <s v="204"/>
    <m/>
    <n v="850000"/>
    <n v="2"/>
  </r>
  <r>
    <s v="182"/>
    <s v="SUP-Q-PNL"/>
    <s v="502"/>
    <s v="Lê Thị Xuân Nhi"/>
    <s v="23/06/24 19:46"/>
    <s v="24/06/24 09:02"/>
    <n v="444960"/>
    <n v="0"/>
    <n v="444960"/>
    <n v="0"/>
    <n v="0"/>
    <n v="0"/>
    <n v="0"/>
    <n v="444960"/>
    <n v="0"/>
    <s v="84 0977420855"/>
    <s v=""/>
    <s v="089195017912"/>
    <x v="2"/>
    <s v=""/>
    <s v="CHECKOUT"/>
    <s v="213"/>
    <s v="1306669665_LDCB1F"/>
    <n v="444960"/>
    <n v="1"/>
  </r>
  <r>
    <s v="184"/>
    <s v="SUP-Q-PNL"/>
    <s v="602"/>
    <s v="Đặng Minh Hùng"/>
    <s v="23/06/24 18:13"/>
    <s v="24/06/24 09:02"/>
    <n v="629000"/>
    <n v="0"/>
    <n v="629000"/>
    <n v="0"/>
    <n v="-61000"/>
    <n v="0"/>
    <n v="690000"/>
    <n v="0"/>
    <n v="0"/>
    <s v="0767227840"/>
    <s v=""/>
    <s v="079094030742"/>
    <x v="1"/>
    <s v=""/>
    <s v="CHECKOUT"/>
    <s v="216"/>
    <m/>
    <n v="629000"/>
    <n v="1"/>
  </r>
  <r>
    <s v="177"/>
    <s v="SUP-PNL"/>
    <s v="202"/>
    <s v="NGUYỄN THỊ THU TRANG"/>
    <s v="21/06/24 21:35"/>
    <s v="24/06/24 10:46"/>
    <n v="1662000"/>
    <n v="0"/>
    <n v="1662000"/>
    <n v="0"/>
    <n v="0"/>
    <n v="0"/>
    <n v="0"/>
    <n v="1662000"/>
    <n v="0"/>
    <s v=""/>
    <s v=""/>
    <s v="079189022405"/>
    <x v="1"/>
    <s v=""/>
    <s v="CHECKOUT"/>
    <s v="208"/>
    <m/>
    <n v="554000"/>
    <n v="3"/>
  </r>
  <r>
    <s v="91"/>
    <s v="STD-PNL"/>
    <s v="501"/>
    <s v="Lưu Thúy Ngân"/>
    <s v="23/06/24 23:08"/>
    <s v="24/06/24 11:00"/>
    <n v="549000"/>
    <n v="0"/>
    <n v="494100"/>
    <n v="0"/>
    <n v="0"/>
    <n v="0"/>
    <n v="494100"/>
    <n v="0"/>
    <n v="0"/>
    <s v="+84772385930"/>
    <s v="nganluu98@gmail.com"/>
    <s v="031198007628"/>
    <x v="1"/>
    <s v=""/>
    <s v="CHECKOUT"/>
    <s v="101"/>
    <s v="91314187309"/>
    <n v="549000"/>
    <n v="1"/>
  </r>
  <r>
    <s v="91"/>
    <s v="STD-PNL"/>
    <s v="401"/>
    <s v="Trần Quang Đại"/>
    <s v="23/06/24 23:08"/>
    <s v="24/06/24 11:00"/>
    <n v="549000"/>
    <n v="0"/>
    <n v="494100"/>
    <n v="0"/>
    <n v="488200"/>
    <n v="0"/>
    <n v="5900"/>
    <n v="0"/>
    <n v="0"/>
    <s v=""/>
    <s v=""/>
    <s v="031096011751"/>
    <x v="1"/>
    <s v=""/>
    <s v="CHECKOUT"/>
    <s v="102"/>
    <s v="91314187309"/>
    <n v="549000"/>
    <n v="1"/>
  </r>
  <r>
    <s v="189"/>
    <s v="SUP-Q-PNL"/>
    <s v="602"/>
    <s v="Trần Minh Điện"/>
    <s v="25/06/24 01:57"/>
    <s v="25/06/24 09:08"/>
    <n v="585000"/>
    <n v="0"/>
    <n v="585000"/>
    <n v="0"/>
    <n v="0"/>
    <n v="0"/>
    <n v="585000"/>
    <n v="0"/>
    <n v="0"/>
    <s v=""/>
    <s v=""/>
    <s v=""/>
    <x v="1"/>
    <s v=""/>
    <s v="CHECKOUT"/>
    <s v="221"/>
    <m/>
    <n v="585000"/>
    <n v="1"/>
  </r>
  <r>
    <s v="183"/>
    <s v="SUP-PNL"/>
    <s v="302"/>
    <s v="Khách Việt Kiều"/>
    <s v="23/06/24 15:30"/>
    <s v="25/06/24 11:00"/>
    <n v="1000000"/>
    <n v="0"/>
    <n v="1000000"/>
    <n v="0"/>
    <n v="1000000"/>
    <n v="0"/>
    <n v="0"/>
    <n v="0"/>
    <n v="0"/>
    <m/>
    <m/>
    <m/>
    <x v="1"/>
    <s v=""/>
    <s v="CHECKOUT"/>
    <s v="214"/>
    <m/>
    <n v="500000"/>
    <n v="2"/>
  </r>
  <r>
    <s v="183"/>
    <s v="DELUXE-PNL"/>
    <s v="303"/>
    <s v="Guest"/>
    <s v="23/06/24 15:30"/>
    <s v="25/06/24 11:00"/>
    <n v="1500000"/>
    <n v="0"/>
    <n v="1500000"/>
    <n v="0"/>
    <n v="1500000"/>
    <n v="0"/>
    <n v="0"/>
    <n v="0"/>
    <n v="0"/>
    <m/>
    <m/>
    <m/>
    <x v="1"/>
    <s v=""/>
    <s v="CHECKOUT"/>
    <s v="215"/>
    <m/>
    <n v="750000"/>
    <n v="2"/>
  </r>
  <r>
    <s v="190"/>
    <s v="SUP-PNL"/>
    <s v="202"/>
    <s v="Khách đi chung 302"/>
    <s v="25/06/24 07:09"/>
    <s v="25/06/24 11:00"/>
    <n v="500000"/>
    <n v="0"/>
    <n v="500000"/>
    <n v="0"/>
    <n v="500000"/>
    <n v="0"/>
    <n v="0"/>
    <n v="0"/>
    <n v="0"/>
    <s v=""/>
    <s v=""/>
    <s v=""/>
    <x v="1"/>
    <s v=""/>
    <s v="CHECKOUT"/>
    <s v="222"/>
    <m/>
    <n v="500000"/>
    <n v="1"/>
  </r>
  <r>
    <s v="195"/>
    <s v="SUP-PNL"/>
    <s v="202"/>
    <s v="Antony"/>
    <s v="25/06/24 21:31"/>
    <s v="25/06/24 23:01"/>
    <n v="400000"/>
    <n v="0"/>
    <n v="400000"/>
    <n v="0"/>
    <n v="400000"/>
    <n v="0"/>
    <n v="0"/>
    <n v="0"/>
    <n v="0"/>
    <m/>
    <m/>
    <m/>
    <x v="1"/>
    <s v=""/>
    <s v="CHECKOUT"/>
    <s v="230"/>
    <m/>
    <n v="400000"/>
    <n v="1"/>
  </r>
  <r>
    <s v="171"/>
    <s v="SUP-PNL"/>
    <s v="102"/>
    <s v="NGUYEN XUAN LOC"/>
    <s v="24/06/24 12:53"/>
    <s v="26/06/24 10:41"/>
    <n v="1150000"/>
    <n v="0"/>
    <n v="1150000"/>
    <n v="0"/>
    <n v="650000"/>
    <n v="0"/>
    <n v="500000"/>
    <n v="0"/>
    <n v="0"/>
    <s v="+6590095991"/>
    <s v=""/>
    <s v="K3466706R"/>
    <x v="1"/>
    <s v=""/>
    <s v="CHECKOUT"/>
    <s v="202"/>
    <m/>
    <n v="575000"/>
    <n v="2"/>
  </r>
  <r>
    <s v="110"/>
    <s v="SUP-PNL"/>
    <s v="402"/>
    <s v="Jui Juan See"/>
    <s v="22/06/24 16:16"/>
    <s v="26/06/24 11:09"/>
    <n v="2183760"/>
    <n v="0"/>
    <n v="2183760"/>
    <n v="0"/>
    <n v="0"/>
    <n v="0"/>
    <n v="0"/>
    <n v="2183760"/>
    <n v="0"/>
    <s v=""/>
    <s v=""/>
    <s v=""/>
    <x v="2"/>
    <s v=""/>
    <s v="CHECKOUT"/>
    <s v="128"/>
    <s v="1294485261_LDCB1F"/>
    <n v="545940"/>
    <n v="4"/>
  </r>
  <r>
    <s v="181"/>
    <s v="STD-PNL"/>
    <s v="401"/>
    <s v="ĐỖ QUANG TIẾN"/>
    <s v="24/06/24 13:57"/>
    <s v="26/06/24 13:20"/>
    <n v="1098000"/>
    <n v="0"/>
    <n v="988200"/>
    <n v="0"/>
    <n v="488200"/>
    <n v="0"/>
    <n v="500000"/>
    <n v="0"/>
    <n v="0"/>
    <s v="+84907029810"/>
    <s v="Quangtien3105@gmail.com"/>
    <s v="083099011205"/>
    <x v="1"/>
    <s v=""/>
    <s v="CHECKOUT"/>
    <s v="212"/>
    <s v="09228127783"/>
    <n v="549000"/>
    <n v="2"/>
  </r>
  <r>
    <s v="178"/>
    <s v="STD-PNL"/>
    <s v="201"/>
    <s v="Lê Phan Ngọc Ửng"/>
    <s v="22/06/24 09:59"/>
    <s v="27/06/24 09:06"/>
    <n v="2470000"/>
    <n v="0"/>
    <n v="2470000"/>
    <n v="0"/>
    <n v="0"/>
    <n v="0"/>
    <n v="2470000"/>
    <n v="0"/>
    <n v="0"/>
    <s v="0935143639"/>
    <s v=""/>
    <s v=""/>
    <x v="1"/>
    <s v=""/>
    <s v="CHECKOUT"/>
    <s v="209"/>
    <m/>
    <n v="494000"/>
    <n v="5"/>
  </r>
  <r>
    <s v="192"/>
    <s v="SUP-PNL"/>
    <s v="302"/>
    <s v="HOÀNG THỊ CẨM TÚ"/>
    <s v="25/06/24 16:25"/>
    <s v="27/06/24 09:07"/>
    <n v="1100000"/>
    <n v="0"/>
    <n v="1100000"/>
    <n v="0"/>
    <n v="0"/>
    <n v="0"/>
    <n v="1100000"/>
    <n v="0"/>
    <n v="0"/>
    <s v="0988322553"/>
    <s v=""/>
    <s v="051196005504"/>
    <x v="1"/>
    <s v=""/>
    <s v="CHECKOUT"/>
    <s v="226"/>
    <m/>
    <n v="550000"/>
    <n v="2"/>
  </r>
  <r>
    <s v="202"/>
    <s v="SUP-PNL"/>
    <s v="402"/>
    <s v="TRẦN THỊ CẨM TÚ"/>
    <s v="26/06/24 22:39"/>
    <s v="27/06/24 10:54"/>
    <n v="500000"/>
    <n v="0"/>
    <n v="500000"/>
    <n v="0"/>
    <n v="500000"/>
    <n v="0"/>
    <n v="0"/>
    <n v="0"/>
    <n v="0"/>
    <s v=""/>
    <s v=""/>
    <s v="091191004538"/>
    <x v="0"/>
    <s v=""/>
    <s v="CHECKOUT"/>
    <s v="237"/>
    <m/>
    <n v="500000"/>
    <n v="1"/>
  </r>
  <r>
    <s v="148"/>
    <s v="STD-PNL"/>
    <s v="301"/>
    <s v="Lim Teck Chye"/>
    <s v="20/06/24 17:09"/>
    <s v="27/06/24 11:00"/>
    <n v="3094000"/>
    <n v="0"/>
    <n v="3094000"/>
    <n v="0"/>
    <n v="0"/>
    <n v="0"/>
    <n v="0"/>
    <n v="3094000"/>
    <n v="0"/>
    <s v="65 96564188"/>
    <s v=""/>
    <s v="K2482789N"/>
    <x v="2"/>
    <s v=""/>
    <s v="CHECKOUT"/>
    <s v="177"/>
    <s v="1300757825_LDCB1F"/>
    <n v="442000"/>
    <n v="7"/>
  </r>
  <r>
    <s v="201"/>
    <s v="SUP-Q-PNL"/>
    <s v="502"/>
    <s v="BÙI THỊ KIM SINH"/>
    <s v="27/06/24 14:15"/>
    <s v="28/06/24 09:22"/>
    <n v="543600"/>
    <n v="0"/>
    <n v="543600"/>
    <n v="0"/>
    <n v="0"/>
    <n v="0"/>
    <n v="0"/>
    <n v="543600"/>
    <n v="0"/>
    <s v="+84 97 391 66 99"/>
    <s v="drssjp.204503@guest.booking.com"/>
    <s v="025185000342"/>
    <x v="2"/>
    <s v=""/>
    <s v="CHECKOUT"/>
    <s v="236"/>
    <s v="4900904542_LDCB1F"/>
    <n v="543600"/>
    <n v="1"/>
  </r>
  <r>
    <s v="196"/>
    <s v="STD-PNL"/>
    <s v="401"/>
    <s v="NguyỄN Trung Anh"/>
    <s v="26/06/24 14:01"/>
    <s v="28/06/24 10:00"/>
    <n v="927484"/>
    <n v="0"/>
    <n v="927484"/>
    <n v="0"/>
    <n v="0"/>
    <n v="0"/>
    <n v="0"/>
    <n v="927484"/>
    <n v="0"/>
    <s v="84981556678"/>
    <s v=""/>
    <s v=""/>
    <x v="2"/>
    <s v=""/>
    <s v="CHECKOUT"/>
    <s v="231"/>
    <s v="HMCMYZREF4_LDCB1F"/>
    <n v="463742"/>
    <n v="2"/>
  </r>
  <r>
    <s v="185"/>
    <s v="SUP-Q-PNL"/>
    <s v="602"/>
    <s v="Đào Xuân Minh"/>
    <s v="27/06/24 14:15"/>
    <s v="28/06/24 10:41"/>
    <n v="500000"/>
    <n v="0"/>
    <n v="500000"/>
    <n v="0"/>
    <n v="0"/>
    <n v="0"/>
    <n v="500000"/>
    <n v="0"/>
    <n v="0"/>
    <s v="0966130458"/>
    <s v=""/>
    <s v=""/>
    <x v="1"/>
    <s v=""/>
    <s v="CHECKOUT"/>
    <s v="217"/>
    <m/>
    <n v="500000"/>
    <n v="1"/>
  </r>
  <r>
    <s v="194"/>
    <s v="DELUXE-PNL"/>
    <s v="703"/>
    <s v="Tâm"/>
    <s v="25/06/24 18:02"/>
    <s v="28/06/24 10:53"/>
    <n v="0"/>
    <n v="0"/>
    <n v="0"/>
    <n v="0"/>
    <n v="0"/>
    <n v="0"/>
    <n v="0"/>
    <n v="0"/>
    <n v="0"/>
    <m/>
    <m/>
    <m/>
    <x v="0"/>
    <s v=""/>
    <s v="CHECKOUT"/>
    <s v="229"/>
    <m/>
    <n v="0"/>
    <n v="3"/>
  </r>
  <r>
    <s v="193"/>
    <s v="STD-PNL"/>
    <s v="201"/>
    <s v="Dương Thị Tuyết Trinh"/>
    <s v="27/06/24 18:18"/>
    <s v="28/06/24 10:55"/>
    <n v="495000"/>
    <n v="150000"/>
    <n v="645000"/>
    <n v="0"/>
    <n v="150000"/>
    <n v="0"/>
    <n v="495000"/>
    <n v="0"/>
    <n v="0"/>
    <s v="0962433318"/>
    <s v=""/>
    <s v="001193046276"/>
    <x v="1"/>
    <s v=""/>
    <s v="CHECKOUT"/>
    <s v="228"/>
    <m/>
    <n v="495000"/>
    <n v="1"/>
  </r>
  <r>
    <s v="193"/>
    <s v="SUP-PNL"/>
    <s v="302"/>
    <s v="Phùng Tuấn Tú"/>
    <s v="27/06/24 18:18"/>
    <s v="28/06/24 10:55"/>
    <n v="495000"/>
    <n v="0"/>
    <n v="495000"/>
    <n v="0"/>
    <n v="0"/>
    <n v="0"/>
    <n v="495000"/>
    <n v="0"/>
    <n v="0"/>
    <s v="0962433318"/>
    <s v=""/>
    <s v="001088039378"/>
    <x v="1"/>
    <s v=""/>
    <s v="CHECKOUT"/>
    <s v="227"/>
    <m/>
    <n v="495000"/>
    <n v="1"/>
  </r>
  <r>
    <s v="198"/>
    <s v="SUP-PNL"/>
    <s v="102"/>
    <s v="TRƯƠNG THỊ NGỌC LAN"/>
    <s v="27/06/24 14:22"/>
    <s v="28/06/24 11:00"/>
    <n v="495000"/>
    <n v="0"/>
    <n v="495000"/>
    <n v="0"/>
    <n v="295000"/>
    <n v="0"/>
    <n v="200000"/>
    <n v="0"/>
    <n v="0"/>
    <s v="0984015751"/>
    <s v=""/>
    <s v="077176001274"/>
    <x v="1"/>
    <s v=""/>
    <s v="CHECKOUT"/>
    <s v="233"/>
    <m/>
    <n v="495000"/>
    <n v="1"/>
  </r>
  <r>
    <s v="208"/>
    <s v="DELUXE-PNL"/>
    <s v="103"/>
    <s v="TRƯƠNG THỊ NGỌC LAN"/>
    <s v="28/06/24 13:41"/>
    <s v="29/06/24 08:58"/>
    <n v="550000"/>
    <n v="0"/>
    <n v="550000"/>
    <n v="0"/>
    <n v="550000"/>
    <n v="0"/>
    <n v="0"/>
    <n v="0"/>
    <n v="0"/>
    <s v="0984015751"/>
    <s v=""/>
    <s v="077176001274"/>
    <x v="1"/>
    <s v=""/>
    <s v="CHECKOUT"/>
    <s v="245"/>
    <m/>
    <n v="550000"/>
    <n v="1"/>
  </r>
  <r>
    <s v="209"/>
    <s v="SUP-Q-PNL"/>
    <s v="502"/>
    <s v="Guest"/>
    <s v="28/06/24 19:17"/>
    <s v="29/06/24 08:59"/>
    <n v="350000"/>
    <n v="0"/>
    <n v="350000"/>
    <n v="0"/>
    <n v="350000"/>
    <n v="0"/>
    <n v="0"/>
    <n v="0"/>
    <n v="0"/>
    <m/>
    <m/>
    <m/>
    <x v="1"/>
    <s v=""/>
    <s v="CHECKOUT"/>
    <s v="246"/>
    <m/>
    <n v="350000"/>
    <n v="1"/>
  </r>
  <r>
    <s v="204"/>
    <s v="SUP-PNL"/>
    <s v="402"/>
    <s v="KAWASAKI DAISUKE"/>
    <s v="27/06/24 14:15"/>
    <s v="29/06/24 11:00"/>
    <n v="1132560"/>
    <n v="0"/>
    <n v="1132560"/>
    <n v="0"/>
    <n v="0"/>
    <n v="0"/>
    <n v="0"/>
    <n v="1132560"/>
    <n v="0"/>
    <s v="84 09091386998"/>
    <s v=""/>
    <s v="TR8462771"/>
    <x v="2"/>
    <s v=""/>
    <s v="CHECKOUT"/>
    <s v="239"/>
    <s v="1278993916_LDCB1F"/>
    <n v="566280"/>
    <n v="2"/>
  </r>
  <r>
    <s v="210"/>
    <s v="SUP-Q-PNL"/>
    <s v="602"/>
    <s v="Tâm"/>
    <s v="28/06/24 20:52"/>
    <s v="29/06/24 11:00"/>
    <n v="629000"/>
    <n v="0"/>
    <n v="629000"/>
    <n v="0"/>
    <n v="329000"/>
    <n v="0"/>
    <n v="300000"/>
    <n v="0"/>
    <n v="0"/>
    <m/>
    <m/>
    <m/>
    <x v="1"/>
    <s v=""/>
    <s v="CHECKOUT"/>
    <s v="247"/>
    <m/>
    <n v="629000"/>
    <n v="1"/>
  </r>
  <r>
    <s v="205"/>
    <s v="DELUXE-PNL"/>
    <s v="503"/>
    <s v="Nguyễn Việt Hùng"/>
    <s v="27/06/24 18:38"/>
    <s v="30/06/24 09:49"/>
    <n v="2025000"/>
    <n v="0"/>
    <n v="2025000"/>
    <n v="0"/>
    <n v="1350000"/>
    <n v="0"/>
    <n v="675000"/>
    <n v="0"/>
    <n v="0"/>
    <s v="0904381899"/>
    <s v=""/>
    <s v="031091010954"/>
    <x v="1"/>
    <s v=""/>
    <s v="CHECKOUT"/>
    <s v="240"/>
    <m/>
    <n v="675000"/>
    <n v="3"/>
  </r>
  <r>
    <s v="215"/>
    <s v="SUP-PNL"/>
    <s v="402"/>
    <s v="ĐINH XUÂN THÀNH"/>
    <s v="29/06/24 15:00"/>
    <s v="30/06/24 09:49"/>
    <n v="400000"/>
    <n v="0"/>
    <n v="400000"/>
    <n v="0"/>
    <n v="400000"/>
    <n v="0"/>
    <n v="0"/>
    <n v="0"/>
    <n v="0"/>
    <s v=""/>
    <s v=""/>
    <s v="042076022631"/>
    <x v="1"/>
    <s v=""/>
    <s v="CHECKOUT"/>
    <s v="253"/>
    <m/>
    <n v="400000"/>
    <n v="1"/>
  </r>
  <r>
    <s v="212"/>
    <s v="SUP-PNL"/>
    <s v="102"/>
    <s v="VŨ THANH DUNG"/>
    <s v="29/06/24 14:20"/>
    <s v="30/06/24 10:42"/>
    <n v="585000"/>
    <n v="0"/>
    <n v="585000"/>
    <n v="0"/>
    <n v="0"/>
    <n v="0"/>
    <n v="585000"/>
    <n v="0"/>
    <n v="0"/>
    <s v="0902343904"/>
    <s v=""/>
    <s v="001188009408"/>
    <x v="1"/>
    <s v=""/>
    <s v="CHECKOUT"/>
    <s v="249"/>
    <m/>
    <n v="585000"/>
    <n v="1"/>
  </r>
  <r>
    <s v="203"/>
    <s v="STD-PNL"/>
    <s v="401"/>
    <s v="Trương Minh Nhựt"/>
    <s v="29/06/24 05:22"/>
    <s v="30/06/24 11:00"/>
    <n v="875600"/>
    <n v="0"/>
    <n v="875600"/>
    <n v="0"/>
    <n v="350000"/>
    <n v="0"/>
    <n v="0"/>
    <n v="525600"/>
    <n v="0"/>
    <s v="0879690555"/>
    <s v=""/>
    <s v="068089007693"/>
    <x v="2"/>
    <s v=""/>
    <s v="CHECKOUT"/>
    <s v="238"/>
    <s v="1278936880_LDCB1F"/>
    <n v="875600"/>
    <n v="1"/>
  </r>
  <r>
    <s v="153"/>
    <s v="SUP-PNL"/>
    <s v="302"/>
    <s v="davies Isaac"/>
    <s v="28/06/24 20:46"/>
    <s v="30/06/24 11:00"/>
    <n v="1424160"/>
    <n v="0"/>
    <n v="1424160"/>
    <n v="0"/>
    <n v="0"/>
    <n v="0"/>
    <n v="0"/>
    <n v="1424160"/>
    <n v="0"/>
    <s v="+44 7712 200914"/>
    <s v="idavie.904687@guest.booking.com"/>
    <s v=""/>
    <x v="2"/>
    <s v=""/>
    <s v="CHECKOUT"/>
    <s v="243"/>
    <s v="4331323223_LDCB1F"/>
    <n v="712080"/>
    <n v="2"/>
  </r>
  <r>
    <s v="211"/>
    <s v="DELUXE-PNL"/>
    <s v="303"/>
    <s v="CAO THỊ MINH PHƯƠNG"/>
    <s v="29/06/24 13:33"/>
    <s v="30/06/24 11:00"/>
    <n v="850000"/>
    <n v="0"/>
    <n v="850000"/>
    <n v="0"/>
    <n v="400000"/>
    <n v="0"/>
    <n v="450000"/>
    <n v="0"/>
    <n v="0"/>
    <s v="0977292212"/>
    <s v=""/>
    <s v="072191004457"/>
    <x v="1"/>
    <s v=""/>
    <s v="CHECKOUT"/>
    <s v="248"/>
    <m/>
    <n v="850000"/>
    <n v="1"/>
  </r>
  <r>
    <s v="220"/>
    <s v="SUP-Q-PNL"/>
    <s v="602"/>
    <s v="Xuyên"/>
    <s v="30/06/24 15:07"/>
    <s v="01/07/24 08:31"/>
    <n v="300000"/>
    <n v="0"/>
    <n v="300000"/>
    <n v="0"/>
    <n v="300000"/>
    <n v="0"/>
    <n v="0"/>
    <n v="0"/>
    <n v="0"/>
    <s v="0904902275"/>
    <m/>
    <m/>
    <x v="1"/>
    <s v=""/>
    <s v="CHECKOUT"/>
    <s v="263"/>
    <m/>
    <n v="300000"/>
    <n v="1"/>
  </r>
  <r>
    <s v="170"/>
    <s v="DELUXE-PNL"/>
    <s v="403"/>
    <s v="ELLIS KRISHIA PAULINE"/>
    <s v="29/06/24 15:18"/>
    <s v="01/07/24 08:33"/>
    <n v="1415732"/>
    <n v="0"/>
    <n v="1415732"/>
    <n v="0"/>
    <n v="0"/>
    <n v="0"/>
    <n v="0"/>
    <n v="1415732"/>
    <n v="0"/>
    <s v="639268983265"/>
    <s v=""/>
    <s v="P7949151B"/>
    <x v="2"/>
    <s v=""/>
    <s v="CHECKOUT"/>
    <s v="201"/>
    <s v="HMJEEE92HS_LDCB1F"/>
    <n v="707866"/>
    <n v="2"/>
  </r>
  <r>
    <s v="168"/>
    <s v="STD-PNL"/>
    <s v="401"/>
    <s v="Thu Hang Le"/>
    <s v="30/06/24 13:45"/>
    <s v="01/07/24 09:31"/>
    <n v="494000"/>
    <n v="200000"/>
    <n v="694000"/>
    <n v="0"/>
    <n v="0"/>
    <n v="0"/>
    <n v="500000"/>
    <n v="194000"/>
    <n v="0"/>
    <m/>
    <m/>
    <m/>
    <x v="1"/>
    <s v=""/>
    <s v="CHECKOUT"/>
    <s v="199"/>
    <m/>
    <n v="494000"/>
    <n v="1"/>
  </r>
  <r>
    <s v="218"/>
    <s v="SUP-Q-PNL"/>
    <s v="502"/>
    <s v="Son Jongjeong"/>
    <s v="29/06/24 20:46"/>
    <s v="01/07/24 11:00"/>
    <n v="1260000"/>
    <n v="0"/>
    <n v="1260000"/>
    <n v="0"/>
    <n v="0"/>
    <n v="0"/>
    <n v="0"/>
    <n v="1260000"/>
    <n v="0"/>
    <s v=""/>
    <s v=""/>
    <s v="M116X0400"/>
    <x v="1"/>
    <s v=""/>
    <s v="CHECKOUT"/>
    <s v="256"/>
    <m/>
    <n v="630000"/>
    <n v="2"/>
  </r>
  <r>
    <s v="221"/>
    <s v="SUP-PNL"/>
    <s v="402"/>
    <s v="HOÀNG THỊ CẨM TÚ"/>
    <s v="30/06/24 19:55"/>
    <s v="01/07/24 11:00"/>
    <n v="1000000"/>
    <n v="0"/>
    <n v="1000000"/>
    <n v="0"/>
    <n v="1000000"/>
    <n v="0"/>
    <n v="0"/>
    <n v="0"/>
    <n v="0"/>
    <s v="0988322553"/>
    <s v=""/>
    <s v="051196005504"/>
    <x v="1"/>
    <s v=""/>
    <s v="CHECKOUT"/>
    <s v="264"/>
    <m/>
    <n v="1000000"/>
    <n v="1"/>
  </r>
  <r>
    <s v="213"/>
    <s v="DELUXE-PNL"/>
    <s v="503"/>
    <s v="Gurmukh Arora"/>
    <s v="30/06/24 14:23"/>
    <s v="02/07/24 10:51"/>
    <n v="1400000"/>
    <n v="0"/>
    <n v="1400000"/>
    <n v="0"/>
    <n v="1400000"/>
    <n v="0"/>
    <n v="0"/>
    <n v="0"/>
    <n v="0"/>
    <m/>
    <m/>
    <m/>
    <x v="1"/>
    <s v=""/>
    <s v="CHECKOUT"/>
    <s v="250"/>
    <m/>
    <n v="700000"/>
    <n v="2"/>
  </r>
  <r>
    <s v="213"/>
    <s v="DELUXE-PNL"/>
    <s v="303"/>
    <s v="Guest"/>
    <s v="30/06/24 14:23"/>
    <s v="02/07/24 10:51"/>
    <n v="1400000"/>
    <n v="0"/>
    <n v="1400000"/>
    <n v="0"/>
    <n v="1400000"/>
    <n v="0"/>
    <n v="0"/>
    <n v="0"/>
    <n v="0"/>
    <m/>
    <m/>
    <m/>
    <x v="1"/>
    <s v=""/>
    <s v="CHECKOUT"/>
    <s v="251"/>
    <m/>
    <n v="700000"/>
    <n v="2"/>
  </r>
  <r>
    <s v="225"/>
    <s v="SUP-Q-PNL"/>
    <s v="602"/>
    <s v="Son Jongjeong"/>
    <s v="01/07/24 21:00"/>
    <s v="02/07/24 11:00"/>
    <n v="585000"/>
    <n v="0"/>
    <n v="585000"/>
    <n v="0"/>
    <n v="0"/>
    <n v="0"/>
    <n v="0"/>
    <n v="585000"/>
    <n v="0"/>
    <s v=""/>
    <s v=""/>
    <s v="M116X0400"/>
    <x v="1"/>
    <s v=""/>
    <s v="CHECKOUT"/>
    <s v="275"/>
    <m/>
    <n v="585000"/>
    <n v="1"/>
  </r>
  <r>
    <s v="214"/>
    <s v="DELUXE-PNL"/>
    <s v="203"/>
    <s v="Salman alrusayni"/>
    <s v="29/06/24 21:08"/>
    <s v="02/07/24 11:26"/>
    <n v="2797000"/>
    <n v="160000"/>
    <n v="2677300"/>
    <n v="0"/>
    <n v="160000"/>
    <n v="0"/>
    <n v="0"/>
    <n v="2517300"/>
    <n v="0"/>
    <s v="+966591256666"/>
    <s v="Salman-997@hotmail.com"/>
    <s v="V324223"/>
    <x v="2"/>
    <s v=""/>
    <s v="CHECKOUT"/>
    <s v="252"/>
    <s v="44659463087"/>
    <n v="932333.33330000006"/>
    <n v="3"/>
  </r>
  <r>
    <s v="131"/>
    <s v="SUP-PNL"/>
    <s v="402"/>
    <s v="Guest"/>
    <s v="01/07/24 15:01"/>
    <s v="03/07/24 08:50"/>
    <n v="997492"/>
    <n v="0"/>
    <n v="997492"/>
    <n v="0"/>
    <n v="0"/>
    <n v="0"/>
    <n v="0"/>
    <n v="997492"/>
    <n v="0"/>
    <m/>
    <m/>
    <m/>
    <x v="5"/>
    <s v=""/>
    <s v="CHECKOUT"/>
    <s v="154"/>
    <m/>
    <n v="498746"/>
    <n v="2"/>
  </r>
  <r>
    <s v="131"/>
    <s v="SUP-PNL"/>
    <s v="102"/>
    <s v="Guest"/>
    <s v="01/07/24 14:42"/>
    <s v="03/07/24 10:29"/>
    <n v="997492"/>
    <n v="0"/>
    <n v="997492"/>
    <n v="0"/>
    <n v="0"/>
    <n v="0"/>
    <n v="0"/>
    <n v="997492"/>
    <n v="0"/>
    <m/>
    <m/>
    <m/>
    <x v="5"/>
    <s v=""/>
    <s v="CHECKOUT"/>
    <s v="153"/>
    <m/>
    <n v="498746"/>
    <n v="2"/>
  </r>
  <r>
    <s v="131"/>
    <s v="SUP-Q-PNL"/>
    <s v="502"/>
    <s v="Yk Ho"/>
    <s v="01/07/24 15:01"/>
    <s v="03/07/24 10:29"/>
    <n v="997492"/>
    <n v="0"/>
    <n v="997492"/>
    <n v="0"/>
    <n v="0"/>
    <n v="0"/>
    <n v="0"/>
    <n v="997492"/>
    <n v="0"/>
    <m/>
    <m/>
    <m/>
    <x v="5"/>
    <s v=""/>
    <s v="CHECKOUT"/>
    <s v="152"/>
    <m/>
    <n v="498746"/>
    <n v="2"/>
  </r>
  <r>
    <s v="125"/>
    <s v="STD-PNL"/>
    <s v="201"/>
    <s v="Lua Mui Joo"/>
    <s v="29/06/24 19:19"/>
    <s v="03/07/24 10:44"/>
    <n v="1860480"/>
    <n v="0"/>
    <n v="1860480"/>
    <n v="0"/>
    <n v="0"/>
    <n v="0"/>
    <n v="0"/>
    <n v="1860480"/>
    <n v="0"/>
    <s v=""/>
    <s v=""/>
    <s v="K4061493G"/>
    <x v="2"/>
    <s v=""/>
    <s v="CHECKOUT"/>
    <s v="145"/>
    <s v="1296342421_LDCB1F"/>
    <n v="465120"/>
    <n v="4"/>
  </r>
  <r>
    <s v="230"/>
    <s v="STD-PNL"/>
    <s v="101"/>
    <s v="NGUYỄN THỊ THU TRANG"/>
    <s v="02/07/24 21:15"/>
    <s v="03/07/24 10:56"/>
    <n v="495000"/>
    <n v="0"/>
    <n v="495000"/>
    <n v="0"/>
    <n v="0"/>
    <n v="0"/>
    <n v="0"/>
    <n v="495000"/>
    <n v="0"/>
    <s v=""/>
    <s v=""/>
    <s v="079189022405"/>
    <x v="1"/>
    <s v=""/>
    <s v="CHECKOUT"/>
    <s v="280"/>
    <m/>
    <n v="495000"/>
    <n v="1"/>
  </r>
  <r>
    <s v="199"/>
    <s v="SUP-PNL"/>
    <s v="202"/>
    <s v="Chướng A Kiú"/>
    <s v="26/06/24 15:54"/>
    <s v="03/07/24 11:00"/>
    <n v="3465000"/>
    <n v="550000"/>
    <n v="4015000"/>
    <n v="0"/>
    <n v="0"/>
    <n v="0"/>
    <n v="4015000"/>
    <n v="0"/>
    <n v="0"/>
    <s v="0355502348"/>
    <m/>
    <m/>
    <x v="1"/>
    <s v=""/>
    <s v="CHECKOUT"/>
    <s v="234"/>
    <m/>
    <n v="495000"/>
    <n v="7"/>
  </r>
  <r>
    <s v="216"/>
    <s v="SUP-Q-PNL"/>
    <s v="602"/>
    <s v="신 민석"/>
    <s v="02/07/24 14:40"/>
    <s v="03/07/24 11:06"/>
    <n v="463031"/>
    <n v="300000"/>
    <n v="763031"/>
    <n v="0"/>
    <n v="0"/>
    <n v="0"/>
    <n v="0"/>
    <n v="763031"/>
    <n v="0"/>
    <s v="821026641117"/>
    <s v=""/>
    <s v=""/>
    <x v="2"/>
    <s v=""/>
    <s v="CHECKOUT"/>
    <s v="254"/>
    <s v="HMT5MF48Z5_LDCB1F"/>
    <n v="463031"/>
    <n v="1"/>
  </r>
  <r>
    <s v="67"/>
    <s v="MB-PNL"/>
    <s v="MB-PNL"/>
    <s v="mb"/>
    <s v="01/06/24 22:57"/>
    <s v="03/07/24 11:16"/>
    <n v="28021400"/>
    <n v="1484000"/>
    <n v="29505400"/>
    <n v="0"/>
    <n v="0"/>
    <n v="0"/>
    <n v="29505400"/>
    <n v="0"/>
    <n v="0"/>
    <m/>
    <m/>
    <m/>
    <x v="0"/>
    <s v=""/>
    <s v="CHECKOUT"/>
    <s v="74"/>
    <m/>
    <n v="875668.75"/>
    <n v="32"/>
  </r>
  <r>
    <s v="229"/>
    <s v="DELUXE-PNL"/>
    <s v="503"/>
    <s v="Trần Phước Hồng"/>
    <s v="03/07/24 23:36"/>
    <s v="04/07/24 08:42"/>
    <n v="770000"/>
    <n v="0"/>
    <n v="770000"/>
    <n v="0"/>
    <n v="0"/>
    <n v="0"/>
    <n v="770000"/>
    <n v="0"/>
    <n v="0"/>
    <s v="0905222236"/>
    <m/>
    <m/>
    <x v="1"/>
    <s v=""/>
    <s v="CHECKOUT"/>
    <s v="279"/>
    <m/>
    <n v="770000"/>
    <n v="1"/>
  </r>
  <r>
    <s v="179"/>
    <s v="STD-PNL"/>
    <s v="301"/>
    <s v="Lim Teck Chye"/>
    <s v="27/06/24 14:15"/>
    <s v="04/07/24 11:00"/>
    <n v="3600000"/>
    <n v="0"/>
    <n v="3600000"/>
    <n v="0"/>
    <n v="0"/>
    <n v="0"/>
    <n v="3600000"/>
    <n v="0"/>
    <n v="0"/>
    <s v="65 96564188"/>
    <s v=""/>
    <s v="K2482789N"/>
    <x v="1"/>
    <s v=""/>
    <s v="CHECKOUT"/>
    <s v="210"/>
    <m/>
    <n v="514285.71419999999"/>
    <n v="7"/>
  </r>
  <r>
    <s v="222"/>
    <s v="SUP-PNL"/>
    <s v="102"/>
    <s v="Nhi"/>
    <s v="04/07/24 20:34"/>
    <s v="05/07/24 08:25"/>
    <n v="495000"/>
    <n v="0"/>
    <n v="495000"/>
    <n v="0"/>
    <n v="245000"/>
    <n v="0"/>
    <n v="250000"/>
    <n v="0"/>
    <n v="0"/>
    <s v="0367377370"/>
    <s v=""/>
    <s v=""/>
    <x v="1"/>
    <s v=""/>
    <s v="CHECKOUT"/>
    <s v="266"/>
    <m/>
    <n v="495000"/>
    <n v="1"/>
  </r>
  <r>
    <s v="234"/>
    <s v="SUP-Q-PNL"/>
    <s v="502"/>
    <s v="Nguyễn Dự Huy"/>
    <s v="04/07/24 22:55"/>
    <s v="05/07/24 08:25"/>
    <n v="580000"/>
    <n v="0"/>
    <n v="580000"/>
    <n v="0"/>
    <n v="0"/>
    <n v="0"/>
    <n v="580000"/>
    <n v="0"/>
    <n v="0"/>
    <s v="0378 786 941"/>
    <m/>
    <m/>
    <x v="1"/>
    <s v=""/>
    <s v="CHECKOUT"/>
    <s v="285"/>
    <m/>
    <n v="580000"/>
    <n v="1"/>
  </r>
  <r>
    <s v="223"/>
    <s v="DELUXE-PNL"/>
    <s v="403"/>
    <s v="Lâm Thị Tý"/>
    <s v="02/07/24 03:22"/>
    <s v="05/07/24 11:00"/>
    <n v="2400000"/>
    <n v="30000"/>
    <n v="2430000"/>
    <n v="0"/>
    <n v="2430000"/>
    <n v="0"/>
    <n v="0"/>
    <n v="0"/>
    <n v="0"/>
    <s v=""/>
    <s v=""/>
    <s v=""/>
    <x v="1"/>
    <s v=""/>
    <s v="CHECKOUT"/>
    <s v="267"/>
    <m/>
    <n v="800000"/>
    <n v="3"/>
  </r>
  <r>
    <s v="238"/>
    <s v="SUP-PNL"/>
    <s v="402"/>
    <s v="Phạm Minh Tuấn"/>
    <s v="04/07/24 03:00"/>
    <s v="05/07/24 11:00"/>
    <n v="1200000"/>
    <n v="0"/>
    <n v="1200000"/>
    <n v="0"/>
    <n v="1200000"/>
    <n v="0"/>
    <n v="0"/>
    <n v="0"/>
    <n v="0"/>
    <s v=""/>
    <s v=""/>
    <s v=""/>
    <x v="1"/>
    <s v=""/>
    <s v="CHECKOUT"/>
    <s v="289"/>
    <m/>
    <n v="1200000"/>
    <n v="1"/>
  </r>
  <r>
    <s v="174"/>
    <s v="STD-PNL"/>
    <s v="601"/>
    <s v="Scott Adam"/>
    <s v="22/06/24 22:57"/>
    <s v="05/07/24 11:27"/>
    <n v="5691600"/>
    <n v="0"/>
    <n v="5691600"/>
    <n v="0"/>
    <n v="0"/>
    <n v="0"/>
    <n v="0"/>
    <n v="5691600"/>
    <n v="0"/>
    <s v="442036847925"/>
    <s v=""/>
    <s v=""/>
    <x v="2"/>
    <s v=""/>
    <s v="CHECKOUT"/>
    <s v="205"/>
    <s v="444225695_LDCB1F"/>
    <n v="437815.38459999999"/>
    <n v="13"/>
  </r>
  <r>
    <s v="245"/>
    <s v="SUP-Q-PNL"/>
    <s v="602"/>
    <s v="đường"/>
    <s v="05/07/24 12:33"/>
    <s v="05/07/24 16:14"/>
    <n v="430000"/>
    <n v="0"/>
    <n v="430000"/>
    <n v="0"/>
    <n v="430000"/>
    <n v="0"/>
    <n v="0"/>
    <n v="0"/>
    <n v="0"/>
    <m/>
    <m/>
    <m/>
    <x v="1"/>
    <s v=""/>
    <s v="CHECKOUT"/>
    <s v="296"/>
    <m/>
    <n v="430000"/>
    <n v="1"/>
  </r>
  <r>
    <s v="206"/>
    <s v="STD-PNL"/>
    <s v="201"/>
    <s v="Guest"/>
    <s v="03/07/24 15:26"/>
    <s v="06/07/24 08:30"/>
    <n v="1485000"/>
    <n v="0"/>
    <n v="1485000"/>
    <n v="0"/>
    <n v="1485000"/>
    <n v="0"/>
    <n v="0"/>
    <n v="0"/>
    <n v="0"/>
    <m/>
    <m/>
    <m/>
    <x v="1"/>
    <s v=""/>
    <s v="CHECKOUT"/>
    <s v="242"/>
    <m/>
    <n v="495000"/>
    <n v="3"/>
  </r>
  <r>
    <s v="206"/>
    <s v="SUP-PNL"/>
    <s v="202"/>
    <s v="Phạm Thị Bích Hà"/>
    <s v="03/07/24 15:26"/>
    <s v="06/07/24 08:30"/>
    <n v="1485000"/>
    <n v="110000"/>
    <n v="1595000"/>
    <n v="0"/>
    <n v="1095000"/>
    <n v="0"/>
    <n v="500000"/>
    <n v="0"/>
    <n v="0"/>
    <s v="0987800062"/>
    <s v=""/>
    <s v=""/>
    <x v="1"/>
    <s v=""/>
    <s v="CHECKOUT"/>
    <s v="241"/>
    <m/>
    <n v="495000"/>
    <n v="3"/>
  </r>
  <r>
    <s v="249"/>
    <s v="DELUXE-PNL"/>
    <s v="403"/>
    <s v="Nguyễn Thị Kim Yến"/>
    <s v="05/07/24 23:26"/>
    <s v="06/07/24 09:43"/>
    <n v="899000"/>
    <n v="0"/>
    <n v="899000"/>
    <n v="0"/>
    <n v="0"/>
    <n v="0"/>
    <n v="899000"/>
    <n v="0"/>
    <n v="0"/>
    <s v="0373988200"/>
    <s v=""/>
    <s v="082300011635"/>
    <x v="1"/>
    <s v=""/>
    <s v="CHECKOUT"/>
    <s v="300"/>
    <m/>
    <n v="899000"/>
    <n v="1"/>
  </r>
  <r>
    <s v="231"/>
    <s v="STD-PNL"/>
    <s v="301"/>
    <s v=" NGUYEN THI HONG LIEU"/>
    <s v="04/07/24 15:44"/>
    <s v="06/07/24 09:54"/>
    <n v="1198000"/>
    <n v="0"/>
    <n v="1078200"/>
    <n v="0"/>
    <n v="0"/>
    <n v="0"/>
    <n v="1078200"/>
    <n v="0"/>
    <n v="0"/>
    <s v="+84905969608"/>
    <s v="nguyenhonglieu192@gmail.com"/>
    <s v="215193929"/>
    <x v="1"/>
    <s v=""/>
    <s v="CHECKOUT"/>
    <s v="281"/>
    <s v="35144080773"/>
    <n v="599000"/>
    <n v="2"/>
  </r>
  <r>
    <s v="236"/>
    <s v="DELUXE-PNL"/>
    <s v="203"/>
    <s v=" Hiền"/>
    <s v="05/07/24 16:32"/>
    <s v="06/07/24 09:55"/>
    <n v="649000"/>
    <n v="0"/>
    <n v="584100"/>
    <n v="0"/>
    <n v="0"/>
    <n v="0"/>
    <n v="584100"/>
    <n v="0"/>
    <n v="0"/>
    <s v="+84965363510"/>
    <s v="lehonghien255@gmail.com"/>
    <s v="079302017539"/>
    <x v="1"/>
    <s v=""/>
    <s v="CHECKOUT"/>
    <s v="287"/>
    <s v="13300773659"/>
    <n v="649000"/>
    <n v="1"/>
  </r>
  <r>
    <s v="227"/>
    <s v="SUP-Q-PNL"/>
    <s v="502"/>
    <s v="Hồ Thanh Cường"/>
    <s v="05/07/24 23:22"/>
    <s v="06/07/24 10:39"/>
    <n v="674100"/>
    <n v="0"/>
    <n v="674100"/>
    <n v="0"/>
    <n v="0"/>
    <n v="0"/>
    <n v="674100"/>
    <n v="0"/>
    <n v="0"/>
    <s v="0915256825"/>
    <s v=""/>
    <s v="087088001468"/>
    <x v="1"/>
    <s v=""/>
    <s v="CHECKOUT"/>
    <s v="277"/>
    <m/>
    <n v="674100"/>
    <n v="1"/>
  </r>
  <r>
    <s v="248"/>
    <s v="SUP-Q-PNL"/>
    <s v="702"/>
    <s v=" Hoàng Nhật Quân"/>
    <s v="06/07/24 02:07"/>
    <s v="06/07/24 12:03"/>
    <n v="649000"/>
    <n v="0"/>
    <n v="584100"/>
    <n v="0"/>
    <n v="0"/>
    <n v="0"/>
    <n v="584100"/>
    <n v="0"/>
    <n v="0"/>
    <s v="+84332460792"/>
    <s v="quan.hoang882002@gmail.com"/>
    <s v=""/>
    <x v="2"/>
    <s v=""/>
    <s v="CHECKOUT"/>
    <s v="299"/>
    <s v="89283296138"/>
    <n v="649000"/>
    <n v="1"/>
  </r>
  <r>
    <s v="252"/>
    <s v="DELUXE-PNL"/>
    <s v="403"/>
    <s v="Guest"/>
    <s v="06/07/24 15:36"/>
    <s v="06/07/24 15:39"/>
    <n v="400000"/>
    <n v="0"/>
    <n v="400000"/>
    <n v="0"/>
    <n v="400000"/>
    <n v="0"/>
    <n v="0"/>
    <n v="0"/>
    <n v="0"/>
    <m/>
    <m/>
    <m/>
    <x v="1"/>
    <s v=""/>
    <s v="CHECKOUT"/>
    <s v="303"/>
    <m/>
    <n v="400000"/>
    <n v="1"/>
  </r>
  <r>
    <s v="250"/>
    <s v="SUP-PNL"/>
    <s v="202"/>
    <s v="Nguyễn Trạm"/>
    <s v="06/07/24 12:24"/>
    <s v="07/07/24 09:10"/>
    <n v="580000"/>
    <n v="0"/>
    <n v="580000"/>
    <n v="0"/>
    <n v="0"/>
    <n v="0"/>
    <n v="580000"/>
    <n v="0"/>
    <n v="0"/>
    <s v="0987777428"/>
    <s v=""/>
    <s v=""/>
    <x v="1"/>
    <s v=""/>
    <s v="CHECKOUT"/>
    <s v="301"/>
    <m/>
    <n v="580000"/>
    <n v="1"/>
  </r>
  <r>
    <s v="240"/>
    <s v="SUP-Q-PNL"/>
    <s v="602"/>
    <s v="Triệu Duy"/>
    <s v="06/07/24 13:53"/>
    <s v="07/07/24 09:57"/>
    <n v="570000"/>
    <n v="0"/>
    <n v="570000"/>
    <n v="0"/>
    <n v="0"/>
    <n v="0"/>
    <n v="570000"/>
    <n v="0"/>
    <n v="0"/>
    <s v="0933467725"/>
    <s v=""/>
    <s v=""/>
    <x v="1"/>
    <s v=""/>
    <s v="CHECKOUT"/>
    <s v="291"/>
    <m/>
    <n v="570000"/>
    <n v="1"/>
  </r>
  <r>
    <s v="244"/>
    <s v="STD-PNL"/>
    <s v="201"/>
    <s v="Sinaga Liyana Yasmin"/>
    <s v="06/07/24 12:24"/>
    <s v="07/07/24 10:02"/>
    <n v="494712"/>
    <n v="0"/>
    <n v="494712"/>
    <n v="0"/>
    <n v="0"/>
    <n v="0"/>
    <n v="0"/>
    <n v="494712"/>
    <n v="0"/>
    <s v="60 60193383942"/>
    <s v=""/>
    <s v=""/>
    <x v="2"/>
    <s v=""/>
    <s v="CHECKOUT"/>
    <s v="295"/>
    <s v="1317351789_LDCB1F"/>
    <n v="494712"/>
    <n v="1"/>
  </r>
  <r>
    <s v="251"/>
    <s v="DELUXE-PNL"/>
    <s v="203"/>
    <s v="Hoang Hien"/>
    <s v="06/07/24 12:47"/>
    <s v="07/07/24 10:32"/>
    <n v="490000"/>
    <n v="0"/>
    <n v="490000"/>
    <n v="0"/>
    <n v="490000"/>
    <n v="0"/>
    <n v="0"/>
    <n v="0"/>
    <n v="0"/>
    <s v=""/>
    <s v=""/>
    <s v=""/>
    <x v="1"/>
    <s v=""/>
    <s v="CHECKOUT"/>
    <s v="302"/>
    <m/>
    <n v="490000"/>
    <n v="1"/>
  </r>
  <r>
    <s v="246"/>
    <s v="SUP-Q-PNL"/>
    <s v="502"/>
    <s v="Quỳnh Mai"/>
    <s v="06/07/24 12:47"/>
    <s v="07/07/24 10:56"/>
    <n v="650000"/>
    <n v="15000"/>
    <n v="665000"/>
    <n v="0"/>
    <n v="15000"/>
    <n v="0"/>
    <n v="650000"/>
    <n v="0"/>
    <n v="0"/>
    <s v="0938 818 552"/>
    <s v=""/>
    <s v=""/>
    <x v="1"/>
    <s v=""/>
    <s v="CHECKOUT"/>
    <s v="297"/>
    <m/>
    <n v="650000"/>
    <n v="1"/>
  </r>
  <r>
    <s v="255"/>
    <s v="SUP-Q-PNL"/>
    <s v="702"/>
    <s v="Phạm Nguyên Khánh Trình"/>
    <s v="07/07/24 02:07"/>
    <s v="07/07/24 11:00"/>
    <n v="801144"/>
    <n v="0"/>
    <n v="801144"/>
    <n v="0"/>
    <n v="0"/>
    <n v="0"/>
    <n v="801144"/>
    <n v="0"/>
    <n v="0"/>
    <s v="+84 797 206 833"/>
    <s v="tpham.970046@guest.booking.com"/>
    <s v="074095001989"/>
    <x v="2"/>
    <s v=""/>
    <s v="CHECKOUT"/>
    <s v="306"/>
    <s v="4813482297_LDCB1F"/>
    <n v="801144"/>
    <n v="1"/>
  </r>
  <r>
    <s v="241"/>
    <s v="SUP-PNL"/>
    <s v="102"/>
    <s v="Trọng Đỗ"/>
    <s v="05/07/24 13:39"/>
    <s v="07/07/24 12:01"/>
    <n v="1070000"/>
    <n v="29000"/>
    <n v="1099000"/>
    <n v="0"/>
    <n v="0"/>
    <n v="0"/>
    <n v="1099000"/>
    <n v="0"/>
    <n v="0"/>
    <s v=""/>
    <s v=""/>
    <s v=""/>
    <x v="1"/>
    <s v=""/>
    <s v="CHECKOUT"/>
    <s v="292"/>
    <m/>
    <n v="535000"/>
    <n v="2"/>
  </r>
  <r>
    <s v="187"/>
    <s v="STD-PNL"/>
    <s v="501"/>
    <s v="ĐỖ THÚY OANH"/>
    <s v="25/06/24 15:08"/>
    <s v="07/07/24 14:00"/>
    <n v="6180000"/>
    <n v="440000"/>
    <n v="6620000"/>
    <n v="0"/>
    <n v="6620000"/>
    <n v="0"/>
    <n v="0"/>
    <n v="0"/>
    <n v="0"/>
    <s v="0902343904"/>
    <s v=""/>
    <s v="079172028486"/>
    <x v="1"/>
    <s v=""/>
    <s v="CHECKOUT"/>
    <s v="219"/>
    <m/>
    <n v="515000"/>
    <n v="12"/>
  </r>
  <r>
    <s v="256"/>
    <s v="STD-PNL"/>
    <s v="201"/>
    <s v="Được"/>
    <s v="07/07/24 12:44"/>
    <s v="07/07/24 16:44"/>
    <n v="470000"/>
    <n v="30000"/>
    <n v="500000"/>
    <n v="0"/>
    <n v="500000"/>
    <n v="0"/>
    <n v="0"/>
    <n v="0"/>
    <n v="0"/>
    <m/>
    <m/>
    <m/>
    <x v="1"/>
    <s v=""/>
    <s v="CHECKOUT"/>
    <s v="307"/>
    <m/>
    <n v="470000"/>
    <n v="1"/>
  </r>
  <r>
    <s v="239"/>
    <s v="DELUXE-PNL"/>
    <s v="703"/>
    <s v="Tâm"/>
    <s v="04/07/24 10:07"/>
    <s v="08/07/24 00:10"/>
    <n v="0"/>
    <n v="0"/>
    <n v="0"/>
    <n v="0"/>
    <n v="0"/>
    <n v="0"/>
    <n v="0"/>
    <n v="0"/>
    <n v="0"/>
    <m/>
    <m/>
    <m/>
    <x v="0"/>
    <s v=""/>
    <s v="CHECKOUT"/>
    <s v="290"/>
    <m/>
    <n v="0"/>
    <n v="4"/>
  </r>
  <r>
    <s v="237"/>
    <s v="STD-PNL"/>
    <s v="101"/>
    <s v="Trần Quốc Hưng"/>
    <s v="05/07/24 22:18"/>
    <s v="08/07/24 08:26"/>
    <n v="1665000"/>
    <n v="30000"/>
    <n v="1695000"/>
    <n v="0"/>
    <n v="30000"/>
    <n v="0"/>
    <n v="1665000"/>
    <n v="0"/>
    <n v="0"/>
    <s v="0868892598"/>
    <s v=""/>
    <s v="036090015302"/>
    <x v="1"/>
    <s v=""/>
    <s v="CHECKOUT"/>
    <s v="288"/>
    <m/>
    <n v="555000"/>
    <n v="3"/>
  </r>
  <r>
    <s v="217"/>
    <s v="SUP-PNL"/>
    <s v="302"/>
    <s v="davies Isaac"/>
    <s v="30/06/24 12:31"/>
    <s v="08/07/24 08:34"/>
    <n v="4680000"/>
    <n v="135000"/>
    <n v="4815000"/>
    <n v="0"/>
    <n v="0"/>
    <n v="0"/>
    <n v="0"/>
    <n v="4815000"/>
    <n v="0"/>
    <s v=""/>
    <s v=""/>
    <s v=""/>
    <x v="1"/>
    <s v=""/>
    <s v="CHECKOUT"/>
    <s v="255"/>
    <m/>
    <n v="585000"/>
    <n v="8"/>
  </r>
  <r>
    <s v="253"/>
    <s v="SUP-PNL"/>
    <s v="202"/>
    <s v="Trần Lê Nhất Linh"/>
    <s v="07/07/24 15:15"/>
    <s v="08/07/24 11:15"/>
    <n v="549000"/>
    <n v="215000"/>
    <n v="710000"/>
    <n v="0"/>
    <n v="215000"/>
    <n v="0"/>
    <n v="495000"/>
    <n v="0"/>
    <n v="0"/>
    <s v="+84769572075"/>
    <s v="tlnhatlinh146@gmail.com"/>
    <s v=""/>
    <x v="1"/>
    <s v=""/>
    <s v="CHECKOUT"/>
    <s v="304"/>
    <s v="71058119969"/>
    <n v="549000"/>
    <n v="1"/>
  </r>
  <r>
    <s v="247"/>
    <s v="DELUXE-PNL"/>
    <s v="503"/>
    <s v="Fu Yu Tan"/>
    <s v="05/07/24 16:16"/>
    <s v="08/07/24 11:25"/>
    <n v="1641960"/>
    <n v="0"/>
    <n v="1641960"/>
    <n v="0"/>
    <n v="0"/>
    <n v="0"/>
    <n v="0"/>
    <n v="1641960"/>
    <n v="0"/>
    <s v="65 87502462"/>
    <s v=""/>
    <s v=""/>
    <x v="2"/>
    <s v=""/>
    <s v="CHECKOUT"/>
    <s v="298"/>
    <s v="1288367792_LDCB1F"/>
    <n v="547320"/>
    <n v="3"/>
  </r>
  <r>
    <s v="260"/>
    <s v="SUP-Q-PNL"/>
    <s v="502"/>
    <s v="đường"/>
    <s v="08/07/24 12:45"/>
    <s v="08/07/24 14:00"/>
    <n v="350000"/>
    <n v="0"/>
    <n v="350000"/>
    <n v="0"/>
    <n v="350000"/>
    <n v="0"/>
    <n v="0"/>
    <n v="0"/>
    <n v="0"/>
    <m/>
    <m/>
    <m/>
    <x v="1"/>
    <s v=""/>
    <s v="CHECKOUT"/>
    <s v="312"/>
    <m/>
    <n v="350000"/>
    <n v="1"/>
  </r>
  <r>
    <s v="254"/>
    <s v="STD-PNL"/>
    <s v="301"/>
    <s v="Nguyen Anh Hung"/>
    <s v="07/07/24 14:09"/>
    <s v="09/07/24 08:34"/>
    <n v="988000"/>
    <n v="0"/>
    <n v="988000"/>
    <n v="0"/>
    <n v="0"/>
    <n v="0"/>
    <n v="988000"/>
    <n v="0"/>
    <n v="0"/>
    <s v="0945671983"/>
    <s v=""/>
    <s v=""/>
    <x v="1"/>
    <s v=""/>
    <s v="CHECKOUT"/>
    <s v="305"/>
    <m/>
    <n v="494000"/>
    <n v="2"/>
  </r>
  <r>
    <s v="263"/>
    <s v="DELUXE-PNL"/>
    <s v="503"/>
    <s v="THE HUỲNH THANH LIÊM"/>
    <s v="08/07/24 16:45"/>
    <s v="09/07/24 08:34"/>
    <n v="450000"/>
    <n v="0"/>
    <n v="450000"/>
    <n v="0"/>
    <n v="0"/>
    <n v="0"/>
    <n v="450000"/>
    <n v="0"/>
    <n v="0"/>
    <s v="0902343904"/>
    <s v=""/>
    <s v="079091037026"/>
    <x v="1"/>
    <s v=""/>
    <s v="CHECKOUT"/>
    <s v="316"/>
    <m/>
    <n v="450000"/>
    <n v="1"/>
  </r>
  <r>
    <s v="267"/>
    <s v="DELUXE-PNL"/>
    <s v="503"/>
    <s v="đường"/>
    <s v="09/07/24 15:42"/>
    <s v="09/07/24 15:55"/>
    <n v="350000"/>
    <n v="0"/>
    <n v="350000"/>
    <n v="0"/>
    <n v="350000"/>
    <n v="0"/>
    <n v="0"/>
    <n v="0"/>
    <n v="0"/>
    <m/>
    <m/>
    <m/>
    <x v="1"/>
    <s v=""/>
    <s v="CHECKOUT"/>
    <s v="325"/>
    <m/>
    <n v="350000"/>
    <n v="1"/>
  </r>
  <r>
    <s v="262"/>
    <s v="SUP-PNL"/>
    <s v="302"/>
    <s v="PHẠM THỊ ÁNH QUÝ"/>
    <s v="08/07/24 16:27"/>
    <s v="10/07/24 08:14"/>
    <n v="990000"/>
    <n v="0"/>
    <n v="990000"/>
    <n v="0"/>
    <n v="990000"/>
    <n v="0"/>
    <n v="0"/>
    <n v="0"/>
    <n v="0"/>
    <s v="0868131494"/>
    <s v=""/>
    <s v="056193011283"/>
    <x v="1"/>
    <s v=""/>
    <s v="CHECKOUT"/>
    <s v="315"/>
    <m/>
    <n v="495000"/>
    <n v="2"/>
  </r>
  <r>
    <s v="259"/>
    <s v="SUP-PNL"/>
    <s v="102"/>
    <s v="Guest"/>
    <s v="08/07/24 15:12"/>
    <s v="10/07/24 11:00"/>
    <n v="990000"/>
    <n v="0"/>
    <n v="990000"/>
    <n v="0"/>
    <n v="0"/>
    <n v="0"/>
    <n v="990000"/>
    <n v="0"/>
    <n v="0"/>
    <s v=""/>
    <s v=""/>
    <s v=""/>
    <x v="1"/>
    <s v=""/>
    <s v="CHECKOUT"/>
    <s v="310"/>
    <m/>
    <n v="495000"/>
    <n v="2"/>
  </r>
  <r>
    <s v="259"/>
    <s v="STD-PNL"/>
    <s v="101"/>
    <s v="Phương Dung"/>
    <s v="08/07/24 15:12"/>
    <s v="10/07/24 11:00"/>
    <n v="990000"/>
    <n v="0"/>
    <n v="990000"/>
    <n v="0"/>
    <n v="0"/>
    <n v="0"/>
    <n v="990000"/>
    <n v="0"/>
    <n v="0"/>
    <s v="0362639231"/>
    <s v=""/>
    <s v=""/>
    <x v="1"/>
    <s v=""/>
    <s v="CHECKOUT"/>
    <s v="311"/>
    <m/>
    <n v="495000"/>
    <n v="2"/>
  </r>
  <r>
    <s v="271"/>
    <s v="STD-PNL"/>
    <s v="301"/>
    <s v="Đặng Thanh Tâm"/>
    <s v="09/07/24 22:46"/>
    <s v="10/07/24 11:00"/>
    <n v="470000"/>
    <n v="0"/>
    <n v="470000"/>
    <n v="0"/>
    <n v="470000"/>
    <n v="0"/>
    <n v="0"/>
    <n v="0"/>
    <n v="0"/>
    <s v=""/>
    <s v=""/>
    <s v="083205012741"/>
    <x v="1"/>
    <s v=""/>
    <s v="CHECKOUT"/>
    <s v="333"/>
    <m/>
    <n v="470000"/>
    <n v="1"/>
  </r>
  <r>
    <s v="272"/>
    <s v="SUP-Q-PNL"/>
    <s v="602"/>
    <s v="trương phương uyên"/>
    <s v="10/07/24 08:33"/>
    <s v="10/07/24 12:35"/>
    <n v="560000"/>
    <n v="0"/>
    <n v="560000"/>
    <n v="0"/>
    <n v="560000"/>
    <n v="0"/>
    <n v="0"/>
    <n v="0"/>
    <n v="0"/>
    <m/>
    <m/>
    <m/>
    <x v="1"/>
    <s v=""/>
    <s v="CHECKOUT"/>
    <s v="334"/>
    <m/>
    <n v="560000"/>
    <n v="1"/>
  </r>
  <r>
    <s v="258"/>
    <s v="STD-PNL"/>
    <s v="501"/>
    <s v="Fu Yu Tan"/>
    <s v="08/07/24 15:12"/>
    <s v="10/07/24 12:53"/>
    <n v="889920"/>
    <n v="0"/>
    <n v="889920"/>
    <n v="0"/>
    <n v="0"/>
    <n v="0"/>
    <n v="0"/>
    <n v="889920"/>
    <n v="0"/>
    <s v="65 87502462"/>
    <s v=""/>
    <s v=""/>
    <x v="2"/>
    <s v=""/>
    <s v="CHECKOUT"/>
    <s v="309"/>
    <s v="1291127812_LDCB1F"/>
    <n v="444960"/>
    <n v="2"/>
  </r>
  <r>
    <s v="235"/>
    <s v="DELUXE-PNL"/>
    <s v="203"/>
    <s v="Dương Tấn Phát"/>
    <s v="07/07/24 14:50"/>
    <s v="11/07/24 08:17"/>
    <n v="3240000"/>
    <n v="0"/>
    <n v="3240000"/>
    <n v="0"/>
    <n v="0"/>
    <n v="0"/>
    <n v="3240000"/>
    <n v="0"/>
    <n v="0"/>
    <s v="0985436376"/>
    <s v=""/>
    <s v=""/>
    <x v="1"/>
    <s v=""/>
    <s v="CHECKOUT"/>
    <s v="286"/>
    <m/>
    <n v="810000"/>
    <n v="4"/>
  </r>
  <r>
    <s v="265"/>
    <s v="STD-PNL"/>
    <s v="501"/>
    <s v="Đoàn Hồng Anh"/>
    <s v="10/07/24 20:17"/>
    <s v="11/07/24 08:24"/>
    <n v="444960"/>
    <n v="0"/>
    <n v="444960"/>
    <n v="0"/>
    <n v="0"/>
    <n v="0"/>
    <n v="0"/>
    <n v="444960"/>
    <n v="0"/>
    <s v="0967243460"/>
    <s v=""/>
    <s v="083196002918"/>
    <x v="2"/>
    <s v=""/>
    <s v="CHECKOUT"/>
    <s v="318"/>
    <s v="1292245944_LDCB1F"/>
    <n v="444960"/>
    <n v="1"/>
  </r>
  <r>
    <s v="261"/>
    <s v="SUP-PNL"/>
    <s v="402"/>
    <s v="Anh Thủy"/>
    <s v="08/07/24 15:12"/>
    <s v="11/07/24 08:59"/>
    <n v="1655000"/>
    <n v="0"/>
    <n v="1655000"/>
    <n v="0"/>
    <n v="0"/>
    <n v="0"/>
    <n v="1655000"/>
    <n v="0"/>
    <n v="0"/>
    <s v="0989802537"/>
    <s v=""/>
    <s v=""/>
    <x v="1"/>
    <s v=""/>
    <s v="CHECKOUT"/>
    <s v="313"/>
    <m/>
    <n v="551666.6666"/>
    <n v="3"/>
  </r>
  <r>
    <s v="261"/>
    <s v="DELUXE-PNL"/>
    <s v="403"/>
    <s v="Guest"/>
    <s v="08/07/24 15:12"/>
    <s v="11/07/24 08:59"/>
    <n v="2220000"/>
    <n v="0"/>
    <n v="2220000"/>
    <n v="0"/>
    <n v="155000"/>
    <n v="0"/>
    <n v="2065000"/>
    <n v="0"/>
    <n v="0"/>
    <s v=""/>
    <s v=""/>
    <s v=""/>
    <x v="1"/>
    <s v=""/>
    <s v="CHECKOUT"/>
    <s v="314"/>
    <m/>
    <n v="740000"/>
    <n v="3"/>
  </r>
  <r>
    <s v="275"/>
    <s v="DELUXE-PNL"/>
    <s v="503"/>
    <s v="Phấn Tiny"/>
    <s v="10/07/24 16:22"/>
    <s v="11/07/24 10:52"/>
    <n v="750000"/>
    <n v="0"/>
    <n v="750000"/>
    <n v="0"/>
    <n v="750000"/>
    <n v="0"/>
    <n v="0"/>
    <n v="0"/>
    <n v="0"/>
    <s v=""/>
    <s v=""/>
    <s v=""/>
    <x v="1"/>
    <s v=""/>
    <s v="CHECKOUT"/>
    <s v="337"/>
    <m/>
    <n v="750000"/>
    <n v="1"/>
  </r>
  <r>
    <s v="273"/>
    <s v="STD-PNL"/>
    <s v="201"/>
    <s v="Liang Jiangjin"/>
    <s v="10/07/24 13:48"/>
    <s v="11/07/24 11:00"/>
    <n v="495000"/>
    <n v="0"/>
    <n v="495000"/>
    <n v="0"/>
    <n v="495000"/>
    <n v="0"/>
    <n v="0"/>
    <n v="0"/>
    <n v="0"/>
    <s v=""/>
    <s v=""/>
    <s v=""/>
    <x v="1"/>
    <s v=""/>
    <s v="CHECKOUT"/>
    <s v="335"/>
    <m/>
    <n v="495000"/>
    <n v="1"/>
  </r>
  <r>
    <s v="280"/>
    <s v="DELUXE-PNL"/>
    <s v="503"/>
    <s v="Bùi Thị Ngọc"/>
    <s v="11/07/24 13:14"/>
    <s v="11/07/24 14:41"/>
    <n v="350000"/>
    <n v="0"/>
    <n v="350000"/>
    <n v="0"/>
    <n v="0"/>
    <n v="0"/>
    <n v="350000"/>
    <n v="0"/>
    <n v="0"/>
    <m/>
    <m/>
    <m/>
    <x v="1"/>
    <s v=""/>
    <s v="CHECKOUT"/>
    <s v="349"/>
    <m/>
    <n v="350000"/>
    <n v="1"/>
  </r>
  <r>
    <s v="282"/>
    <s v="STD-PNL"/>
    <s v="501"/>
    <s v="Lê Xuân Hướng"/>
    <s v="11/07/24 18:23"/>
    <s v="12/07/24 08:23"/>
    <n v="495000"/>
    <n v="0"/>
    <n v="495000"/>
    <n v="0"/>
    <n v="0"/>
    <n v="0"/>
    <n v="495000"/>
    <n v="0"/>
    <n v="0"/>
    <s v="0936261891"/>
    <s v=""/>
    <s v="033091003595"/>
    <x v="1"/>
    <s v=""/>
    <s v="CHECKOUT"/>
    <s v="351"/>
    <m/>
    <n v="495000"/>
    <n v="1"/>
  </r>
  <r>
    <s v="281"/>
    <s v="DELUXE-PNL"/>
    <s v="703"/>
    <s v="Trần Đinh Quý"/>
    <s v="11/07/24 17:14"/>
    <s v="12/07/24 08:23"/>
    <n v="450000"/>
    <n v="0"/>
    <n v="450000"/>
    <n v="0"/>
    <n v="0"/>
    <n v="0"/>
    <n v="450000"/>
    <n v="0"/>
    <n v="0"/>
    <s v="0823102585"/>
    <s v=""/>
    <s v="079093034025"/>
    <x v="1"/>
    <s v=""/>
    <s v="CHECKOUT"/>
    <s v="350"/>
    <m/>
    <n v="450000"/>
    <n v="1"/>
  </r>
  <r>
    <s v="279"/>
    <s v="SUP-PNL"/>
    <s v="202"/>
    <s v="Elly Phạm"/>
    <s v="11/07/24 12:41"/>
    <s v="12/07/24 08:24"/>
    <n v="470000"/>
    <n v="0"/>
    <n v="470000"/>
    <n v="0"/>
    <n v="-30000"/>
    <n v="0"/>
    <n v="500000"/>
    <n v="0"/>
    <n v="0"/>
    <s v=""/>
    <s v=""/>
    <s v=""/>
    <x v="0"/>
    <s v=""/>
    <s v="CHECKOUT"/>
    <s v="348"/>
    <m/>
    <n v="470000"/>
    <n v="1"/>
  </r>
  <r>
    <s v="270"/>
    <s v="STD-PNL"/>
    <s v="301"/>
    <s v="Công Tiến Bùi"/>
    <s v="11/07/24 17:48"/>
    <s v="12/07/24 09:33"/>
    <n v="636120"/>
    <n v="0"/>
    <n v="636120"/>
    <n v="0"/>
    <n v="0"/>
    <n v="0"/>
    <n v="636120"/>
    <n v="0"/>
    <n v="0"/>
    <m/>
    <m/>
    <m/>
    <x v="2"/>
    <s v=""/>
    <s v="CHECKOUT"/>
    <s v="329"/>
    <s v="4930489521_LDCB1F"/>
    <n v="636120"/>
    <n v="1"/>
  </r>
  <r>
    <s v="270"/>
    <s v="SUP-PNL"/>
    <s v="102"/>
    <s v="Công Tiến Bùi"/>
    <s v="11/07/24 17:48"/>
    <s v="12/07/24 09:33"/>
    <n v="636120"/>
    <n v="0"/>
    <n v="636120"/>
    <n v="0"/>
    <n v="0"/>
    <n v="0"/>
    <n v="636120"/>
    <n v="0"/>
    <n v="0"/>
    <m/>
    <m/>
    <m/>
    <x v="2"/>
    <s v=""/>
    <s v="CHECKOUT"/>
    <s v="331"/>
    <s v="4930489521_LDCB1F"/>
    <n v="636120"/>
    <n v="1"/>
  </r>
  <r>
    <s v="270"/>
    <s v="SUP-PNL"/>
    <s v="402"/>
    <s v="Công Tiến Bùi"/>
    <s v="11/07/24 17:48"/>
    <s v="12/07/24 09:33"/>
    <n v="751640"/>
    <n v="0"/>
    <n v="751640"/>
    <n v="0"/>
    <n v="0"/>
    <n v="0"/>
    <n v="751640"/>
    <n v="0"/>
    <n v="0"/>
    <m/>
    <m/>
    <m/>
    <x v="2"/>
    <s v=""/>
    <s v="CHECKOUT"/>
    <s v="330"/>
    <s v="4930489521_LDCB1F"/>
    <n v="751640"/>
    <n v="1"/>
  </r>
  <r>
    <s v="270"/>
    <s v="SUP-Q-PNL"/>
    <s v="602"/>
    <s v="Công Tiến Bùi"/>
    <s v="11/07/24 17:48"/>
    <s v="12/07/24 09:33"/>
    <n v="636120"/>
    <n v="0"/>
    <n v="636120"/>
    <n v="0"/>
    <n v="0"/>
    <n v="0"/>
    <n v="636120"/>
    <n v="0"/>
    <n v="0"/>
    <m/>
    <m/>
    <m/>
    <x v="2"/>
    <s v=""/>
    <s v="CHECKOUT"/>
    <s v="332"/>
    <s v="4930489521_LDCB1F"/>
    <n v="636120"/>
    <n v="1"/>
  </r>
  <r>
    <s v="279"/>
    <s v="DELUXE-PNL"/>
    <s v="203"/>
    <s v="Guest"/>
    <s v="11/07/24 12:41"/>
    <s v="12/07/24 09:55"/>
    <n v="470000"/>
    <n v="0"/>
    <n v="470000"/>
    <n v="0"/>
    <n v="470000"/>
    <n v="0"/>
    <n v="0"/>
    <n v="0"/>
    <n v="0"/>
    <m/>
    <m/>
    <m/>
    <x v="0"/>
    <s v=""/>
    <s v="CHECKOUT"/>
    <s v="347"/>
    <m/>
    <n v="470000"/>
    <n v="1"/>
  </r>
  <r>
    <s v="274"/>
    <s v="STD-PNL"/>
    <s v="101"/>
    <s v="Lê Thị Hồng Đào"/>
    <s v="10/07/24 15:30"/>
    <s v="12/07/24 10:26"/>
    <n v="990000"/>
    <n v="15000"/>
    <n v="1005000"/>
    <n v="0"/>
    <n v="510000"/>
    <n v="0"/>
    <n v="495000"/>
    <n v="0"/>
    <n v="0"/>
    <s v="0939000420"/>
    <s v=""/>
    <s v=""/>
    <x v="1"/>
    <s v=""/>
    <s v="CHECKOUT"/>
    <s v="336"/>
    <m/>
    <n v="495000"/>
    <n v="2"/>
  </r>
  <r>
    <s v="284"/>
    <s v="DELUXE-PNL"/>
    <s v="503"/>
    <s v="Nguyễn Chi Lăng"/>
    <s v="12/07/24 01:57"/>
    <s v="12/07/24 10:36"/>
    <n v="629000"/>
    <n v="0"/>
    <n v="629000"/>
    <n v="0"/>
    <n v="0"/>
    <n v="0"/>
    <n v="629000"/>
    <n v="0"/>
    <n v="0"/>
    <s v="094 1025252"/>
    <s v=""/>
    <s v=""/>
    <x v="1"/>
    <s v=""/>
    <s v="CHECKOUT"/>
    <s v="353"/>
    <m/>
    <n v="629000"/>
    <n v="1"/>
  </r>
  <r>
    <s v="207"/>
    <s v="STD-PNL"/>
    <s v="601"/>
    <s v="Scott Adam"/>
    <s v="05/07/24 14:21"/>
    <s v="12/07/24 11:24"/>
    <n v="3094000"/>
    <n v="0"/>
    <n v="3094000"/>
    <n v="0"/>
    <n v="0"/>
    <n v="0"/>
    <n v="0"/>
    <n v="3094000"/>
    <n v="0"/>
    <s v="442036847925"/>
    <s v=""/>
    <s v=""/>
    <x v="2"/>
    <s v=""/>
    <s v="CHECKOUT"/>
    <s v="244"/>
    <s v="445742311_LDCB1F"/>
    <n v="442000"/>
    <n v="7"/>
  </r>
  <r>
    <s v="285"/>
    <s v="SUP-PNL"/>
    <s v="202"/>
    <s v="Guest"/>
    <s v="12/07/24 14:25"/>
    <s v="12/07/24 18:22"/>
    <n v="420000"/>
    <n v="0"/>
    <n v="420000"/>
    <n v="0"/>
    <n v="0"/>
    <n v="0"/>
    <n v="420000"/>
    <n v="0"/>
    <n v="0"/>
    <m/>
    <m/>
    <m/>
    <x v="1"/>
    <s v=""/>
    <s v="CHECKOUT"/>
    <s v="354"/>
    <m/>
    <n v="420000"/>
    <n v="1"/>
  </r>
  <r>
    <s v="270"/>
    <s v="STD-PNL"/>
    <s v="201"/>
    <s v="Đỗ Văn Ca"/>
    <s v="11/07/24 17:48"/>
    <s v="12/07/24 18:23"/>
    <n v="1336640"/>
    <n v="65000"/>
    <n v="1401640"/>
    <n v="0"/>
    <n v="0"/>
    <n v="0"/>
    <n v="1401640"/>
    <n v="0"/>
    <n v="0"/>
    <s v="+84 979 201 817"/>
    <s v="cbui.561781@guest.booking.com"/>
    <s v="025052005534"/>
    <x v="2"/>
    <s v=""/>
    <s v="CHECKOUT"/>
    <s v="328"/>
    <s v="4930489521_LDCB1F"/>
    <n v="1336640"/>
    <n v="1"/>
  </r>
  <r>
    <s v="197"/>
    <s v="DELUXE-PNL"/>
    <s v="603"/>
    <s v="A Thông"/>
    <s v="26/06/24 12:02"/>
    <s v="13/07/24 11:00"/>
    <n v="0"/>
    <n v="0"/>
    <n v="0"/>
    <n v="0"/>
    <n v="0"/>
    <n v="0"/>
    <n v="0"/>
    <n v="0"/>
    <n v="0"/>
    <m/>
    <m/>
    <m/>
    <x v="0"/>
    <s v=""/>
    <s v="CHECKOUT"/>
    <s v="232"/>
    <m/>
    <n v="0"/>
    <n v="17"/>
  </r>
  <r>
    <s v="268"/>
    <s v="SUP-Q-PNL"/>
    <s v="502"/>
    <s v="davies Isaac"/>
    <s v="09/07/24 20:45"/>
    <s v="13/07/24 11:00"/>
    <n v="2360000"/>
    <n v="70000"/>
    <n v="2430000"/>
    <n v="0"/>
    <n v="-520000"/>
    <n v="0"/>
    <n v="0"/>
    <n v="2950000"/>
    <n v="0"/>
    <s v="+44 7712 200914"/>
    <s v="idavie.904687@guest.booking.com"/>
    <s v=""/>
    <x v="1"/>
    <s v=""/>
    <s v="CHECKOUT"/>
    <s v="326"/>
    <m/>
    <n v="590000"/>
    <n v="4"/>
  </r>
  <r>
    <s v="277"/>
    <s v="DELUXE-PNL"/>
    <s v="403"/>
    <s v="Nguyen Jimmy Cao"/>
    <s v="11/07/24 12:44"/>
    <s v="13/07/24 11:00"/>
    <n v="1160000"/>
    <n v="0"/>
    <n v="1160000"/>
    <n v="0"/>
    <n v="0"/>
    <n v="0"/>
    <n v="1160000"/>
    <n v="0"/>
    <n v="0"/>
    <s v=""/>
    <s v=""/>
    <s v=""/>
    <x v="1"/>
    <s v=""/>
    <s v="CHECKOUT"/>
    <s v="344"/>
    <m/>
    <n v="580000"/>
    <n v="2"/>
  </r>
  <r>
    <s v="298"/>
    <s v="STD-PNL"/>
    <s v="201"/>
    <s v="nguyễn văn lập"/>
    <s v="13/07/24 13:00"/>
    <s v="13/07/24 15:00"/>
    <n v="350000"/>
    <n v="0"/>
    <n v="350000"/>
    <n v="0"/>
    <n v="350000"/>
    <n v="0"/>
    <n v="0"/>
    <n v="0"/>
    <n v="0"/>
    <s v=""/>
    <s v=""/>
    <s v=""/>
    <x v="1"/>
    <s v=""/>
    <s v="CHECKOUT"/>
    <s v="371"/>
    <m/>
    <n v="350000"/>
    <n v="1"/>
  </r>
  <r>
    <s v="191"/>
    <s v="STD-PNL"/>
    <s v="601"/>
    <s v="Triệu Thị Phương Nhung"/>
    <s v="12/07/24 16:18"/>
    <s v="13/07/24 16:59"/>
    <n v="909000"/>
    <n v="0"/>
    <n v="909000"/>
    <n v="0"/>
    <n v="0"/>
    <n v="0"/>
    <n v="909000"/>
    <n v="0"/>
    <n v="0"/>
    <s v="0974739579"/>
    <s v=""/>
    <s v="001186004503"/>
    <x v="1"/>
    <s v=""/>
    <s v="CHECKOUT"/>
    <s v="225"/>
    <m/>
    <n v="909000"/>
    <n v="1"/>
  </r>
  <r>
    <s v="191"/>
    <s v="SUP-Q-PNL"/>
    <s v="602"/>
    <s v="Triệu Thị Phương Nhung"/>
    <s v="12/07/24 16:18"/>
    <s v="13/07/24 16:59"/>
    <n v="1112000"/>
    <n v="0"/>
    <n v="1112000"/>
    <n v="0"/>
    <n v="0"/>
    <n v="0"/>
    <n v="1112000"/>
    <n v="0"/>
    <n v="0"/>
    <s v="0974739579"/>
    <s v=""/>
    <s v="001186004503"/>
    <x v="1"/>
    <s v=""/>
    <s v="CHECKOUT"/>
    <s v="224"/>
    <m/>
    <n v="1112000"/>
    <n v="1"/>
  </r>
  <r>
    <s v="191"/>
    <s v="DELUXE-PNL"/>
    <s v="503"/>
    <s v="Triệu Thị Phương Nhung"/>
    <s v="12/07/24 16:18"/>
    <s v="13/07/24 16:59"/>
    <n v="1059000"/>
    <n v="0"/>
    <n v="1059000"/>
    <n v="0"/>
    <n v="0"/>
    <n v="0"/>
    <n v="1059000"/>
    <n v="0"/>
    <n v="0"/>
    <s v="0974739579"/>
    <s v=""/>
    <s v="001186004503"/>
    <x v="1"/>
    <s v=""/>
    <s v="CHECKOUT"/>
    <s v="223"/>
    <m/>
    <n v="1059000"/>
    <n v="1"/>
  </r>
  <r>
    <s v="294"/>
    <s v="STD-PNL"/>
    <s v="301"/>
    <s v="Tn"/>
    <s v="13/07/24 09:25"/>
    <s v="13/07/24 17:46"/>
    <n v="470000"/>
    <n v="0"/>
    <n v="470000"/>
    <n v="0"/>
    <n v="0"/>
    <n v="0"/>
    <n v="470000"/>
    <n v="0"/>
    <n v="0"/>
    <s v="0969856337"/>
    <s v=""/>
    <s v="212675677"/>
    <x v="1"/>
    <s v=""/>
    <s v="CHECKOUT"/>
    <s v="367"/>
    <m/>
    <n v="470000"/>
    <n v="1"/>
  </r>
  <r>
    <s v="296"/>
    <s v="STD-PNL"/>
    <s v="601"/>
    <s v="Thanh Hương"/>
    <s v="13/07/24 18:06"/>
    <s v="14/07/24 09:18"/>
    <n v="565000"/>
    <n v="0"/>
    <n v="565000"/>
    <n v="0"/>
    <n v="35000"/>
    <n v="0"/>
    <n v="530000"/>
    <n v="0"/>
    <n v="0"/>
    <s v="0902594154"/>
    <s v=""/>
    <s v=""/>
    <x v="1"/>
    <s v=""/>
    <s v="CHECKOUT"/>
    <s v="369"/>
    <m/>
    <n v="565000"/>
    <n v="1"/>
  </r>
  <r>
    <s v="286"/>
    <s v="SUP-PNL"/>
    <s v="202"/>
    <s v="Trình hoàng hà"/>
    <s v="13/07/24 19:17"/>
    <s v="14/07/24 09:28"/>
    <n v="585000"/>
    <n v="0"/>
    <n v="585000"/>
    <n v="0"/>
    <n v="0"/>
    <n v="0"/>
    <n v="585000"/>
    <n v="0"/>
    <n v="0"/>
    <s v="0916642323"/>
    <s v=""/>
    <s v=""/>
    <x v="1"/>
    <s v=""/>
    <s v="CHECKOUT"/>
    <s v="355"/>
    <m/>
    <n v="585000"/>
    <n v="1"/>
  </r>
  <r>
    <s v="257"/>
    <s v="SUP-PNL"/>
    <s v="302"/>
    <s v="Tc Sagittarius"/>
    <s v="11/07/24 12:01"/>
    <s v="14/07/24 10:01"/>
    <n v="1496160"/>
    <n v="0"/>
    <n v="1496160"/>
    <n v="0"/>
    <n v="0"/>
    <n v="0"/>
    <n v="0"/>
    <n v="1496160"/>
    <n v="0"/>
    <s v=""/>
    <s v=""/>
    <s v=""/>
    <x v="2"/>
    <s v=""/>
    <s v="CHECKOUT"/>
    <s v="308"/>
    <s v="1319631457_LDCB1F"/>
    <n v="498720"/>
    <n v="3"/>
  </r>
  <r>
    <s v="290"/>
    <s v="SUP-Q-PNL"/>
    <s v="602"/>
    <s v="Li Sheng Liang"/>
    <s v="13/07/24 19:15"/>
    <s v="14/07/24 11:00"/>
    <n v="644508"/>
    <n v="0"/>
    <n v="644508"/>
    <n v="0"/>
    <n v="0"/>
    <n v="0"/>
    <n v="0"/>
    <n v="644508"/>
    <n v="0"/>
    <s v="+84 342 452 719"/>
    <s v="sli.182888@guest.booking.com"/>
    <s v=""/>
    <x v="2"/>
    <s v=""/>
    <s v="CHECKOUT"/>
    <s v="360"/>
    <s v="4753754103_LDCB1F"/>
    <n v="644508"/>
    <n v="1"/>
  </r>
  <r>
    <s v="290"/>
    <s v="DELUXE-PNL"/>
    <s v="403"/>
    <s v="Sheng Liang Li"/>
    <s v="13/07/24 19:15"/>
    <s v="14/07/24 11:00"/>
    <n v="801144"/>
    <n v="0"/>
    <n v="801144"/>
    <n v="0"/>
    <n v="0"/>
    <n v="0"/>
    <n v="0"/>
    <n v="801144"/>
    <n v="0"/>
    <m/>
    <m/>
    <m/>
    <x v="2"/>
    <s v=""/>
    <s v="CHECKOUT"/>
    <s v="361"/>
    <s v="4753754103_LDCB1F"/>
    <n v="801144"/>
    <n v="1"/>
  </r>
  <r>
    <s v="290"/>
    <s v="SUP-PNL"/>
    <s v="402"/>
    <s v="Li Sheng Liang"/>
    <s v="13/07/24 19:15"/>
    <s v="14/07/24 11:00"/>
    <n v="644508"/>
    <n v="0"/>
    <n v="644508"/>
    <n v="0"/>
    <n v="0"/>
    <n v="0"/>
    <n v="0"/>
    <n v="644508"/>
    <n v="0"/>
    <s v=""/>
    <s v=""/>
    <s v=""/>
    <x v="2"/>
    <s v=""/>
    <s v="CHECKOUT"/>
    <s v="362"/>
    <s v="4753754103_LDCB1F"/>
    <n v="644508"/>
    <n v="1"/>
  </r>
  <r>
    <s v="268"/>
    <s v="SUP-Q-PNL"/>
    <s v="502"/>
    <s v="Guest"/>
    <s v="13/07/24 15:58"/>
    <s v="14/07/24 11:00"/>
    <n v="590000"/>
    <n v="0"/>
    <n v="590000"/>
    <n v="0"/>
    <n v="590000"/>
    <n v="0"/>
    <n v="0"/>
    <n v="0"/>
    <n v="0"/>
    <m/>
    <m/>
    <m/>
    <x v="1"/>
    <s v=""/>
    <s v="CHECKOUT"/>
    <s v="364"/>
    <m/>
    <n v="590000"/>
    <n v="1"/>
  </r>
  <r>
    <s v="293"/>
    <s v="STD-PNL"/>
    <s v="501"/>
    <s v="Chen Ruei-yan"/>
    <s v="13/07/24 20:19"/>
    <s v="14/07/24 11:00"/>
    <n v="525600"/>
    <n v="0"/>
    <n v="525600"/>
    <n v="0"/>
    <n v="0"/>
    <n v="0"/>
    <n v="0"/>
    <n v="525600"/>
    <n v="0"/>
    <s v="84 66 0986714457"/>
    <s v=""/>
    <s v=""/>
    <x v="2"/>
    <s v=""/>
    <s v="CHECKOUT"/>
    <s v="366"/>
    <s v="1297501788_LDCB1F"/>
    <n v="525600"/>
    <n v="1"/>
  </r>
  <r>
    <s v="299"/>
    <s v="DELUXE-PNL"/>
    <s v="503"/>
    <s v="An Nguyễn"/>
    <s v="13/07/24 18:27"/>
    <s v="14/07/24 11:00"/>
    <n v="700000"/>
    <n v="0"/>
    <n v="700000"/>
    <n v="0"/>
    <n v="0"/>
    <n v="0"/>
    <n v="700000"/>
    <n v="0"/>
    <n v="0"/>
    <s v="0828789052"/>
    <s v=""/>
    <s v=""/>
    <x v="1"/>
    <s v=""/>
    <s v="CHECKOUT"/>
    <s v="372"/>
    <m/>
    <n v="700000"/>
    <n v="1"/>
  </r>
  <r>
    <s v="305"/>
    <s v="STD-PNL"/>
    <s v="201"/>
    <s v="TRẦN THỊ HIỆN"/>
    <s v="14/07/24 12:12"/>
    <s v="14/07/24 16:04"/>
    <n v="459000"/>
    <n v="0"/>
    <n v="459000"/>
    <n v="0"/>
    <n v="459000"/>
    <n v="0"/>
    <n v="0"/>
    <n v="0"/>
    <n v="0"/>
    <s v="0902343904"/>
    <s v=""/>
    <s v="008190000195"/>
    <x v="1"/>
    <s v=""/>
    <s v="CHECKOUT"/>
    <s v="378"/>
    <m/>
    <n v="459000"/>
    <n v="1"/>
  </r>
  <r>
    <s v="308"/>
    <s v="DELUXE-PNL"/>
    <s v="403"/>
    <s v="Chen hua pin"/>
    <s v="14/07/24 15:35"/>
    <s v="14/07/24 17:34"/>
    <n v="459000"/>
    <n v="0"/>
    <n v="459000"/>
    <n v="0"/>
    <n v="459000"/>
    <n v="0"/>
    <n v="0"/>
    <n v="0"/>
    <n v="0"/>
    <m/>
    <m/>
    <m/>
    <x v="1"/>
    <s v=""/>
    <s v="CHECKOUT"/>
    <s v="381"/>
    <m/>
    <n v="459000"/>
    <n v="1"/>
  </r>
  <r>
    <s v="311"/>
    <s v="DELUXE-PNL"/>
    <s v="503"/>
    <s v="Lê Thị Thúy Hằng"/>
    <s v="14/07/24 21:26"/>
    <s v="14/07/24 23:22"/>
    <n v="449000"/>
    <n v="0"/>
    <n v="449000"/>
    <n v="0"/>
    <n v="449000"/>
    <n v="0"/>
    <n v="0"/>
    <n v="0"/>
    <n v="0"/>
    <s v="0939494046"/>
    <s v=""/>
    <s v="087178015990"/>
    <x v="1"/>
    <s v=""/>
    <s v="CHECKOUT"/>
    <s v="384"/>
    <m/>
    <n v="449000"/>
    <n v="1"/>
  </r>
  <r>
    <s v="307"/>
    <s v="STD-PNL"/>
    <s v="601"/>
    <s v="NGUYỄN THỊ NHỰT LINH"/>
    <s v="14/07/24 14:56"/>
    <s v="15/07/24 09:48"/>
    <n v="500000"/>
    <n v="15000"/>
    <n v="515000"/>
    <n v="0"/>
    <n v="15000"/>
    <n v="0"/>
    <n v="500000"/>
    <n v="0"/>
    <n v="0"/>
    <s v="0702988260"/>
    <s v=""/>
    <s v="072198003992"/>
    <x v="1"/>
    <s v=""/>
    <s v="CHECKOUT"/>
    <s v="380"/>
    <m/>
    <n v="500000"/>
    <n v="1"/>
  </r>
  <r>
    <s v="302"/>
    <s v="STD-PNL"/>
    <s v="301"/>
    <s v="Lerner Jordan Matthew"/>
    <s v="15/07/24 08:29"/>
    <s v="15/07/24 10:51"/>
    <n v="495000"/>
    <n v="0"/>
    <n v="495000"/>
    <n v="0"/>
    <n v="495000"/>
    <n v="0"/>
    <n v="0"/>
    <n v="0"/>
    <n v="0"/>
    <s v=""/>
    <s v=""/>
    <s v=""/>
    <x v="1"/>
    <s v=""/>
    <s v="CHECKOUT"/>
    <s v="375"/>
    <m/>
    <n v="495000"/>
    <n v="1"/>
  </r>
  <r>
    <s v="297"/>
    <s v="STD-PNL"/>
    <s v="501"/>
    <s v="Cao Lâm Mỹ Tiên"/>
    <s v="14/07/24 17:55"/>
    <s v="15/07/24 10:52"/>
    <n v="494000"/>
    <n v="30000"/>
    <n v="524000"/>
    <n v="0"/>
    <n v="0"/>
    <n v="0"/>
    <n v="524000"/>
    <n v="0"/>
    <n v="0"/>
    <s v="0347960263"/>
    <s v=""/>
    <s v="082199003655"/>
    <x v="1"/>
    <s v=""/>
    <s v="CHECKOUT"/>
    <s v="370"/>
    <m/>
    <n v="494000"/>
    <n v="1"/>
  </r>
  <r>
    <s v="301"/>
    <s v="SUP-PNL"/>
    <s v="102"/>
    <s v="Berge Tommy"/>
    <s v="13/07/24 18:31"/>
    <s v="15/07/24 11:00"/>
    <n v="1100000"/>
    <n v="0"/>
    <n v="1100000"/>
    <n v="0"/>
    <n v="1100000"/>
    <n v="0"/>
    <n v="0"/>
    <n v="0"/>
    <n v="0"/>
    <s v="84 0800092944"/>
    <s v=""/>
    <s v=""/>
    <x v="1"/>
    <s v=""/>
    <s v="CHECKOUT"/>
    <s v="374"/>
    <m/>
    <n v="550000"/>
    <n v="2"/>
  </r>
  <r>
    <s v="306"/>
    <s v="SUP-PNL"/>
    <s v="302"/>
    <s v="Yen Chun Chu"/>
    <s v="14/07/24 14:06"/>
    <s v="15/07/24 11:00"/>
    <n v="444960"/>
    <n v="0"/>
    <n v="444960"/>
    <n v="0"/>
    <n v="0"/>
    <n v="0"/>
    <n v="0"/>
    <n v="444960"/>
    <n v="0"/>
    <s v="84 +886931473448"/>
    <s v=""/>
    <s v=""/>
    <x v="2"/>
    <s v=""/>
    <s v="CHECKOUT"/>
    <s v="379"/>
    <s v="1298906860_LDCB1F"/>
    <n v="444960"/>
    <n v="1"/>
  </r>
  <r>
    <s v="309"/>
    <s v="STD-PNL"/>
    <s v="101"/>
    <s v="DUSTBEKOV NURIDDIN OMONOVICH"/>
    <s v="14/07/24 15:50"/>
    <s v="15/07/24 12:00"/>
    <n v="495000"/>
    <n v="0"/>
    <n v="495000"/>
    <n v="0"/>
    <n v="495000"/>
    <n v="0"/>
    <n v="0"/>
    <n v="0"/>
    <n v="0"/>
    <s v=""/>
    <s v=""/>
    <s v="FA0647675"/>
    <x v="1"/>
    <s v=""/>
    <s v="CHECKOUT"/>
    <s v="382"/>
    <m/>
    <n v="495000"/>
    <n v="1"/>
  </r>
  <r>
    <s v="314"/>
    <s v="STD-PNL"/>
    <s v="201"/>
    <s v="Guest"/>
    <s v="15/07/24 13:15"/>
    <s v="15/07/24 15:15"/>
    <n v="349000"/>
    <n v="0"/>
    <n v="349000"/>
    <n v="0"/>
    <n v="349000"/>
    <n v="0"/>
    <n v="0"/>
    <n v="0"/>
    <n v="0"/>
    <s v="0977555881"/>
    <m/>
    <m/>
    <x v="1"/>
    <s v=""/>
    <s v="CHECKOUT"/>
    <s v="387"/>
    <m/>
    <n v="349000"/>
    <n v="1"/>
  </r>
  <r>
    <s v="283"/>
    <s v="DELUXE-PNL"/>
    <s v="203"/>
    <s v="Chướng A Kiú"/>
    <s v="12/07/24 13:43"/>
    <s v="16/07/24 08:24"/>
    <n v="3368000"/>
    <n v="100000"/>
    <n v="3468000"/>
    <n v="0"/>
    <n v="100000"/>
    <n v="0"/>
    <n v="3368000"/>
    <n v="0"/>
    <n v="0"/>
    <s v="0355502348"/>
    <m/>
    <m/>
    <x v="1"/>
    <s v=""/>
    <s v="CHECKOUT"/>
    <s v="352"/>
    <m/>
    <n v="842000"/>
    <n v="4"/>
  </r>
  <r>
    <s v="303"/>
    <s v="STD-PNL"/>
    <s v="601"/>
    <s v="ANDO NAOKO"/>
    <s v="15/07/24 14:54"/>
    <s v="16/07/24 08:26"/>
    <n v="444960"/>
    <n v="0"/>
    <n v="444960"/>
    <n v="0"/>
    <n v="0"/>
    <n v="0"/>
    <n v="0"/>
    <n v="444960"/>
    <n v="0"/>
    <s v="81 09023416196"/>
    <s v=""/>
    <s v="TR7283524"/>
    <x v="2"/>
    <s v=""/>
    <s v="CHECKOUT"/>
    <s v="376"/>
    <s v="1298406336_LDCB1F"/>
    <n v="444960"/>
    <n v="1"/>
  </r>
  <r>
    <s v="288"/>
    <s v="DELUXE-PNL"/>
    <s v="403"/>
    <s v="RAYMOND ROBERT BRUCE"/>
    <s v="15/07/24 14:51"/>
    <s v="16/07/24 11:00"/>
    <n v="800000"/>
    <n v="0"/>
    <n v="800000"/>
    <n v="0"/>
    <n v="800000"/>
    <n v="0"/>
    <n v="0"/>
    <n v="0"/>
    <n v="0"/>
    <s v="+61 423 085 208"/>
    <s v=""/>
    <s v="PA5991073"/>
    <x v="1"/>
    <s v=""/>
    <s v="CHECKOUT"/>
    <s v="357"/>
    <m/>
    <n v="800000"/>
    <n v="1"/>
  </r>
  <r>
    <s v="315"/>
    <s v="STD-PNL"/>
    <s v="301"/>
    <s v="LÊ THỊ HẾT"/>
    <s v="15/07/24 14:07"/>
    <s v="16/07/24 11:00"/>
    <n v="495000"/>
    <n v="0"/>
    <n v="495000"/>
    <n v="0"/>
    <n v="495000"/>
    <n v="0"/>
    <n v="0"/>
    <n v="0"/>
    <n v="0"/>
    <s v="0915829802"/>
    <s v=""/>
    <s v="096190003241"/>
    <x v="1"/>
    <s v=""/>
    <s v="CHECKOUT"/>
    <s v="388"/>
    <m/>
    <n v="495000"/>
    <n v="1"/>
  </r>
  <r>
    <s v="291"/>
    <s v="DELUXE-PNL"/>
    <s v="603"/>
    <s v="Nghiêm Thảo Tâm"/>
    <s v="13/07/24 19:24"/>
    <s v="16/07/24 11:49"/>
    <n v="1655280"/>
    <n v="15000"/>
    <n v="1670280"/>
    <n v="0"/>
    <n v="0"/>
    <n v="0"/>
    <n v="15000"/>
    <n v="1655280"/>
    <n v="0"/>
    <s v="84 84 0919200503"/>
    <s v=""/>
    <s v=""/>
    <x v="2"/>
    <s v=""/>
    <s v="CHECKOUT"/>
    <s v="363"/>
    <s v="1297464940_LDCB1F"/>
    <n v="551760"/>
    <n v="3"/>
  </r>
  <r>
    <s v="322"/>
    <s v="DELUXE-PNL"/>
    <s v="203"/>
    <s v="Guest"/>
    <s v="16/07/24 14:16"/>
    <s v="16/07/24 16:30"/>
    <n v="400000"/>
    <n v="0"/>
    <n v="400000"/>
    <n v="0"/>
    <n v="400000"/>
    <n v="0"/>
    <n v="0"/>
    <n v="0"/>
    <n v="0"/>
    <m/>
    <m/>
    <m/>
    <x v="1"/>
    <s v=""/>
    <s v="CHECKOUT"/>
    <s v="398"/>
    <m/>
    <n v="400000"/>
    <n v="1"/>
  </r>
  <r>
    <s v="310"/>
    <s v="STD-PNL"/>
    <s v="501"/>
    <s v="LÊ HUỲNH MINH THƯ"/>
    <s v="15/07/24 14:07"/>
    <s v="17/07/24 08:25"/>
    <n v="1044000"/>
    <n v="0"/>
    <n v="989100"/>
    <n v="0"/>
    <n v="0"/>
    <n v="0"/>
    <n v="989100"/>
    <n v="0"/>
    <n v="0"/>
    <s v="+84987559400"/>
    <s v="mthu21092001@gmail.com"/>
    <s v="060301004804"/>
    <x v="2"/>
    <s v=""/>
    <s v="CHECKOUT"/>
    <s v="383"/>
    <s v="62764798333"/>
    <n v="522000"/>
    <n v="2"/>
  </r>
  <r>
    <s v="321"/>
    <s v="SUP-PNL"/>
    <s v="102"/>
    <s v="Trần Văn Long"/>
    <s v="16/07/24 11:44"/>
    <s v="17/07/24 10:24"/>
    <n v="495000"/>
    <n v="0"/>
    <n v="495000"/>
    <n v="0"/>
    <n v="495000"/>
    <n v="0"/>
    <n v="0"/>
    <n v="0"/>
    <n v="0"/>
    <s v="0363335501"/>
    <m/>
    <m/>
    <x v="1"/>
    <s v=""/>
    <s v="CHECKOUT"/>
    <s v="397"/>
    <m/>
    <n v="495000"/>
    <n v="1"/>
  </r>
  <r>
    <s v="233"/>
    <s v="DELUXE-PNL"/>
    <s v="603"/>
    <s v="Guest"/>
    <s v="16/07/24 13:18"/>
    <s v="17/07/24 10:25"/>
    <n v="800000"/>
    <n v="0"/>
    <n v="800000"/>
    <n v="0"/>
    <n v="0"/>
    <n v="0"/>
    <n v="800000"/>
    <n v="0"/>
    <n v="0"/>
    <m/>
    <m/>
    <m/>
    <x v="1"/>
    <s v=""/>
    <s v="CHECKOUT"/>
    <s v="284"/>
    <m/>
    <n v="800000"/>
    <n v="1"/>
  </r>
  <r>
    <s v="233"/>
    <s v="DELUXE-PNL"/>
    <s v="503"/>
    <s v="Khánh Linh"/>
    <s v="16/07/24 13:18"/>
    <s v="17/07/24 10:25"/>
    <n v="800000"/>
    <n v="0"/>
    <n v="800000"/>
    <n v="0"/>
    <n v="0"/>
    <n v="0"/>
    <n v="800000"/>
    <n v="0"/>
    <n v="0"/>
    <s v="0982521310"/>
    <s v=""/>
    <s v=""/>
    <x v="1"/>
    <s v=""/>
    <s v="CHECKOUT"/>
    <s v="283"/>
    <m/>
    <n v="800000"/>
    <n v="1"/>
  </r>
  <r>
    <s v="319"/>
    <s v="SUP-Q-PNL"/>
    <s v="602"/>
    <s v="Hoàng Doanh"/>
    <s v="15/07/24 23:37"/>
    <s v="17/07/24 11:00"/>
    <n v="1258000"/>
    <n v="97000"/>
    <n v="1355000"/>
    <n v="0"/>
    <n v="0"/>
    <n v="0"/>
    <n v="1355000"/>
    <n v="0"/>
    <n v="0"/>
    <m/>
    <m/>
    <m/>
    <x v="1"/>
    <s v=""/>
    <s v="CHECKOUT"/>
    <s v="395"/>
    <m/>
    <n v="629000"/>
    <n v="2"/>
  </r>
  <r>
    <s v="318"/>
    <s v="STD-PNL"/>
    <s v="201"/>
    <s v="zalo Sang"/>
    <s v="16/07/24 10:46"/>
    <s v="18/07/24 08:26"/>
    <n v="1170000"/>
    <n v="0"/>
    <n v="1170000"/>
    <n v="0"/>
    <n v="0"/>
    <n v="0"/>
    <n v="1170000"/>
    <n v="0"/>
    <n v="0"/>
    <s v="0868340906"/>
    <s v=""/>
    <s v=""/>
    <x v="1"/>
    <s v=""/>
    <s v="CHECKOUT"/>
    <s v="394"/>
    <m/>
    <n v="585000"/>
    <n v="2"/>
  </r>
  <r>
    <s v="320"/>
    <s v="DELUXE-PNL"/>
    <s v="403"/>
    <s v="RAYMOND ROBERT BRUCE"/>
    <s v="16/07/24 14:15"/>
    <s v="18/07/24 10:14"/>
    <n v="800000"/>
    <n v="0"/>
    <n v="800000"/>
    <n v="0"/>
    <n v="355040"/>
    <n v="0"/>
    <n v="0"/>
    <n v="444960"/>
    <n v="0"/>
    <s v=""/>
    <s v=""/>
    <s v=""/>
    <x v="2"/>
    <s v=""/>
    <s v="CHECKOUT"/>
    <s v="396"/>
    <s v="1327381521_LDCB1F"/>
    <n v="400000"/>
    <n v="2"/>
  </r>
  <r>
    <s v="300"/>
    <s v="SUP-Q-PNL"/>
    <s v="502"/>
    <s v="davies Isaac"/>
    <s v="14/07/24 14:06"/>
    <s v="18/07/24 11:00"/>
    <n v="1779840"/>
    <n v="70000"/>
    <n v="1849840"/>
    <n v="0"/>
    <n v="70000"/>
    <n v="0"/>
    <n v="0"/>
    <n v="1779840"/>
    <n v="0"/>
    <s v="442036847925"/>
    <s v=""/>
    <s v=""/>
    <x v="2"/>
    <s v=""/>
    <s v="CHECKOUT"/>
    <s v="373"/>
    <s v="449387839_LDCB1F"/>
    <n v="444960"/>
    <n v="4"/>
  </r>
  <r>
    <s v="328"/>
    <s v="SUP-PNL"/>
    <s v="302"/>
    <s v="Hà Thị Thắm"/>
    <s v="17/07/24 20:22"/>
    <s v="18/07/24 11:00"/>
    <n v="444960"/>
    <n v="0"/>
    <n v="444960"/>
    <n v="0"/>
    <n v="0"/>
    <n v="0"/>
    <n v="0"/>
    <n v="444960"/>
    <n v="0"/>
    <s v="442036847925"/>
    <s v=""/>
    <s v="087196002877"/>
    <x v="2"/>
    <s v=""/>
    <s v="CHECKOUT"/>
    <s v="404"/>
    <s v="450404351_LDCB1F"/>
    <n v="444960"/>
    <n v="1"/>
  </r>
  <r>
    <s v="323"/>
    <s v="STD-PNL"/>
    <s v="101"/>
    <s v="BÙI DƯƠNG ĐẠT"/>
    <s v="16/07/24 19:08"/>
    <s v="18/07/24 13:45"/>
    <n v="1110000"/>
    <n v="20000"/>
    <n v="1130000"/>
    <n v="0"/>
    <n v="0"/>
    <n v="0"/>
    <n v="1130000"/>
    <n v="0"/>
    <n v="0"/>
    <s v="0979363550"/>
    <s v=""/>
    <s v="051090019375"/>
    <x v="1"/>
    <s v=""/>
    <s v="CHECKOUT"/>
    <s v="399"/>
    <m/>
    <n v="555000"/>
    <n v="2"/>
  </r>
  <r>
    <s v="295"/>
    <s v="STD-PNL"/>
    <s v="601"/>
    <s v="PHẠM THỊ LINH"/>
    <s v="16/07/24 19:29"/>
    <s v="19/07/24 08:38"/>
    <n v="1482000"/>
    <n v="0"/>
    <n v="1482000"/>
    <n v="0"/>
    <n v="0"/>
    <n v="0"/>
    <n v="1482000"/>
    <n v="0"/>
    <n v="0"/>
    <s v="0385331752"/>
    <s v=""/>
    <s v="1610212027"/>
    <x v="1"/>
    <s v=""/>
    <s v="CHECKOUT"/>
    <s v="368"/>
    <m/>
    <n v="494000"/>
    <n v="3"/>
  </r>
  <r>
    <s v="335"/>
    <s v="STD-PNL"/>
    <s v="101"/>
    <s v="Kaji Tomohiro"/>
    <s v="18/07/24 22:54"/>
    <s v="19/07/24 10:35"/>
    <n v="493920"/>
    <n v="0"/>
    <n v="493920"/>
    <n v="0"/>
    <n v="0"/>
    <n v="0"/>
    <n v="0"/>
    <n v="493920"/>
    <n v="0"/>
    <s v="65 819061320280"/>
    <s v=""/>
    <s v=""/>
    <x v="2"/>
    <s v=""/>
    <s v="CHECKOUT"/>
    <s v="411"/>
    <s v="1329811105_LDCB1F"/>
    <n v="493920"/>
    <n v="1"/>
  </r>
  <r>
    <s v="313"/>
    <s v="SUP-PNL"/>
    <s v="402"/>
    <s v="Cao hữu tiến"/>
    <s v="18/07/24 13:58"/>
    <s v="19/07/24 10:50"/>
    <n v="470000"/>
    <n v="0"/>
    <n v="470000"/>
    <n v="0"/>
    <n v="0"/>
    <n v="0"/>
    <n v="470000"/>
    <n v="0"/>
    <n v="0"/>
    <s v="0392124817"/>
    <s v=""/>
    <s v=""/>
    <x v="1"/>
    <s v=""/>
    <s v="CHECKOUT"/>
    <s v="386"/>
    <m/>
    <n v="470000"/>
    <n v="1"/>
  </r>
  <r>
    <s v="304"/>
    <s v="DELUXE-PNL"/>
    <s v="103"/>
    <s v="TRÌNH QUANG MINH"/>
    <s v="14/07/24 14:06"/>
    <s v="19/07/24 11:00"/>
    <n v="3369000"/>
    <n v="150000"/>
    <n v="3519000"/>
    <n v="0"/>
    <n v="0"/>
    <n v="0"/>
    <n v="3519000"/>
    <n v="0"/>
    <n v="0"/>
    <s v=""/>
    <s v=""/>
    <s v="031090013508"/>
    <x v="1"/>
    <s v=""/>
    <s v="CHECKOUT"/>
    <s v="377"/>
    <m/>
    <n v="673800"/>
    <n v="5"/>
  </r>
  <r>
    <s v="327"/>
    <s v="STD-PNL"/>
    <s v="301"/>
    <s v="Trần Thuỷ"/>
    <s v="17/07/24 23:03"/>
    <s v="19/07/24 11:00"/>
    <n v="990000"/>
    <n v="0"/>
    <n v="990000"/>
    <n v="0"/>
    <n v="0"/>
    <n v="0"/>
    <n v="990000"/>
    <n v="0"/>
    <n v="0"/>
    <s v="0768663784"/>
    <s v=""/>
    <s v="079199005157"/>
    <x v="3"/>
    <s v=""/>
    <s v="CHECKOUT"/>
    <s v="403"/>
    <m/>
    <n v="495000"/>
    <n v="2"/>
  </r>
  <r>
    <s v="333"/>
    <s v="DELUXE-PNL"/>
    <s v="403"/>
    <s v="SHIN"/>
    <s v="18/07/24 22:27"/>
    <s v="19/07/24 11:00"/>
    <n v="495000"/>
    <n v="0"/>
    <n v="495000"/>
    <n v="0"/>
    <n v="495000"/>
    <n v="0"/>
    <n v="0"/>
    <n v="0"/>
    <n v="0"/>
    <s v=""/>
    <s v=""/>
    <s v=""/>
    <x v="1"/>
    <s v=""/>
    <s v="CHECKOUT"/>
    <s v="409"/>
    <m/>
    <n v="495000"/>
    <n v="1"/>
  </r>
  <r>
    <s v="334"/>
    <s v="DELUXE-PNL"/>
    <s v="603"/>
    <s v="Tiên"/>
    <s v="18/07/24 22:27"/>
    <s v="19/07/24 11:00"/>
    <n v="585000"/>
    <n v="0"/>
    <n v="585000"/>
    <n v="0"/>
    <n v="0"/>
    <n v="0"/>
    <n v="585000"/>
    <n v="0"/>
    <n v="0"/>
    <s v="0941571451"/>
    <m/>
    <m/>
    <x v="1"/>
    <s v=""/>
    <s v="CHECKOUT"/>
    <s v="410"/>
    <m/>
    <n v="585000"/>
    <n v="1"/>
  </r>
  <r>
    <s v="332"/>
    <s v="SUP-Q-PNL"/>
    <s v="502"/>
    <s v="Như Tiên"/>
    <s v="18/07/24 14:49"/>
    <s v="19/07/24 12:55"/>
    <n v="525600"/>
    <n v="15000"/>
    <n v="540600"/>
    <n v="0"/>
    <n v="15000"/>
    <n v="0"/>
    <n v="0"/>
    <n v="525600"/>
    <n v="0"/>
    <s v=""/>
    <s v=""/>
    <s v=""/>
    <x v="2"/>
    <s v=""/>
    <s v="CHECKOUT"/>
    <s v="408"/>
    <s v="1303264788_LDCB1F"/>
    <n v="525600"/>
    <n v="1"/>
  </r>
  <r>
    <s v="338"/>
    <s v="DELUXE-PNL"/>
    <s v="503"/>
    <s v="a Đường"/>
    <s v="19/07/24 15:36"/>
    <s v="19/07/24 15:47"/>
    <n v="0"/>
    <n v="0"/>
    <n v="0"/>
    <n v="0"/>
    <n v="0"/>
    <n v="0"/>
    <n v="0"/>
    <n v="0"/>
    <n v="0"/>
    <m/>
    <m/>
    <m/>
    <x v="1"/>
    <s v=""/>
    <s v="CHECKOUT"/>
    <s v="414"/>
    <m/>
    <n v="0"/>
    <n v="1"/>
  </r>
  <r>
    <s v="339"/>
    <s v="SUP-PNL"/>
    <s v="102"/>
    <s v="Tiên"/>
    <s v="19/07/24 15:42"/>
    <s v="20/07/24 08:22"/>
    <n v="585000"/>
    <n v="20000"/>
    <n v="605000"/>
    <n v="0"/>
    <n v="20000"/>
    <n v="0"/>
    <n v="585000"/>
    <n v="0"/>
    <n v="0"/>
    <m/>
    <m/>
    <m/>
    <x v="1"/>
    <s v=""/>
    <s v="CHECKOUT"/>
    <s v="415"/>
    <m/>
    <n v="585000"/>
    <n v="1"/>
  </r>
  <r>
    <s v="341"/>
    <s v="DELUXE-PNL"/>
    <s v="503"/>
    <s v="a Đường"/>
    <s v="19/07/24 16:01"/>
    <s v="20/07/24 08:32"/>
    <n v="350000"/>
    <n v="0"/>
    <n v="350000"/>
    <n v="0"/>
    <n v="350000"/>
    <n v="0"/>
    <n v="0"/>
    <n v="0"/>
    <n v="0"/>
    <m/>
    <m/>
    <m/>
    <x v="1"/>
    <s v=""/>
    <s v="CHECKOUT"/>
    <s v="417"/>
    <m/>
    <n v="350000"/>
    <n v="1"/>
  </r>
  <r>
    <s v="331"/>
    <s v="SUP-PNL"/>
    <s v="302"/>
    <s v="Công Thành"/>
    <s v="19/07/24 22:20"/>
    <s v="20/07/24 09:49"/>
    <n v="495000"/>
    <n v="0"/>
    <n v="495000"/>
    <n v="0"/>
    <n v="0"/>
    <n v="0"/>
    <n v="495000"/>
    <n v="0"/>
    <n v="0"/>
    <m/>
    <m/>
    <m/>
    <x v="1"/>
    <s v=""/>
    <s v="CHECKOUT"/>
    <s v="407"/>
    <m/>
    <n v="495000"/>
    <n v="1"/>
  </r>
  <r>
    <s v="342"/>
    <s v="DELUXE-PNL"/>
    <s v="603"/>
    <s v="Howard Terrence Charles"/>
    <s v="19/07/24 17:33"/>
    <s v="20/07/24 10:57"/>
    <n v="899000"/>
    <n v="0"/>
    <n v="899000"/>
    <n v="0"/>
    <n v="0"/>
    <n v="0"/>
    <n v="0"/>
    <n v="899000"/>
    <n v="0"/>
    <s v=""/>
    <s v=""/>
    <s v="PA7246704"/>
    <x v="1"/>
    <s v=""/>
    <s v="CHECKOUT"/>
    <s v="418"/>
    <m/>
    <n v="899000"/>
    <n v="1"/>
  </r>
  <r>
    <s v="325"/>
    <s v="SUP-Q-PNL"/>
    <s v="602"/>
    <s v="RAYMOND ROBERT BRUCE"/>
    <s v="18/07/24 14:01"/>
    <s v="20/07/24 10:59"/>
    <n v="1100000"/>
    <n v="0"/>
    <n v="1100000"/>
    <n v="0"/>
    <n v="1100000"/>
    <n v="0"/>
    <n v="0"/>
    <n v="0"/>
    <n v="0"/>
    <s v="+61 423 085 208"/>
    <s v=""/>
    <s v="PA5991073"/>
    <x v="1"/>
    <s v=""/>
    <s v="CHECKOUT"/>
    <s v="401"/>
    <m/>
    <n v="550000"/>
    <n v="2"/>
  </r>
  <r>
    <s v="340"/>
    <s v="SUP-Q-PNL"/>
    <s v="502"/>
    <s v="Như Tiên"/>
    <s v="19/07/24 17:42"/>
    <s v="20/07/24 11:00"/>
    <n v="580000"/>
    <n v="0"/>
    <n v="580000"/>
    <n v="0"/>
    <n v="580000"/>
    <n v="0"/>
    <n v="0"/>
    <n v="0"/>
    <n v="0"/>
    <s v="84 0369635638"/>
    <s v=""/>
    <s v=""/>
    <x v="1"/>
    <s v=""/>
    <s v="CHECKOUT"/>
    <s v="416"/>
    <m/>
    <n v="580000"/>
    <n v="1"/>
  </r>
  <r>
    <s v="350"/>
    <s v="DELUXE-PNL"/>
    <s v="503"/>
    <s v="Ji Hyoung Lee"/>
    <s v="20/07/24 17:42"/>
    <s v="21/07/24 08:19"/>
    <n v="549850"/>
    <n v="0"/>
    <n v="549850"/>
    <n v="0"/>
    <n v="0"/>
    <n v="0"/>
    <n v="0"/>
    <n v="549850"/>
    <n v="0"/>
    <s v="821071594928"/>
    <s v=""/>
    <s v=""/>
    <x v="2"/>
    <s v=""/>
    <s v="CHECKOUT"/>
    <s v="426"/>
    <s v="HM4E2KYS99_LDCB1F"/>
    <n v="549850"/>
    <n v="1"/>
  </r>
  <r>
    <s v="347"/>
    <s v="SUP-Q-PNL"/>
    <s v="602"/>
    <s v="tuyết băng"/>
    <s v="20/07/24 16:08"/>
    <s v="21/07/24 11:00"/>
    <n v="585000"/>
    <n v="0"/>
    <n v="585000"/>
    <n v="0"/>
    <n v="0"/>
    <n v="0"/>
    <n v="585000"/>
    <n v="0"/>
    <n v="0"/>
    <m/>
    <m/>
    <m/>
    <x v="0"/>
    <s v=""/>
    <s v="CHECKOUT"/>
    <s v="423"/>
    <m/>
    <n v="585000"/>
    <n v="1"/>
  </r>
  <r>
    <s v="348"/>
    <s v="STD-PNL"/>
    <s v="101"/>
    <s v="Hà Thanh Vy"/>
    <s v="20/07/24 17:30"/>
    <s v="21/07/24 18:32"/>
    <n v="830000"/>
    <n v="0"/>
    <n v="830000"/>
    <n v="0"/>
    <n v="530000"/>
    <n v="0"/>
    <n v="300000"/>
    <n v="0"/>
    <n v="0"/>
    <s v="0906829208"/>
    <s v=""/>
    <s v="079189032679"/>
    <x v="1"/>
    <s v=""/>
    <s v="CHECKOUT"/>
    <s v="424"/>
    <m/>
    <n v="830000"/>
    <n v="1"/>
  </r>
  <r>
    <s v="269"/>
    <s v="SUP-PNL"/>
    <s v="302"/>
    <s v="Bowker Stewart"/>
    <s v="20/07/24 13:09"/>
    <s v="21/07/24 19:28"/>
    <n v="1583280"/>
    <n v="0"/>
    <n v="1583280"/>
    <n v="0"/>
    <n v="0"/>
    <n v="0"/>
    <n v="0"/>
    <n v="1583280"/>
    <n v="0"/>
    <s v="+84919430335"/>
    <s v="sbowke.126249@guest.booking.com"/>
    <s v=""/>
    <x v="2"/>
    <s v=""/>
    <s v="CHECKOUT"/>
    <s v="327"/>
    <s v="4780775806_LDCB1F"/>
    <n v="1583280"/>
    <n v="1"/>
  </r>
  <r>
    <s v="336"/>
    <s v="STD-PNL"/>
    <s v="301"/>
    <s v="Goh Chee Liang"/>
    <s v="19/07/24 22:59"/>
    <s v="22/07/24 07:57"/>
    <n v="1500000"/>
    <n v="0"/>
    <n v="1500000"/>
    <n v="0"/>
    <n v="0"/>
    <n v="0"/>
    <n v="1500000"/>
    <n v="0"/>
    <n v="0"/>
    <s v="0867660802"/>
    <s v=""/>
    <s v="A59364398"/>
    <x v="1"/>
    <s v=""/>
    <s v="CHECKOUT"/>
    <s v="412"/>
    <m/>
    <n v="500000"/>
    <n v="3"/>
  </r>
  <r>
    <s v="186"/>
    <s v="STD-PNL"/>
    <s v="501"/>
    <s v="Brotarlo Hilario"/>
    <s v="18/07/24 17:12"/>
    <s v="22/07/24 07:58"/>
    <n v="1941120"/>
    <n v="0"/>
    <n v="1941120"/>
    <n v="0"/>
    <n v="0"/>
    <n v="0"/>
    <n v="0"/>
    <n v="1941120"/>
    <n v="0"/>
    <s v=""/>
    <s v=""/>
    <s v=""/>
    <x v="2"/>
    <s v=""/>
    <s v="CHECKOUT"/>
    <s v="218"/>
    <s v="1275690308_LDCB1F"/>
    <n v="485280"/>
    <n v="4"/>
  </r>
  <r>
    <s v="21"/>
    <s v="STD-PNL"/>
    <s v="601"/>
    <s v=" Nguyễn Hồ Hoàng Yến Anh"/>
    <s v="19/07/24 14:11"/>
    <s v="22/07/24 07:58"/>
    <n v="1592800"/>
    <n v="0"/>
    <n v="1483000"/>
    <n v="0"/>
    <n v="0"/>
    <n v="0"/>
    <n v="1483000"/>
    <n v="0"/>
    <n v="0"/>
    <s v="+84797059316"/>
    <s v="yenanhsymphony@gmail.com"/>
    <s v="07530300510"/>
    <x v="1"/>
    <s v=""/>
    <s v="CHECKOUT"/>
    <s v="21"/>
    <s v="97382391223"/>
    <n v="530933.33330000006"/>
    <n v="3"/>
  </r>
  <r>
    <s v="337"/>
    <s v="SUP-PNL"/>
    <s v="402"/>
    <s v="khách Hàn Quốc"/>
    <s v="19/07/24 13:56"/>
    <s v="22/07/24 09:38"/>
    <n v="1755000"/>
    <n v="0"/>
    <n v="1755000"/>
    <n v="0"/>
    <n v="1755000"/>
    <n v="0"/>
    <n v="0"/>
    <n v="0"/>
    <n v="0"/>
    <m/>
    <m/>
    <m/>
    <x v="1"/>
    <s v=""/>
    <s v="CHECKOUT"/>
    <s v="413"/>
    <m/>
    <n v="585000"/>
    <n v="3"/>
  </r>
  <r>
    <s v="354"/>
    <s v="SUP-Q-PNL"/>
    <s v="702"/>
    <s v="TRÌNH QUANG MINH"/>
    <s v="21/07/24 18:25"/>
    <s v="22/07/24 09:50"/>
    <n v="629000"/>
    <n v="25000"/>
    <n v="654000"/>
    <n v="0"/>
    <n v="0"/>
    <n v="0"/>
    <n v="654000"/>
    <n v="0"/>
    <n v="0"/>
    <s v=""/>
    <s v=""/>
    <s v="031090013508"/>
    <x v="1"/>
    <s v=""/>
    <s v="CHECKOUT"/>
    <s v="430"/>
    <m/>
    <n v="629000"/>
    <n v="1"/>
  </r>
  <r>
    <s v="289"/>
    <s v="STD-PNL"/>
    <s v="201"/>
    <s v="My My"/>
    <s v="18/07/24 19:09"/>
    <s v="22/07/24 10:13"/>
    <n v="1800000"/>
    <n v="0"/>
    <n v="1800000"/>
    <n v="0"/>
    <n v="1800000"/>
    <n v="0"/>
    <n v="0"/>
    <n v="0"/>
    <n v="0"/>
    <m/>
    <m/>
    <m/>
    <x v="1"/>
    <s v=""/>
    <s v="CHECKOUT"/>
    <s v="358"/>
    <m/>
    <n v="450000"/>
    <n v="4"/>
  </r>
  <r>
    <s v="289"/>
    <s v="SUP-PNL"/>
    <s v="202"/>
    <s v="Guest"/>
    <s v="18/07/24 19:09"/>
    <s v="22/07/24 10:13"/>
    <n v="2140000"/>
    <n v="0"/>
    <n v="2140000"/>
    <n v="0"/>
    <n v="2140000"/>
    <n v="0"/>
    <n v="0"/>
    <n v="0"/>
    <n v="0"/>
    <m/>
    <m/>
    <m/>
    <x v="1"/>
    <s v=""/>
    <s v="CHECKOUT"/>
    <s v="359"/>
    <m/>
    <n v="535000"/>
    <n v="4"/>
  </r>
  <r>
    <s v="353"/>
    <s v="DELUXE-PNL"/>
    <s v="403"/>
    <s v="Huỳnh Thị Na Rong"/>
    <s v="21/07/24 12:56"/>
    <s v="22/07/24 10:42"/>
    <n v="800000"/>
    <n v="50000"/>
    <n v="850000"/>
    <n v="0"/>
    <n v="850000"/>
    <n v="0"/>
    <n v="0"/>
    <n v="0"/>
    <n v="0"/>
    <m/>
    <m/>
    <m/>
    <x v="1"/>
    <s v=""/>
    <s v="CHECKOUT"/>
    <s v="429"/>
    <m/>
    <n v="800000"/>
    <n v="1"/>
  </r>
  <r>
    <s v="292"/>
    <s v="DELUXE-PNL"/>
    <s v="703"/>
    <s v="A Thông"/>
    <s v="13/07/24 14:29"/>
    <s v="22/07/24 11:00"/>
    <n v="3500000"/>
    <n v="0"/>
    <n v="3500000"/>
    <n v="0"/>
    <n v="0"/>
    <n v="0"/>
    <n v="0"/>
    <n v="3500000"/>
    <n v="0"/>
    <m/>
    <m/>
    <m/>
    <x v="0"/>
    <s v=""/>
    <s v="CHECKOUT"/>
    <s v="365"/>
    <m/>
    <n v="388888.88880000002"/>
    <n v="9"/>
  </r>
  <r>
    <s v="343"/>
    <s v="SUP-PNL"/>
    <s v="102"/>
    <s v="Bùi Thị Xoan"/>
    <s v="20/07/24 14:42"/>
    <s v="22/07/24 11:00"/>
    <n v="1165000"/>
    <n v="0"/>
    <n v="1165000"/>
    <n v="0"/>
    <n v="85000"/>
    <n v="0"/>
    <n v="1080000"/>
    <n v="0"/>
    <n v="0"/>
    <m/>
    <m/>
    <m/>
    <x v="0"/>
    <s v=""/>
    <s v="CHECKOUT"/>
    <s v="419"/>
    <m/>
    <n v="582500"/>
    <n v="2"/>
  </r>
  <r>
    <s v="345"/>
    <s v="DELUXE-PNL"/>
    <s v="603"/>
    <s v="Madan Karina"/>
    <s v="20/07/24 17:33"/>
    <s v="22/07/24 11:00"/>
    <n v="1603440"/>
    <n v="0"/>
    <n v="1603440"/>
    <n v="0"/>
    <n v="0"/>
    <n v="0"/>
    <n v="0"/>
    <n v="1603440"/>
    <n v="0"/>
    <s v="855 +85577613006"/>
    <s v=""/>
    <s v="124769749"/>
    <x v="2"/>
    <s v=""/>
    <s v="CHECKOUT"/>
    <s v="421"/>
    <s v="1330880397_LDCB1F"/>
    <n v="801720"/>
    <n v="2"/>
  </r>
  <r>
    <s v="349"/>
    <s v="DELUXE-PNL"/>
    <s v="103"/>
    <s v="Tiffany Le"/>
    <s v="21/07/24 14:18"/>
    <s v="22/07/24 11:00"/>
    <n v="495000"/>
    <n v="0"/>
    <n v="495000"/>
    <n v="0"/>
    <n v="0"/>
    <n v="0"/>
    <n v="495000"/>
    <n v="0"/>
    <n v="0"/>
    <s v="0586701730"/>
    <s v=""/>
    <s v=""/>
    <x v="1"/>
    <s v=""/>
    <s v="CHECKOUT"/>
    <s v="425"/>
    <m/>
    <n v="495000"/>
    <n v="1"/>
  </r>
  <r>
    <s v="352"/>
    <s v="DELUXE-PNL"/>
    <s v="503"/>
    <s v="Đỗ Duy Sang"/>
    <s v="21/07/24 21:38"/>
    <s v="22/07/24 11:00"/>
    <n v="566640"/>
    <n v="0"/>
    <n v="566640"/>
    <n v="0"/>
    <n v="0"/>
    <n v="0"/>
    <n v="0"/>
    <n v="566640"/>
    <n v="0"/>
    <s v="0965096971"/>
    <s v=""/>
    <s v="052202000098"/>
    <x v="2"/>
    <s v=""/>
    <s v="CHECKOUT"/>
    <s v="428"/>
    <s v="1306222036_LDCB1F"/>
    <n v="566640"/>
    <n v="1"/>
  </r>
  <r>
    <s v="344"/>
    <s v="SUP-Q-PNL"/>
    <s v="502"/>
    <s v="Minh Khoa Vo"/>
    <s v="20/07/24 13:43"/>
    <s v="22/07/24 11:00"/>
    <n v="1095000"/>
    <n v="0"/>
    <n v="1095000"/>
    <n v="0"/>
    <n v="300000"/>
    <n v="0"/>
    <n v="795000"/>
    <n v="0"/>
    <n v="0"/>
    <s v=""/>
    <s v=""/>
    <s v=""/>
    <x v="1"/>
    <s v=""/>
    <s v="CHECKOUT"/>
    <s v="420"/>
    <m/>
    <n v="547500"/>
    <n v="2"/>
  </r>
  <r>
    <s v="359"/>
    <s v="SUP-PNL"/>
    <s v="102"/>
    <s v="Bùi Thị Xoan"/>
    <s v="22/07/24 18:50"/>
    <s v="23/07/24 08:24"/>
    <n v="580000"/>
    <n v="0"/>
    <n v="580000"/>
    <n v="0"/>
    <n v="0"/>
    <n v="0"/>
    <n v="580000"/>
    <n v="0"/>
    <n v="0"/>
    <m/>
    <m/>
    <m/>
    <x v="0"/>
    <s v=""/>
    <s v="CHECKOUT"/>
    <s v="435"/>
    <m/>
    <n v="580000"/>
    <n v="1"/>
  </r>
  <r>
    <s v="358"/>
    <s v="DELUXE-PNL"/>
    <s v="403"/>
    <s v="Huỳnh Thanh Liêm"/>
    <s v="22/07/24 18:50"/>
    <s v="23/07/24 08:24"/>
    <n v="450000"/>
    <n v="0"/>
    <n v="450000"/>
    <n v="0"/>
    <n v="0"/>
    <n v="0"/>
    <n v="450000"/>
    <n v="0"/>
    <n v="0"/>
    <s v="0906394640"/>
    <s v=""/>
    <s v=""/>
    <x v="1"/>
    <s v=""/>
    <s v="CHECKOUT"/>
    <s v="434"/>
    <m/>
    <n v="450000"/>
    <n v="1"/>
  </r>
  <r>
    <s v="351"/>
    <s v="STD-PNL"/>
    <s v="101"/>
    <s v="Nghiêm Thảo Tâm"/>
    <s v="21/07/24 18:32"/>
    <s v="23/07/24 11:00"/>
    <n v="940500"/>
    <n v="0"/>
    <n v="940500"/>
    <n v="0"/>
    <n v="0"/>
    <n v="0"/>
    <n v="0"/>
    <n v="940500"/>
    <n v="0"/>
    <s v="0919200503"/>
    <s v=""/>
    <s v="077303002278"/>
    <x v="5"/>
    <s v=""/>
    <s v="CHECKOUT"/>
    <s v="427"/>
    <m/>
    <n v="470250"/>
    <n v="2"/>
  </r>
  <r>
    <s v="363"/>
    <s v="DELUXE-PNL"/>
    <s v="503"/>
    <s v="Vũ Nhật Trường"/>
    <s v="23/07/24 15:24"/>
    <s v="23/07/24 17:23"/>
    <n v="400000"/>
    <n v="0"/>
    <n v="400000"/>
    <n v="0"/>
    <n v="400000"/>
    <n v="0"/>
    <n v="0"/>
    <n v="0"/>
    <n v="0"/>
    <m/>
    <m/>
    <m/>
    <x v="1"/>
    <s v=""/>
    <s v="CHECKOUT"/>
    <s v="439"/>
    <m/>
    <n v="400000"/>
    <n v="1"/>
  </r>
  <r>
    <s v="224"/>
    <s v="STD-PNL"/>
    <s v="301"/>
    <s v="Guest"/>
    <s v="22/07/24 17:23"/>
    <s v="24/07/24 08:20"/>
    <n v="997542"/>
    <n v="0"/>
    <n v="997542"/>
    <n v="0"/>
    <n v="0"/>
    <n v="0"/>
    <n v="0"/>
    <n v="997542"/>
    <n v="0"/>
    <m/>
    <m/>
    <m/>
    <x v="5"/>
    <s v=""/>
    <s v="CHECKOUT"/>
    <s v="270"/>
    <m/>
    <n v="498771"/>
    <n v="2"/>
  </r>
  <r>
    <s v="224"/>
    <s v="STD-PNL"/>
    <s v="201"/>
    <s v="Guest"/>
    <s v="22/07/24 17:23"/>
    <s v="24/07/24 08:20"/>
    <n v="1398000"/>
    <n v="0"/>
    <n v="1398000"/>
    <n v="0"/>
    <n v="0"/>
    <n v="0"/>
    <n v="0"/>
    <n v="1398000"/>
    <n v="0"/>
    <m/>
    <m/>
    <m/>
    <x v="5"/>
    <s v=""/>
    <s v="CHECKOUT"/>
    <s v="272"/>
    <m/>
    <n v="699000"/>
    <n v="2"/>
  </r>
  <r>
    <s v="224"/>
    <s v="SUP-PNL"/>
    <s v="402"/>
    <s v="Guest"/>
    <s v="22/07/24 17:23"/>
    <s v="24/07/24 08:20"/>
    <n v="997542"/>
    <n v="0"/>
    <n v="997542"/>
    <n v="0"/>
    <n v="0"/>
    <n v="0"/>
    <n v="0"/>
    <n v="997542"/>
    <n v="0"/>
    <m/>
    <m/>
    <m/>
    <x v="5"/>
    <s v=""/>
    <s v="CHECKOUT"/>
    <s v="271"/>
    <m/>
    <n v="498771"/>
    <n v="2"/>
  </r>
  <r>
    <s v="224"/>
    <s v="SUP-PNL"/>
    <s v="302"/>
    <s v="Lin Hy"/>
    <s v="22/07/24 17:23"/>
    <s v="24/07/24 08:20"/>
    <n v="997542"/>
    <n v="0"/>
    <n v="997542"/>
    <n v="0"/>
    <n v="0"/>
    <n v="0"/>
    <n v="0"/>
    <n v="997542"/>
    <n v="0"/>
    <m/>
    <m/>
    <m/>
    <x v="5"/>
    <s v=""/>
    <s v="CHECKOUT"/>
    <s v="273"/>
    <m/>
    <n v="498771"/>
    <n v="2"/>
  </r>
  <r>
    <s v="224"/>
    <s v="DELUXE-PNL"/>
    <s v="103"/>
    <s v="Guest"/>
    <s v="22/07/24 17:23"/>
    <s v="24/07/24 08:20"/>
    <n v="997542"/>
    <n v="0"/>
    <n v="997542"/>
    <n v="0"/>
    <n v="0"/>
    <n v="0"/>
    <n v="0"/>
    <n v="997542"/>
    <n v="0"/>
    <s v=""/>
    <s v=""/>
    <s v=""/>
    <x v="5"/>
    <s v=""/>
    <s v="CHECKOUT"/>
    <s v="269"/>
    <m/>
    <n v="498771"/>
    <n v="2"/>
  </r>
  <r>
    <s v="224"/>
    <s v="DELUXE-PNL"/>
    <s v="203"/>
    <s v="Dang Katherine"/>
    <s v="22/07/24 17:23"/>
    <s v="24/07/24 08:20"/>
    <n v="997542"/>
    <n v="0"/>
    <n v="997542"/>
    <n v="0"/>
    <n v="0"/>
    <n v="0"/>
    <n v="0"/>
    <n v="997542"/>
    <n v="0"/>
    <s v=""/>
    <s v=""/>
    <s v="679341618"/>
    <x v="5"/>
    <s v=""/>
    <s v="CHECKOUT"/>
    <s v="274"/>
    <m/>
    <n v="498771"/>
    <n v="2"/>
  </r>
  <r>
    <s v="324"/>
    <s v="SUP-Q-PNL"/>
    <s v="602"/>
    <s v="Nguyễn Thanh Tuấn"/>
    <s v="21/07/24 17:28"/>
    <s v="24/07/24 10:29"/>
    <n v="1890000"/>
    <n v="0"/>
    <n v="1890000"/>
    <n v="0"/>
    <n v="0"/>
    <n v="0"/>
    <n v="1890000"/>
    <n v="0"/>
    <n v="0"/>
    <s v="+84 397910890"/>
    <s v=""/>
    <s v="001090031164"/>
    <x v="1"/>
    <s v=""/>
    <s v="CHECKOUT"/>
    <s v="400"/>
    <m/>
    <n v="630000"/>
    <n v="3"/>
  </r>
  <r>
    <s v="356"/>
    <s v="SUP-PNL"/>
    <s v="202"/>
    <s v="Thư"/>
    <s v="23/07/24 13:43"/>
    <s v="24/07/24 11:00"/>
    <n v="585000"/>
    <n v="0"/>
    <n v="585000"/>
    <n v="0"/>
    <n v="0"/>
    <n v="0"/>
    <n v="585000"/>
    <n v="0"/>
    <n v="0"/>
    <s v=""/>
    <s v=""/>
    <s v=""/>
    <x v="1"/>
    <s v=""/>
    <s v="CHECKOUT"/>
    <s v="432"/>
    <m/>
    <n v="585000"/>
    <n v="1"/>
  </r>
  <r>
    <s v="366"/>
    <s v="SUP-Q-PNL"/>
    <s v="702"/>
    <s v="Hồ Tấn Thịnh"/>
    <s v="24/07/24 18:48"/>
    <s v="25/07/24 10:14"/>
    <n v="650000"/>
    <n v="0"/>
    <n v="650000"/>
    <n v="0"/>
    <n v="0"/>
    <n v="0"/>
    <n v="650000"/>
    <n v="0"/>
    <n v="0"/>
    <s v="0975852340"/>
    <s v=""/>
    <s v="058098005740"/>
    <x v="1"/>
    <s v=""/>
    <s v="CHECKOUT"/>
    <s v="449"/>
    <m/>
    <n v="650000"/>
    <n v="1"/>
  </r>
  <r>
    <s v="369"/>
    <s v="SUP-PNL"/>
    <s v="102"/>
    <s v="Đoàn Yên Thanh"/>
    <s v="24/07/24 22:59"/>
    <s v="25/07/24 13:37"/>
    <n v="600000"/>
    <n v="35000"/>
    <n v="635000"/>
    <n v="0"/>
    <n v="35000"/>
    <n v="0"/>
    <n v="600000"/>
    <n v="0"/>
    <n v="0"/>
    <s v="0818972932"/>
    <s v=""/>
    <s v="096198001301"/>
    <x v="1"/>
    <s v=""/>
    <s v="CHECKOUT"/>
    <s v="453"/>
    <m/>
    <n v="600000"/>
    <n v="1"/>
  </r>
  <r>
    <s v="372"/>
    <s v="DELUXE-PNL"/>
    <s v="703"/>
    <s v="Trần Thị Mạnh"/>
    <s v="25/07/24 13:05"/>
    <s v="25/07/24 14:08"/>
    <n v="450000"/>
    <n v="0"/>
    <n v="450000"/>
    <n v="0"/>
    <n v="450000"/>
    <n v="0"/>
    <n v="0"/>
    <n v="0"/>
    <n v="0"/>
    <m/>
    <m/>
    <m/>
    <x v="1"/>
    <s v=""/>
    <s v="CHECKOUT"/>
    <s v="456"/>
    <m/>
    <n v="450000"/>
    <n v="1"/>
  </r>
  <r>
    <s v="371"/>
    <s v="SUP-Q-PNL"/>
    <s v="702"/>
    <s v="Hồ Tấn Thịnh"/>
    <s v="25/07/24 12:55"/>
    <s v="25/07/24 16:16"/>
    <n v="500000"/>
    <n v="0"/>
    <n v="500000"/>
    <n v="0"/>
    <n v="100000"/>
    <n v="0"/>
    <n v="400000"/>
    <n v="0"/>
    <n v="0"/>
    <s v="0975852340"/>
    <s v=""/>
    <s v="058098005740"/>
    <x v="1"/>
    <s v=""/>
    <s v="CHECKOUT"/>
    <s v="455"/>
    <m/>
    <n v="500000"/>
    <n v="1"/>
  </r>
  <r>
    <s v="365"/>
    <s v="SUP-PNL"/>
    <s v="402"/>
    <s v="Guest"/>
    <s v="24/07/24 14:01"/>
    <s v="25/07/24 16:17"/>
    <n v="1100000"/>
    <n v="0"/>
    <n v="1100000"/>
    <n v="0"/>
    <n v="0"/>
    <n v="0"/>
    <n v="0"/>
    <n v="0"/>
    <n v="1100000"/>
    <m/>
    <m/>
    <m/>
    <x v="1"/>
    <s v=""/>
    <s v="CHECKOUT"/>
    <s v="448"/>
    <m/>
    <n v="1100000"/>
    <n v="1"/>
  </r>
  <r>
    <s v="242"/>
    <s v="DELUXE-PNL"/>
    <s v="303"/>
    <s v="MORISHIMA HIROFUTO"/>
    <s v="05/07/24 13:39"/>
    <s v="26/07/24 08:33"/>
    <n v="14700000"/>
    <n v="1378400"/>
    <n v="16078400"/>
    <n v="0"/>
    <n v="0"/>
    <n v="0"/>
    <n v="0"/>
    <n v="16078400"/>
    <n v="0"/>
    <s v=""/>
    <s v=""/>
    <s v="TR5543854"/>
    <x v="1"/>
    <s v=""/>
    <s v="CHECKOUT"/>
    <s v="293"/>
    <m/>
    <n v="700000"/>
    <n v="21"/>
  </r>
  <r>
    <s v="364"/>
    <s v="DELUXE-PNL"/>
    <s v="503"/>
    <s v="Nguyễn Thị Thảo Ngân"/>
    <s v="24/07/24 21:42"/>
    <s v="26/07/24 08:34"/>
    <n v="1798000"/>
    <n v="0"/>
    <n v="1798000"/>
    <n v="0"/>
    <n v="1298000"/>
    <n v="0"/>
    <n v="500000"/>
    <n v="0"/>
    <n v="0"/>
    <s v="0788953782"/>
    <s v=""/>
    <s v="087304017123"/>
    <x v="1"/>
    <s v=""/>
    <s v="CHECKOUT"/>
    <s v="440"/>
    <m/>
    <n v="899000"/>
    <n v="2"/>
  </r>
  <r>
    <s v="362"/>
    <s v="SUP-PNL"/>
    <s v="102"/>
    <s v="Tiffany"/>
    <s v="25/07/24 18:24"/>
    <s v="26/07/24 11:00"/>
    <n v="549000"/>
    <n v="20000"/>
    <n v="569000"/>
    <n v="0"/>
    <n v="369000"/>
    <n v="0"/>
    <n v="200000"/>
    <n v="0"/>
    <n v="0"/>
    <m/>
    <m/>
    <m/>
    <x v="1"/>
    <s v=""/>
    <s v="CHECKOUT"/>
    <s v="438"/>
    <m/>
    <n v="549000"/>
    <n v="1"/>
  </r>
  <r>
    <s v="365"/>
    <s v="STD-PNL"/>
    <s v="101"/>
    <s v="Guest"/>
    <s v="24/07/24 14:01"/>
    <s v="26/07/24 11:00"/>
    <n v="1100000"/>
    <n v="704000"/>
    <n v="1804000"/>
    <n v="0"/>
    <n v="0"/>
    <n v="0"/>
    <n v="1804000"/>
    <n v="0"/>
    <n v="0"/>
    <s v=""/>
    <s v=""/>
    <s v=""/>
    <x v="1"/>
    <s v=""/>
    <s v="CHECKOUT"/>
    <s v="441"/>
    <m/>
    <n v="550000"/>
    <n v="2"/>
  </r>
  <r>
    <s v="365"/>
    <s v="STD-PNL"/>
    <s v="201"/>
    <s v="Guest"/>
    <s v="24/07/24 14:01"/>
    <s v="26/07/24 11:00"/>
    <n v="1000000"/>
    <n v="0"/>
    <n v="1000000"/>
    <n v="0"/>
    <n v="0"/>
    <n v="0"/>
    <n v="1000000"/>
    <n v="0"/>
    <n v="0"/>
    <m/>
    <m/>
    <m/>
    <x v="1"/>
    <s v=""/>
    <s v="CHECKOUT"/>
    <s v="442"/>
    <m/>
    <n v="500000"/>
    <n v="2"/>
  </r>
  <r>
    <s v="365"/>
    <s v="STD-PNL"/>
    <s v="301"/>
    <s v="Guest"/>
    <s v="24/07/24 14:01"/>
    <s v="26/07/24 11:00"/>
    <n v="1000000"/>
    <n v="0"/>
    <n v="1000000"/>
    <n v="0"/>
    <n v="0"/>
    <n v="0"/>
    <n v="1000000"/>
    <n v="0"/>
    <n v="0"/>
    <m/>
    <m/>
    <m/>
    <x v="1"/>
    <s v=""/>
    <s v="CHECKOUT"/>
    <s v="443"/>
    <m/>
    <n v="500000"/>
    <n v="2"/>
  </r>
  <r>
    <s v="365"/>
    <s v="SUP-PNL"/>
    <s v="202"/>
    <s v="Guest"/>
    <s v="24/07/24 14:01"/>
    <s v="26/07/24 11:00"/>
    <n v="1100000"/>
    <n v="0"/>
    <n v="1100000"/>
    <n v="0"/>
    <n v="0"/>
    <n v="0"/>
    <n v="1100000"/>
    <n v="0"/>
    <n v="0"/>
    <m/>
    <m/>
    <m/>
    <x v="1"/>
    <s v=""/>
    <s v="CHECKOUT"/>
    <s v="444"/>
    <m/>
    <n v="550000"/>
    <n v="2"/>
  </r>
  <r>
    <s v="365"/>
    <s v="SUP-Q-PNL"/>
    <s v="502"/>
    <s v="Phương Khánh"/>
    <s v="24/07/24 14:01"/>
    <s v="26/07/24 11:00"/>
    <n v="1100000"/>
    <n v="0"/>
    <n v="1100000"/>
    <n v="0"/>
    <n v="0"/>
    <n v="0"/>
    <n v="1100000"/>
    <n v="0"/>
    <n v="0"/>
    <s v="0364670991"/>
    <m/>
    <m/>
    <x v="1"/>
    <s v=""/>
    <s v="CHECKOUT"/>
    <s v="445"/>
    <m/>
    <n v="550000"/>
    <n v="2"/>
  </r>
  <r>
    <s v="365"/>
    <s v="SUP-PNL"/>
    <s v="302"/>
    <s v="Guest"/>
    <s v="24/07/24 14:01"/>
    <s v="26/07/24 11:00"/>
    <n v="1006000"/>
    <n v="0"/>
    <n v="1006000"/>
    <n v="0"/>
    <n v="0"/>
    <n v="0"/>
    <n v="1006000"/>
    <n v="0"/>
    <n v="0"/>
    <m/>
    <m/>
    <m/>
    <x v="1"/>
    <s v=""/>
    <s v="CHECKOUT"/>
    <s v="446"/>
    <m/>
    <n v="503000"/>
    <n v="2"/>
  </r>
  <r>
    <s v="367"/>
    <s v="SUP-Q-PNL"/>
    <s v="602"/>
    <s v="cô Hường"/>
    <s v="24/07/24 14:02"/>
    <s v="26/07/24 11:00"/>
    <n v="1300000"/>
    <n v="200000"/>
    <n v="1500000"/>
    <n v="0"/>
    <n v="0"/>
    <n v="0"/>
    <n v="1500000"/>
    <n v="0"/>
    <n v="0"/>
    <s v="0912025228"/>
    <s v=""/>
    <s v=""/>
    <x v="1"/>
    <s v=""/>
    <s v="CHECKOUT"/>
    <s v="451"/>
    <m/>
    <n v="650000"/>
    <n v="2"/>
  </r>
  <r>
    <s v="368"/>
    <s v="DELUXE-PNL"/>
    <s v="403"/>
    <s v="Huỳnh Đức Thạnh"/>
    <s v="25/07/24 14:08"/>
    <s v="26/07/24 11:00"/>
    <n v="585000"/>
    <n v="200000"/>
    <n v="785000"/>
    <n v="0"/>
    <n v="200000"/>
    <n v="0"/>
    <n v="585000"/>
    <n v="0"/>
    <n v="0"/>
    <s v="0969193095"/>
    <s v=""/>
    <s v=""/>
    <x v="1"/>
    <s v=""/>
    <s v="CHECKOUT"/>
    <s v="452"/>
    <m/>
    <n v="585000"/>
    <n v="1"/>
  </r>
  <r>
    <s v="365"/>
    <s v="DELUXE-PNL"/>
    <s v="103"/>
    <s v="Guest"/>
    <s v="24/07/24 14:01"/>
    <s v="26/07/24 12:35"/>
    <n v="1100000"/>
    <n v="0"/>
    <n v="1100000"/>
    <n v="0"/>
    <n v="0"/>
    <n v="0"/>
    <n v="2200000"/>
    <n v="0"/>
    <n v="-1100000"/>
    <m/>
    <m/>
    <m/>
    <x v="1"/>
    <s v=""/>
    <s v="CHECKOUT"/>
    <s v="447"/>
    <m/>
    <n v="550000"/>
    <n v="2"/>
  </r>
  <r>
    <s v="367"/>
    <s v="DELUXE-PNL"/>
    <s v="603"/>
    <s v="Guest"/>
    <s v="24/07/24 14:02"/>
    <s v="26/07/24 16:21"/>
    <n v="1600000"/>
    <n v="0"/>
    <n v="1600000"/>
    <n v="0"/>
    <n v="0"/>
    <n v="0"/>
    <n v="1600000"/>
    <n v="0"/>
    <n v="0"/>
    <s v=""/>
    <s v=""/>
    <s v=""/>
    <x v="1"/>
    <s v=""/>
    <s v="CHECKOUT"/>
    <s v="450"/>
    <m/>
    <n v="800000"/>
    <n v="2"/>
  </r>
  <r>
    <s v="374"/>
    <s v="SUP-PNL"/>
    <s v="302"/>
    <s v="Khojamiryan Inna"/>
    <s v="26/07/24 14:25"/>
    <s v="27/07/24 09:41"/>
    <n v="712080"/>
    <n v="0"/>
    <n v="712080"/>
    <n v="0"/>
    <n v="0"/>
    <n v="0"/>
    <n v="0"/>
    <n v="712080"/>
    <n v="0"/>
    <s v="+374 91 006933"/>
    <s v="ikhoja.474901@guest.booking.com"/>
    <s v=""/>
    <x v="2"/>
    <s v=""/>
    <s v="CHECKOUT"/>
    <s v="458"/>
    <s v="4363913969_LDCB1F"/>
    <n v="712080"/>
    <n v="1"/>
  </r>
  <r>
    <s v="375"/>
    <s v="SUP-PNL"/>
    <s v="202"/>
    <s v="Nguyễn Hồ Hoàng Yến Anh"/>
    <s v="26/07/24 17:00"/>
    <s v="27/07/24 09:42"/>
    <n v="549000"/>
    <n v="0"/>
    <n v="549000"/>
    <n v="0"/>
    <n v="0"/>
    <n v="0"/>
    <n v="549000"/>
    <n v="0"/>
    <n v="0"/>
    <s v="0797059316"/>
    <s v=""/>
    <s v="075303005150"/>
    <x v="1"/>
    <s v=""/>
    <s v="CHECKOUT"/>
    <s v="459"/>
    <m/>
    <n v="549000"/>
    <n v="1"/>
  </r>
  <r>
    <s v="379"/>
    <s v="SUP-Q-PNL"/>
    <s v="502"/>
    <s v="Phạm Hồng Luân"/>
    <s v="26/07/24 18:09"/>
    <s v="27/07/24 10:27"/>
    <n v="749000"/>
    <n v="0"/>
    <n v="749000"/>
    <n v="0"/>
    <n v="0"/>
    <n v="0"/>
    <n v="749000"/>
    <n v="0"/>
    <n v="0"/>
    <s v="0977943443"/>
    <s v=""/>
    <s v="051082000219"/>
    <x v="1"/>
    <s v=""/>
    <s v="CHECKOUT"/>
    <s v="464"/>
    <m/>
    <n v="749000"/>
    <n v="1"/>
  </r>
  <r>
    <s v="389"/>
    <s v="SUP-Q-PNL"/>
    <s v="702"/>
    <s v="Nguyễn Hồng phong"/>
    <s v="27/07/24 18:43"/>
    <s v="28/07/24 08:39"/>
    <n v="700000"/>
    <n v="0"/>
    <n v="700000"/>
    <n v="0"/>
    <n v="0"/>
    <n v="0"/>
    <n v="700000"/>
    <n v="0"/>
    <n v="0"/>
    <s v=""/>
    <s v=""/>
    <s v=""/>
    <x v="1"/>
    <s v=""/>
    <s v="CHECKOUT"/>
    <s v="475"/>
    <m/>
    <n v="700000"/>
    <n v="1"/>
  </r>
  <r>
    <s v="389"/>
    <s v="DELUXE-PNL"/>
    <s v="503"/>
    <s v="Guest"/>
    <s v="27/07/24 18:43"/>
    <s v="28/07/24 08:39"/>
    <n v="900000"/>
    <n v="0"/>
    <n v="900000"/>
    <n v="0"/>
    <n v="0"/>
    <n v="0"/>
    <n v="900000"/>
    <n v="0"/>
    <n v="0"/>
    <m/>
    <m/>
    <m/>
    <x v="1"/>
    <s v=""/>
    <s v="CHECKOUT"/>
    <s v="477"/>
    <m/>
    <n v="900000"/>
    <n v="1"/>
  </r>
  <r>
    <s v="378"/>
    <s v="SUP-PNL"/>
    <s v="102"/>
    <s v="Berge Tommy"/>
    <s v="26/07/24 15:52"/>
    <s v="28/07/24 11:00"/>
    <n v="1298000"/>
    <n v="0"/>
    <n v="1298000"/>
    <n v="0"/>
    <n v="1298000"/>
    <n v="0"/>
    <n v="0"/>
    <n v="0"/>
    <n v="0"/>
    <s v="84 0800092944"/>
    <s v=""/>
    <s v=""/>
    <x v="1"/>
    <s v=""/>
    <s v="CHECKOUT"/>
    <s v="463"/>
    <m/>
    <n v="649000"/>
    <n v="2"/>
  </r>
  <r>
    <s v="382"/>
    <s v="SUP-Q-PNL"/>
    <s v="502"/>
    <s v="Changhwan,park"/>
    <s v="27/07/24 14:12"/>
    <s v="28/07/24 11:00"/>
    <n v="555750"/>
    <n v="0"/>
    <n v="555750"/>
    <n v="0"/>
    <n v="0"/>
    <n v="0"/>
    <n v="0"/>
    <n v="555750"/>
    <n v="0"/>
    <s v=""/>
    <s v=""/>
    <s v=""/>
    <x v="5"/>
    <s v=""/>
    <s v="CHECKOUT"/>
    <s v="467"/>
    <m/>
    <n v="555750"/>
    <n v="1"/>
  </r>
  <r>
    <s v="383"/>
    <s v="DELUXE-PNL"/>
    <s v="203"/>
    <s v="Thục Uyên"/>
    <s v="27/07/24 14:12"/>
    <s v="28/07/24 11:00"/>
    <n v="750000"/>
    <n v="0"/>
    <n v="750000"/>
    <n v="0"/>
    <n v="750000"/>
    <n v="0"/>
    <n v="0"/>
    <n v="0"/>
    <n v="0"/>
    <s v="0379479600"/>
    <m/>
    <m/>
    <x v="1"/>
    <s v=""/>
    <s v="CHECKOUT"/>
    <s v="468"/>
    <m/>
    <n v="750000"/>
    <n v="1"/>
  </r>
  <r>
    <s v="387"/>
    <s v="STD-PNL"/>
    <s v="101"/>
    <s v="Dương Đoàn Uyên Nhi"/>
    <s v="27/07/24 16:09"/>
    <s v="28/07/24 11:00"/>
    <n v="649000"/>
    <n v="0"/>
    <n v="649000"/>
    <n v="0"/>
    <n v="0"/>
    <n v="0"/>
    <n v="649000"/>
    <n v="0"/>
    <n v="0"/>
    <s v="+84906103308"/>
    <s v="duonguyennhi160207@gmail.com"/>
    <s v="079307024868"/>
    <x v="1"/>
    <s v=""/>
    <s v="CHECKOUT"/>
    <s v="472"/>
    <s v="69539022217"/>
    <n v="649000"/>
    <n v="1"/>
  </r>
  <r>
    <s v="390"/>
    <s v="SUP-Q-PNL"/>
    <s v="702"/>
    <s v="HUANG JIAHAO"/>
    <s v="28/07/24 11:06"/>
    <s v="28/07/24 13:04"/>
    <n v="400000"/>
    <n v="0"/>
    <n v="400000"/>
    <n v="0"/>
    <n v="400000"/>
    <n v="0"/>
    <n v="0"/>
    <n v="0"/>
    <n v="0"/>
    <s v="0908128087"/>
    <s v=""/>
    <s v="ER2031302"/>
    <x v="1"/>
    <s v=""/>
    <s v="CHECKOUT"/>
    <s v="478"/>
    <m/>
    <n v="400000"/>
    <n v="1"/>
  </r>
  <r>
    <s v="391"/>
    <s v="SUP-PNL"/>
    <s v="102"/>
    <s v="HUỲNH QUỐC TUẤN"/>
    <s v="28/07/24 13:10"/>
    <s v="29/07/24 08:27"/>
    <n v="400000"/>
    <n v="0"/>
    <n v="400000"/>
    <n v="0"/>
    <n v="0"/>
    <n v="0"/>
    <n v="400000"/>
    <n v="0"/>
    <n v="0"/>
    <s v="0902368395"/>
    <s v=""/>
    <s v="049084017452"/>
    <x v="1"/>
    <s v=""/>
    <s v="CHECKOUT"/>
    <s v="479"/>
    <m/>
    <n v="400000"/>
    <n v="1"/>
  </r>
  <r>
    <s v="329"/>
    <s v="SUP-Q-PNL"/>
    <s v="602"/>
    <s v="Lê Gia Khánh"/>
    <s v="27/07/24 14:12"/>
    <s v="29/07/24 08:28"/>
    <n v="1258000"/>
    <n v="0"/>
    <n v="1258000"/>
    <n v="0"/>
    <n v="0"/>
    <n v="0"/>
    <n v="1258000"/>
    <n v="0"/>
    <n v="0"/>
    <s v="0849457828"/>
    <s v=""/>
    <s v=""/>
    <x v="1"/>
    <s v=""/>
    <s v="CHECKOUT"/>
    <s v="405"/>
    <m/>
    <n v="629000"/>
    <n v="2"/>
  </r>
  <r>
    <s v="389"/>
    <s v="DELUXE-PNL"/>
    <s v="703"/>
    <s v="Guest"/>
    <s v="27/07/24 18:43"/>
    <s v="29/07/24 09:24"/>
    <n v="1800000"/>
    <n v="35000"/>
    <n v="1835000"/>
    <n v="0"/>
    <n v="35000"/>
    <n v="0"/>
    <n v="1800000"/>
    <n v="0"/>
    <n v="0"/>
    <m/>
    <m/>
    <m/>
    <x v="1"/>
    <s v=""/>
    <s v="CHECKOUT"/>
    <s v="476"/>
    <m/>
    <n v="900000"/>
    <n v="2"/>
  </r>
  <r>
    <s v="389"/>
    <s v="DELUXE-PNL"/>
    <s v="603"/>
    <s v="Guest"/>
    <s v="27/07/24 18:43"/>
    <s v="29/07/24 09:24"/>
    <n v="1800000"/>
    <n v="0"/>
    <n v="1800000"/>
    <n v="0"/>
    <n v="0"/>
    <n v="0"/>
    <n v="1800000"/>
    <n v="0"/>
    <n v="0"/>
    <m/>
    <m/>
    <m/>
    <x v="1"/>
    <s v=""/>
    <s v="CHECKOUT"/>
    <s v="474"/>
    <m/>
    <n v="900000"/>
    <n v="2"/>
  </r>
  <r>
    <s v="388"/>
    <s v="SUP-PNL"/>
    <s v="302"/>
    <s v="Trần Thị Ngọc Anh"/>
    <s v="27/07/24 17:49"/>
    <s v="29/07/24 10:27"/>
    <n v="1300000"/>
    <n v="0"/>
    <n v="1300000"/>
    <n v="0"/>
    <n v="0"/>
    <n v="0"/>
    <n v="1300000"/>
    <n v="0"/>
    <n v="0"/>
    <s v="0358000810"/>
    <s v=""/>
    <s v="020197001751"/>
    <x v="1"/>
    <s v=""/>
    <s v="CHECKOUT"/>
    <s v="473"/>
    <m/>
    <n v="650000"/>
    <n v="2"/>
  </r>
  <r>
    <s v="376"/>
    <s v="DELUXE-PNL"/>
    <s v="403"/>
    <s v="Guest"/>
    <s v="26/07/24 15:05"/>
    <s v="29/07/24 11:00"/>
    <n v="2700000"/>
    <n v="0"/>
    <n v="2700000"/>
    <n v="0"/>
    <n v="0"/>
    <n v="0"/>
    <n v="2700000"/>
    <n v="0"/>
    <n v="0"/>
    <s v=""/>
    <s v=""/>
    <s v=""/>
    <x v="1"/>
    <s v=""/>
    <s v="CHECKOUT"/>
    <s v="460"/>
    <m/>
    <n v="900000"/>
    <n v="3"/>
  </r>
  <r>
    <s v="376"/>
    <s v="SUP-PNL"/>
    <s v="402"/>
    <s v="Huỳnh Thị Thu Thủy"/>
    <s v="26/07/24 14:34"/>
    <s v="29/07/24 11:00"/>
    <n v="1950000"/>
    <n v="0"/>
    <n v="1950000"/>
    <n v="0"/>
    <n v="0"/>
    <n v="0"/>
    <n v="1950000"/>
    <n v="0"/>
    <n v="0"/>
    <m/>
    <m/>
    <m/>
    <x v="1"/>
    <s v=""/>
    <s v="CHECKOUT"/>
    <s v="461"/>
    <m/>
    <n v="650000"/>
    <n v="3"/>
  </r>
  <r>
    <s v="381"/>
    <s v="STD-PNL"/>
    <s v="101"/>
    <s v="Huang Ricky"/>
    <s v="28/07/24 18:02"/>
    <s v="29/07/24 11:23"/>
    <n v="602640"/>
    <n v="0"/>
    <n v="602640"/>
    <n v="0"/>
    <n v="602640"/>
    <n v="0"/>
    <n v="0"/>
    <n v="0"/>
    <n v="0"/>
    <s v="+1 678 670 3010"/>
    <s v="rhuang.919902@guest.booking.com"/>
    <s v=""/>
    <x v="2"/>
    <s v=""/>
    <s v="CHECKOUT"/>
    <s v="466"/>
    <s v="4443160137_LDCB1F"/>
    <n v="602640"/>
    <n v="1"/>
  </r>
  <r>
    <s v="373"/>
    <s v="SUP-PNL"/>
    <s v="402"/>
    <s v="Edwards Stephen Douglas"/>
    <s v="29/07/24 19:22"/>
    <s v="30/07/24 09:09"/>
    <n v="602640"/>
    <n v="0"/>
    <n v="602640"/>
    <n v="0"/>
    <n v="0"/>
    <n v="0"/>
    <n v="0"/>
    <n v="602640"/>
    <n v="0"/>
    <s v="+61 438 721 227"/>
    <s v="sedwar.907319@guest.booking.com"/>
    <s v="PA8781454"/>
    <x v="2"/>
    <s v=""/>
    <s v="CHECKOUT"/>
    <s v="457"/>
    <s v="4863026991_LDCB1F"/>
    <n v="602640"/>
    <n v="1"/>
  </r>
  <r>
    <s v="398"/>
    <s v="SUP-PNL"/>
    <s v="102"/>
    <s v="Dương Đoàn Uyên Nhi"/>
    <s v="29/07/24 21:29"/>
    <s v="30/07/24 09:52"/>
    <n v="549000"/>
    <n v="0"/>
    <n v="549000"/>
    <n v="0"/>
    <n v="0"/>
    <n v="0"/>
    <n v="549000"/>
    <n v="0"/>
    <n v="0"/>
    <s v="+84906103308"/>
    <s v="duonguyennhi160207@gmail.com"/>
    <s v="079307024868"/>
    <x v="1"/>
    <s v=""/>
    <s v="CHECKOUT"/>
    <s v="488"/>
    <m/>
    <n v="549000"/>
    <n v="1"/>
  </r>
  <r>
    <s v="360"/>
    <s v="STD-PNL"/>
    <s v="601"/>
    <s v="Đoàn Ngọc Bích Trân"/>
    <s v="25/07/24 15:20"/>
    <s v="30/07/24 10:52"/>
    <n v="2600000"/>
    <n v="0"/>
    <n v="2600000"/>
    <n v="0"/>
    <n v="1000000"/>
    <n v="0"/>
    <n v="1600000"/>
    <n v="0"/>
    <n v="0"/>
    <s v="0789557743"/>
    <s v=""/>
    <s v="086305009179"/>
    <x v="0"/>
    <s v=""/>
    <s v="CHECKOUT"/>
    <s v="436"/>
    <m/>
    <n v="520000"/>
    <n v="5"/>
  </r>
  <r>
    <s v="392"/>
    <s v="SUP-Q-PNL"/>
    <s v="502"/>
    <s v="Nguyễn Bé"/>
    <s v="28/07/24 18:44"/>
    <s v="30/07/24 11:00"/>
    <n v="1350000"/>
    <n v="0"/>
    <n v="1350000"/>
    <n v="0"/>
    <n v="1350000"/>
    <n v="0"/>
    <n v="0"/>
    <n v="0"/>
    <n v="0"/>
    <s v="0933531549"/>
    <s v=""/>
    <s v=""/>
    <x v="1"/>
    <s v=""/>
    <s v="CHECKOUT"/>
    <s v="480"/>
    <m/>
    <n v="675000"/>
    <n v="2"/>
  </r>
  <r>
    <s v="393"/>
    <s v="SUP-Q-PNL"/>
    <s v="602"/>
    <s v="Ngọc Lan"/>
    <s v="29/07/24 14:06"/>
    <s v="30/07/24 11:00"/>
    <n v="699000"/>
    <n v="0"/>
    <n v="699000"/>
    <n v="0"/>
    <n v="0"/>
    <n v="0"/>
    <n v="699000"/>
    <n v="0"/>
    <n v="0"/>
    <s v="0969171895"/>
    <s v=""/>
    <s v=""/>
    <x v="1"/>
    <s v=""/>
    <s v="CHECKOUT"/>
    <s v="481"/>
    <m/>
    <n v="699000"/>
    <n v="1"/>
  </r>
  <r>
    <s v="163"/>
    <s v="SUP-PNL"/>
    <s v="202"/>
    <s v="Sumiog Richel"/>
    <s v="27/07/24 22:41"/>
    <s v="30/07/24 12:52"/>
    <n v="1503031"/>
    <n v="0"/>
    <n v="1503031"/>
    <n v="0"/>
    <n v="0"/>
    <n v="0"/>
    <n v="0"/>
    <n v="1503031"/>
    <n v="0"/>
    <s v="9714357520"/>
    <s v="8kef3nr0tu@m.expediapartnercentral.com"/>
    <s v=""/>
    <x v="2"/>
    <s v=""/>
    <s v="CHECKOUT"/>
    <s v="192"/>
    <s v="260485656_LDCB1F"/>
    <n v="501010.3333"/>
    <n v="3"/>
  </r>
  <r>
    <s v="394"/>
    <s v="DELUXE-PNL"/>
    <s v="603"/>
    <s v="Nhật Xuân"/>
    <s v="29/07/24 14:06"/>
    <s v="31/07/24 08:54"/>
    <n v="1560000"/>
    <n v="352000"/>
    <n v="1912000"/>
    <n v="0"/>
    <n v="0"/>
    <n v="0"/>
    <n v="1912000"/>
    <n v="0"/>
    <n v="0"/>
    <s v=""/>
    <s v=""/>
    <s v=""/>
    <x v="1"/>
    <s v=""/>
    <s v="CHECKOUT"/>
    <s v="482"/>
    <m/>
    <n v="780000"/>
    <n v="2"/>
  </r>
  <r>
    <s v="394"/>
    <s v="DELUXE-PNL"/>
    <s v="503"/>
    <s v="Guest"/>
    <s v="29/07/24 14:06"/>
    <s v="31/07/24 08:54"/>
    <n v="1560000"/>
    <n v="0"/>
    <n v="1560000"/>
    <n v="0"/>
    <n v="0"/>
    <n v="0"/>
    <n v="1560000"/>
    <n v="0"/>
    <n v="0"/>
    <m/>
    <m/>
    <m/>
    <x v="1"/>
    <s v=""/>
    <s v="CHECKOUT"/>
    <s v="483"/>
    <m/>
    <n v="780000"/>
    <n v="2"/>
  </r>
  <r>
    <s v="221"/>
    <s v="STD-PNL"/>
    <s v="401"/>
    <s v="Guest"/>
    <s v="01/07/24 20:57"/>
    <s v="31/07/24 11:00"/>
    <n v="15000000"/>
    <n v="470000"/>
    <n v="15470000"/>
    <n v="0"/>
    <n v="90000"/>
    <n v="0"/>
    <n v="15380000"/>
    <n v="0"/>
    <n v="0"/>
    <m/>
    <m/>
    <m/>
    <x v="1"/>
    <s v=""/>
    <s v="CHECKOUT"/>
    <s v="265"/>
    <m/>
    <n v="500000"/>
    <n v="30"/>
  </r>
  <r>
    <s v="400"/>
    <s v="STD-PNL"/>
    <s v="601"/>
    <s v="Tam Tran"/>
    <s v="30/07/24 13:21"/>
    <s v="31/07/24 11:00"/>
    <n v="493920"/>
    <n v="0"/>
    <n v="493920"/>
    <n v="0"/>
    <n v="0"/>
    <n v="0"/>
    <n v="0"/>
    <n v="493920"/>
    <n v="0"/>
    <s v=""/>
    <s v=""/>
    <s v=""/>
    <x v="2"/>
    <s v=""/>
    <s v="CHECKOUT"/>
    <s v="490"/>
    <s v="1339797617_LDCB1F"/>
    <n v="493920"/>
    <n v="1"/>
  </r>
  <r>
    <s v="406"/>
    <s v="SUP-Q-PNL"/>
    <s v="502"/>
    <s v="Nguyễn Thị Thảo Ngân"/>
    <s v="31/07/24 21:24"/>
    <s v="01/08/24 09:17"/>
    <n v="649000"/>
    <n v="0"/>
    <n v="649000"/>
    <n v="0"/>
    <n v="0"/>
    <n v="0"/>
    <n v="649000"/>
    <n v="0"/>
    <n v="0"/>
    <s v="0788953782"/>
    <s v=""/>
    <s v="087304017123"/>
    <x v="1"/>
    <s v=""/>
    <s v="CHECKOUT"/>
    <s v="496"/>
    <m/>
    <n v="649000"/>
    <n v="1"/>
  </r>
  <r>
    <s v="403"/>
    <s v="STD-PNL"/>
    <s v="601"/>
    <s v="Tam Tran"/>
    <s v="31/07/24 13:45"/>
    <s v="01/08/24 10:49"/>
    <n v="493920"/>
    <n v="0"/>
    <n v="493920"/>
    <n v="0"/>
    <n v="0"/>
    <n v="0"/>
    <n v="0"/>
    <n v="493920"/>
    <n v="0"/>
    <s v="0971509921"/>
    <s v=""/>
    <s v=""/>
    <x v="2"/>
    <s v=""/>
    <s v="CHECKOUT"/>
    <s v="493"/>
    <s v="1316920728_LDCB1F"/>
    <n v="493920"/>
    <n v="1"/>
  </r>
  <r>
    <s v="355"/>
    <s v="SUP-PNL"/>
    <s v="302"/>
    <s v="Bowker Stewart"/>
    <s v="31/07/24 21:35"/>
    <s v="01/08/24 11:00"/>
    <n v="629000"/>
    <n v="0"/>
    <n v="629000"/>
    <n v="0"/>
    <n v="0"/>
    <n v="0"/>
    <n v="0"/>
    <n v="629000"/>
    <n v="0"/>
    <s v="+84919430335"/>
    <s v="sbowke.126249@guest.booking.com"/>
    <s v=""/>
    <x v="1"/>
    <s v=""/>
    <s v="CHECKOUT"/>
    <s v="431"/>
    <m/>
    <n v="629000"/>
    <n v="1"/>
  </r>
  <r>
    <s v="377"/>
    <s v="STD-PNL"/>
    <s v="201"/>
    <s v="Đinh Thị Trang"/>
    <s v="26/07/24 14:34"/>
    <s v="01/08/24 11:00"/>
    <n v="3000000"/>
    <n v="0"/>
    <n v="3000000"/>
    <n v="0"/>
    <n v="3000000"/>
    <n v="0"/>
    <n v="0"/>
    <n v="0"/>
    <n v="0"/>
    <s v=""/>
    <s v=""/>
    <s v=""/>
    <x v="1"/>
    <s v=""/>
    <s v="CHECKOUT"/>
    <s v="462"/>
    <m/>
    <n v="500000"/>
    <n v="6"/>
  </r>
  <r>
    <s v="221"/>
    <s v="STD-PNL"/>
    <s v="401"/>
    <s v="HOÀNG THỊ CẨM TÚ"/>
    <s v="31/07/24 13:45"/>
    <s v="01/08/24 11:00"/>
    <n v="500000"/>
    <n v="0"/>
    <n v="500000"/>
    <n v="0"/>
    <n v="0"/>
    <n v="0"/>
    <n v="500000"/>
    <n v="0"/>
    <n v="0"/>
    <s v="0988322553"/>
    <s v=""/>
    <s v="051196005504"/>
    <x v="1"/>
    <s v=""/>
    <s v="CHECKOUT"/>
    <s v="492"/>
    <m/>
    <n v="500000"/>
    <n v="1"/>
  </r>
  <r>
    <s v="405"/>
    <s v="SUP-PNL"/>
    <s v="402"/>
    <s v="Lê Trần Minh Trung"/>
    <s v="31/07/24 15:57"/>
    <s v="01/08/24 11:00"/>
    <n v="550000"/>
    <n v="0"/>
    <n v="550000"/>
    <n v="0"/>
    <n v="550000"/>
    <n v="0"/>
    <n v="0"/>
    <n v="0"/>
    <n v="0"/>
    <m/>
    <m/>
    <m/>
    <x v="1"/>
    <s v=""/>
    <s v="CHECKOUT"/>
    <s v="495"/>
    <m/>
    <n v="550000"/>
    <n v="1"/>
  </r>
  <r>
    <s v="346"/>
    <s v="STD-PNL"/>
    <s v="501"/>
    <s v="MINORU KOBAYASHI"/>
    <s v="23/07/24 15:53"/>
    <s v="01/08/24 17:13"/>
    <n v="4834800"/>
    <n v="0"/>
    <n v="4834800"/>
    <n v="0"/>
    <n v="0"/>
    <n v="0"/>
    <n v="0"/>
    <n v="4834800"/>
    <n v="0"/>
    <s v=""/>
    <s v=""/>
    <s v=""/>
    <x v="2"/>
    <s v=""/>
    <s v="CHECKOUT"/>
    <s v="422"/>
    <s v="1305517368_LDCB1F"/>
    <n v="537200"/>
    <n v="9"/>
  </r>
  <r>
    <s v="401"/>
    <s v="SUP-PNL"/>
    <s v="402"/>
    <s v="Guest"/>
    <s v="01/08/24 14:41"/>
    <s v="02/08/24 11:00"/>
    <n v="600000"/>
    <n v="0"/>
    <n v="600000"/>
    <n v="0"/>
    <n v="600000"/>
    <n v="0"/>
    <n v="0"/>
    <n v="0"/>
    <n v="0"/>
    <m/>
    <m/>
    <m/>
    <x v="1"/>
    <s v=""/>
    <s v="CHECKOUT"/>
    <s v="501"/>
    <m/>
    <n v="600000"/>
    <n v="1"/>
  </r>
  <r>
    <s v="411"/>
    <s v="SUP-Q-PNL"/>
    <s v="602"/>
    <s v="Guest"/>
    <s v="01/08/24 19:18"/>
    <s v="02/08/24 11:00"/>
    <n v="600000"/>
    <n v="0"/>
    <n v="600000"/>
    <n v="0"/>
    <n v="0"/>
    <n v="0"/>
    <n v="600000"/>
    <n v="0"/>
    <n v="0"/>
    <m/>
    <m/>
    <m/>
    <x v="1"/>
    <s v=""/>
    <s v="CHECKOUT"/>
    <s v="504"/>
    <m/>
    <n v="600000"/>
    <n v="1"/>
  </r>
  <r>
    <s v="412"/>
    <s v="SUP-Q-PNL"/>
    <s v="502"/>
    <s v="Thạch Thị Duyên"/>
    <s v="01/08/24 20:01"/>
    <s v="02/08/24 11:00"/>
    <n v="600000"/>
    <n v="0"/>
    <n v="600000"/>
    <n v="0"/>
    <n v="0"/>
    <n v="0"/>
    <n v="600000"/>
    <n v="0"/>
    <n v="0"/>
    <m/>
    <m/>
    <m/>
    <x v="1"/>
    <s v=""/>
    <s v="CHECKOUT"/>
    <s v="505"/>
    <m/>
    <n v="600000"/>
    <n v="1"/>
  </r>
  <r>
    <s v="232"/>
    <s v="MB-PNL"/>
    <s v="MB-PNL"/>
    <s v="MB 53PNL"/>
    <s v="03/07/24 11:16"/>
    <s v="02/08/24 12:03"/>
    <n v="28011520"/>
    <n v="2384000"/>
    <n v="30395520"/>
    <n v="0"/>
    <n v="0"/>
    <n v="0"/>
    <n v="30395520"/>
    <n v="0"/>
    <n v="0"/>
    <s v=""/>
    <s v=""/>
    <s v=""/>
    <x v="0"/>
    <s v=""/>
    <s v="CHECKOUT"/>
    <s v="282"/>
    <m/>
    <n v="933717.33330000006"/>
    <n v="30"/>
  </r>
  <r>
    <s v="414"/>
    <s v="STD-PNL"/>
    <s v="601"/>
    <s v="Thủy"/>
    <s v="02/08/24 13:41"/>
    <s v="02/08/24 17:30"/>
    <n v="460000"/>
    <n v="0"/>
    <n v="460000"/>
    <n v="0"/>
    <n v="0"/>
    <n v="0"/>
    <n v="460000"/>
    <n v="0"/>
    <n v="0"/>
    <s v="0937951194"/>
    <m/>
    <m/>
    <x v="1"/>
    <s v=""/>
    <s v="CHECKOUT"/>
    <s v="507"/>
    <m/>
    <n v="460000"/>
    <n v="1"/>
  </r>
  <r>
    <s v="416"/>
    <s v="SUP-PNL"/>
    <s v="402"/>
    <s v="Kallayi Noufal K"/>
    <s v="02/08/24 15:03"/>
    <s v="03/08/24 08:27"/>
    <n v="712080"/>
    <n v="28483"/>
    <n v="740563"/>
    <n v="0"/>
    <n v="0"/>
    <n v="0"/>
    <n v="0"/>
    <n v="740563"/>
    <n v="0"/>
    <s v="+91 96338 89544"/>
    <s v="nkalla.832041@guest.booking.com"/>
    <s v=""/>
    <x v="2"/>
    <s v=""/>
    <s v="CHECKOUT"/>
    <s v="509"/>
    <s v="4726219114_LDCB1F"/>
    <n v="712080"/>
    <n v="1"/>
  </r>
  <r>
    <s v="409"/>
    <s v="DELUXE-PNL"/>
    <s v="603"/>
    <s v="Nghiêm Thảo Tâm"/>
    <s v="01/08/24 16:10"/>
    <s v="03/08/24 11:00"/>
    <n v="1600000"/>
    <n v="0"/>
    <n v="1600000"/>
    <n v="0"/>
    <n v="0"/>
    <n v="0"/>
    <n v="1600000"/>
    <n v="0"/>
    <n v="0"/>
    <s v="84 84 0919200503"/>
    <s v=""/>
    <s v=""/>
    <x v="1"/>
    <s v=""/>
    <s v="CHECKOUT"/>
    <s v="502"/>
    <m/>
    <n v="800000"/>
    <n v="2"/>
  </r>
  <r>
    <s v="418"/>
    <s v="SUP-PNL"/>
    <s v="202"/>
    <s v="Campbell"/>
    <s v="02/08/24 16:31"/>
    <s v="03/08/24 11:00"/>
    <n v="600000"/>
    <n v="44000"/>
    <n v="644000"/>
    <n v="0"/>
    <n v="20000"/>
    <n v="0"/>
    <n v="0"/>
    <n v="624000"/>
    <n v="0"/>
    <s v=""/>
    <s v=""/>
    <s v=""/>
    <x v="1"/>
    <s v=""/>
    <s v="CHECKOUT"/>
    <s v="511"/>
    <m/>
    <n v="600000"/>
    <n v="1"/>
  </r>
  <r>
    <s v="410"/>
    <s v="STD-PNL"/>
    <s v="501"/>
    <s v="NGUYỄN ĐỨC HOÀNG"/>
    <s v="02/08/24 19:25"/>
    <s v="03/08/24 11:59"/>
    <n v="585000"/>
    <n v="0"/>
    <n v="585000"/>
    <n v="0"/>
    <n v="0"/>
    <n v="0"/>
    <n v="585000"/>
    <n v="0"/>
    <n v="0"/>
    <s v=""/>
    <s v=""/>
    <s v="001098007714"/>
    <x v="1"/>
    <s v=""/>
    <s v="CHECKOUT"/>
    <s v="503"/>
    <m/>
    <n v="585000"/>
    <n v="1"/>
  </r>
  <r>
    <s v="380"/>
    <s v="STD-PNL"/>
    <s v="301"/>
    <s v=" Lan Anh"/>
    <s v="01/08/24 23:49"/>
    <s v="04/08/24 08:44"/>
    <n v="1847000"/>
    <n v="0"/>
    <n v="1847000"/>
    <n v="0"/>
    <n v="0"/>
    <n v="0"/>
    <n v="1847000"/>
    <n v="0"/>
    <n v="0"/>
    <s v="+84336532753"/>
    <s v="Buianhbuianh01@gmail.com"/>
    <s v="045301005292"/>
    <x v="1"/>
    <s v=""/>
    <s v="CHECKOUT"/>
    <s v="465"/>
    <s v="10510744387"/>
    <n v="615666.6666"/>
    <n v="3"/>
  </r>
  <r>
    <s v="370"/>
    <s v="STD-PNL"/>
    <s v="201"/>
    <s v="chen zhiheng"/>
    <s v="26/07/24 14:34"/>
    <s v="04/08/24 08:46"/>
    <n v="3986840"/>
    <n v="0"/>
    <n v="3986840"/>
    <n v="0"/>
    <n v="0"/>
    <n v="0"/>
    <n v="0"/>
    <n v="3986840"/>
    <n v="0"/>
    <s v="442036847925"/>
    <s v=""/>
    <s v=""/>
    <x v="2"/>
    <s v=""/>
    <s v="CHECKOUT"/>
    <s v="454"/>
    <s v="452558359_LDCB1F"/>
    <n v="442982.22220000002"/>
    <n v="9"/>
  </r>
  <r>
    <s v="421"/>
    <s v="SUP-PNL"/>
    <s v="202"/>
    <s v="Bùi Thị Ngọc Trâm"/>
    <s v="03/08/24 22:31"/>
    <s v="04/08/24 08:46"/>
    <n v="450000"/>
    <n v="0"/>
    <n v="450000"/>
    <n v="0"/>
    <n v="450000"/>
    <n v="0"/>
    <n v="0"/>
    <n v="0"/>
    <n v="0"/>
    <m/>
    <m/>
    <m/>
    <x v="1"/>
    <s v=""/>
    <s v="CHECKOUT"/>
    <s v="514"/>
    <m/>
    <n v="450000"/>
    <n v="1"/>
  </r>
  <r>
    <s v="397"/>
    <s v="SUP-PNL"/>
    <s v="302"/>
    <s v="CHIA MIN YAN"/>
    <s v="01/08/24 16:41"/>
    <s v="04/08/24 08:46"/>
    <n v="1532014"/>
    <n v="0"/>
    <n v="1532014"/>
    <n v="0"/>
    <n v="0"/>
    <n v="0"/>
    <n v="0"/>
    <n v="1532014"/>
    <n v="0"/>
    <s v="60192508182"/>
    <s v=""/>
    <s v="A70021264"/>
    <x v="2"/>
    <s v=""/>
    <s v="CHECKOUT"/>
    <s v="487"/>
    <s v="HM54QMK28P_LDCB1F"/>
    <n v="510671.3333"/>
    <n v="3"/>
  </r>
  <r>
    <s v="401"/>
    <s v="STD-PNL"/>
    <s v="401"/>
    <s v="TRẦN PHƯƠNG THÔNG"/>
    <s v="01/08/24 14:41"/>
    <s v="04/08/24 11:00"/>
    <n v="1650000"/>
    <n v="350000"/>
    <n v="2000000"/>
    <n v="0"/>
    <n v="1000000"/>
    <n v="0"/>
    <n v="1000000"/>
    <n v="0"/>
    <n v="0"/>
    <s v=""/>
    <s v=""/>
    <s v="0838643129"/>
    <x v="1"/>
    <s v=""/>
    <s v="CHECKOUT"/>
    <s v="491"/>
    <m/>
    <n v="550000"/>
    <n v="3"/>
  </r>
  <r>
    <s v="413"/>
    <s v="DELUXE-PNL"/>
    <s v="303"/>
    <s v="NGUYỄN THỊ THANH THỦY"/>
    <s v="03/08/24 15:06"/>
    <s v="04/08/24 15:00"/>
    <n v="890000"/>
    <n v="30000"/>
    <n v="920000"/>
    <n v="0"/>
    <n v="30000"/>
    <n v="0"/>
    <n v="890000"/>
    <n v="0"/>
    <n v="0"/>
    <s v=""/>
    <s v=""/>
    <s v="079189015581"/>
    <x v="1"/>
    <s v=""/>
    <s v="CHECKOUT"/>
    <s v="506"/>
    <m/>
    <n v="890000"/>
    <n v="1"/>
  </r>
  <r>
    <s v="357"/>
    <s v="SUP-PNL"/>
    <s v="102"/>
    <s v="Phùng Tuyết Liên"/>
    <s v="31/07/24 16:56"/>
    <s v="04/08/24 16:08"/>
    <n v="2696000"/>
    <n v="0"/>
    <n v="2696000"/>
    <n v="0"/>
    <n v="300000"/>
    <n v="0"/>
    <n v="2396000"/>
    <n v="0"/>
    <n v="0"/>
    <s v="0906041892"/>
    <m/>
    <m/>
    <x v="1"/>
    <s v=""/>
    <s v="CHECKOUT"/>
    <s v="433"/>
    <m/>
    <n v="674000"/>
    <n v="4"/>
  </r>
  <r>
    <s v="417"/>
    <s v="SUP-Q-PNL"/>
    <s v="602"/>
    <s v="RATTANACK ATH"/>
    <s v="02/08/24 15:06"/>
    <s v="05/08/24 08:28"/>
    <n v="2079132"/>
    <n v="0"/>
    <n v="2079132"/>
    <n v="0"/>
    <n v="0"/>
    <n v="0"/>
    <n v="0"/>
    <n v="2079132"/>
    <n v="0"/>
    <s v=""/>
    <s v=""/>
    <s v=""/>
    <x v="5"/>
    <s v=""/>
    <s v="CHECKOUT"/>
    <s v="510"/>
    <m/>
    <n v="693044"/>
    <n v="3"/>
  </r>
  <r>
    <s v="419"/>
    <s v="SUP-Q-PNL"/>
    <s v="702"/>
    <s v="VÕ THỊ BẢO ANH"/>
    <s v="03/08/24 14:47"/>
    <s v="05/08/24 11:00"/>
    <n v="1300000"/>
    <n v="0"/>
    <n v="1300000"/>
    <n v="0"/>
    <n v="0"/>
    <n v="0"/>
    <n v="1300000"/>
    <n v="0"/>
    <n v="0"/>
    <s v=""/>
    <s v=""/>
    <s v="094305004331"/>
    <x v="1"/>
    <s v=""/>
    <s v="CHECKOUT"/>
    <s v="512"/>
    <m/>
    <n v="650000"/>
    <n v="2"/>
  </r>
  <r>
    <s v="422"/>
    <s v="STD-PNL"/>
    <s v="301"/>
    <s v="NGUYỄN THU HOÀI"/>
    <s v="04/08/24 14:03"/>
    <s v="05/08/24 11:00"/>
    <n v="549000"/>
    <n v="0"/>
    <n v="549000"/>
    <n v="0"/>
    <n v="0"/>
    <n v="0"/>
    <n v="549000"/>
    <n v="0"/>
    <n v="0"/>
    <s v="0889022809"/>
    <s v=""/>
    <s v="031186005038"/>
    <x v="1"/>
    <s v=""/>
    <s v="CHECKOUT"/>
    <s v="515"/>
    <m/>
    <n v="549000"/>
    <n v="1"/>
  </r>
  <r>
    <s v="424"/>
    <s v="STD-PNL"/>
    <s v="501"/>
    <s v="Dương Thu Hoài"/>
    <s v="05/08/24 19:32"/>
    <s v="06/08/24 08:35"/>
    <n v="500000"/>
    <n v="0"/>
    <n v="500000"/>
    <n v="0"/>
    <n v="0"/>
    <n v="0"/>
    <n v="500000"/>
    <n v="0"/>
    <n v="0"/>
    <m/>
    <m/>
    <m/>
    <x v="1"/>
    <s v=""/>
    <s v="CHECKOUT"/>
    <s v="517"/>
    <m/>
    <n v="500000"/>
    <n v="1"/>
  </r>
  <r>
    <s v="219"/>
    <s v="SUP-PNL"/>
    <s v="402"/>
    <s v="Khách Trung Quốc - 상민 지"/>
    <s v="03/08/24 15:18"/>
    <s v="06/08/24 11:00"/>
    <n v="1567611"/>
    <n v="0"/>
    <n v="1567611"/>
    <n v="0"/>
    <n v="0"/>
    <n v="0"/>
    <n v="0"/>
    <n v="1567611"/>
    <n v="0"/>
    <m/>
    <m/>
    <m/>
    <x v="5"/>
    <s v=""/>
    <s v="CHECKOUT"/>
    <s v="257"/>
    <m/>
    <n v="522537"/>
    <n v="3"/>
  </r>
  <r>
    <s v="219"/>
    <s v="STD-PNL"/>
    <s v="601"/>
    <s v="JI SANGMIN"/>
    <s v="03/08/24 15:18"/>
    <s v="06/08/24 11:00"/>
    <n v="3135223"/>
    <n v="0"/>
    <n v="3135223"/>
    <n v="0"/>
    <n v="0"/>
    <n v="0"/>
    <n v="0"/>
    <n v="3135223"/>
    <n v="0"/>
    <s v=""/>
    <s v=""/>
    <s v="M891U8338"/>
    <x v="5"/>
    <s v=""/>
    <s v="CHECKOUT"/>
    <s v="258"/>
    <m/>
    <n v="1045074.3333000001"/>
    <n v="3"/>
  </r>
  <r>
    <s v="219"/>
    <s v="DELUXE-PNL"/>
    <s v="603"/>
    <s v="Guest"/>
    <s v="03/08/24 15:18"/>
    <s v="06/08/24 11:00"/>
    <n v="1567611"/>
    <n v="0"/>
    <n v="1567611"/>
    <n v="0"/>
    <n v="0"/>
    <n v="0"/>
    <n v="0"/>
    <n v="1567611"/>
    <n v="0"/>
    <m/>
    <m/>
    <m/>
    <x v="5"/>
    <s v=""/>
    <s v="CHECKOUT"/>
    <s v="259"/>
    <m/>
    <n v="522537"/>
    <n v="3"/>
  </r>
  <r>
    <s v="219"/>
    <s v="DELUXE-PNL"/>
    <s v="503"/>
    <s v="Guest"/>
    <s v="03/08/24 15:18"/>
    <s v="06/08/24 11:00"/>
    <n v="1567611"/>
    <n v="0"/>
    <n v="1567611"/>
    <n v="0"/>
    <n v="0"/>
    <n v="0"/>
    <n v="0"/>
    <n v="1567611"/>
    <n v="0"/>
    <m/>
    <m/>
    <m/>
    <x v="5"/>
    <s v=""/>
    <s v="CHECKOUT"/>
    <s v="261"/>
    <m/>
    <n v="522537"/>
    <n v="3"/>
  </r>
  <r>
    <s v="219"/>
    <s v="DELUXE-PNL"/>
    <s v="403"/>
    <s v="Guest"/>
    <s v="03/08/24 15:18"/>
    <s v="06/08/24 11:00"/>
    <n v="1567611"/>
    <n v="0"/>
    <n v="1567611"/>
    <n v="0"/>
    <n v="0"/>
    <n v="0"/>
    <n v="0"/>
    <n v="1567611"/>
    <n v="0"/>
    <m/>
    <m/>
    <m/>
    <x v="5"/>
    <s v=""/>
    <s v="CHECKOUT"/>
    <s v="262"/>
    <m/>
    <n v="522537"/>
    <n v="3"/>
  </r>
  <r>
    <s v="420"/>
    <s v="STD-PNL"/>
    <s v="201"/>
    <s v="NGUYỄN HÀO PHÚ"/>
    <s v="04/08/24 14:03"/>
    <s v="06/08/24 11:00"/>
    <n v="1098000"/>
    <n v="0"/>
    <n v="1098000"/>
    <n v="0"/>
    <n v="798000"/>
    <n v="0"/>
    <n v="300000"/>
    <n v="0"/>
    <n v="0"/>
    <s v="0987771434"/>
    <s v=""/>
    <s v="094097012649"/>
    <x v="1"/>
    <s v=""/>
    <s v="CHECKOUT"/>
    <s v="513"/>
    <m/>
    <n v="549000"/>
    <n v="2"/>
  </r>
  <r>
    <s v="415"/>
    <s v="SUP-Q-PNL"/>
    <s v="502"/>
    <s v="Cao Nu Lan Phuong"/>
    <s v="02/08/24 14:09"/>
    <s v="06/08/24 14:42"/>
    <n v="6148220"/>
    <n v="0"/>
    <n v="6148220"/>
    <n v="0"/>
    <n v="0"/>
    <n v="0"/>
    <n v="0"/>
    <n v="6148220"/>
    <n v="0"/>
    <s v=""/>
    <s v=""/>
    <s v=""/>
    <x v="0"/>
    <s v=""/>
    <s v="CHECKOUT"/>
    <s v="508"/>
    <m/>
    <n v="1537055"/>
    <n v="4"/>
  </r>
  <r>
    <s v="408"/>
    <s v="STD-PNL"/>
    <s v="301"/>
    <s v="Nguyễn Lâm"/>
    <s v="06/08/24 13:18"/>
    <s v="07/08/24 08:42"/>
    <n v="500000"/>
    <n v="0"/>
    <n v="500000"/>
    <n v="0"/>
    <n v="250000"/>
    <n v="0"/>
    <n v="250000"/>
    <n v="0"/>
    <n v="0"/>
    <m/>
    <m/>
    <m/>
    <x v="0"/>
    <s v=""/>
    <s v="CHECKOUT"/>
    <s v="500"/>
    <m/>
    <n v="500000"/>
    <n v="1"/>
  </r>
  <r>
    <s v="425"/>
    <s v="SUP-PNL"/>
    <s v="202"/>
    <s v="Tram"/>
    <s v="06/08/24 16:30"/>
    <s v="07/08/24 10:51"/>
    <n v="500000"/>
    <n v="0"/>
    <n v="500000"/>
    <n v="0"/>
    <n v="500000"/>
    <n v="0"/>
    <n v="0"/>
    <n v="0"/>
    <n v="0"/>
    <m/>
    <m/>
    <m/>
    <x v="1"/>
    <s v=""/>
    <s v="CHECKOUT"/>
    <s v="520"/>
    <m/>
    <n v="500000"/>
    <n v="1"/>
  </r>
  <r>
    <s v="426"/>
    <s v="DELUXE-PNL"/>
    <s v="603"/>
    <s v="Phấn Tiny"/>
    <s v="06/08/24 14:54"/>
    <s v="07/08/24 11:00"/>
    <n v="850000"/>
    <n v="0"/>
    <n v="850000"/>
    <n v="0"/>
    <n v="0"/>
    <n v="0"/>
    <n v="850000"/>
    <n v="0"/>
    <n v="0"/>
    <s v=""/>
    <s v=""/>
    <s v=""/>
    <x v="1"/>
    <s v=""/>
    <s v="CHECKOUT"/>
    <s v="519"/>
    <m/>
    <n v="850000"/>
    <n v="1"/>
  </r>
  <r>
    <s v="399"/>
    <s v="STD-PNL"/>
    <s v="501"/>
    <s v="Huỳnh Thạnh Phú"/>
    <s v="06/08/24 18:51"/>
    <s v="08/08/24 08:27"/>
    <n v="1098000"/>
    <n v="0"/>
    <n v="1098000"/>
    <n v="0"/>
    <n v="0"/>
    <n v="0"/>
    <n v="1098000"/>
    <n v="0"/>
    <n v="0"/>
    <s v="078 8703171"/>
    <s v=""/>
    <s v=""/>
    <x v="1"/>
    <s v=""/>
    <s v="CHECKOUT"/>
    <s v="489"/>
    <m/>
    <n v="549000"/>
    <n v="2"/>
  </r>
  <r>
    <s v="431"/>
    <s v="STD-PNL"/>
    <s v="601"/>
    <s v="TRẦN CÔNG THÀNH"/>
    <s v="07/08/24 20:19"/>
    <s v="08/08/24 09:46"/>
    <n v="549000"/>
    <n v="0"/>
    <n v="549000"/>
    <n v="0"/>
    <n v="0"/>
    <n v="0"/>
    <n v="549000"/>
    <n v="0"/>
    <n v="0"/>
    <s v="0933905105"/>
    <s v=""/>
    <s v="038093000296"/>
    <x v="1"/>
    <s v=""/>
    <s v="CHECKOUT"/>
    <s v="524"/>
    <m/>
    <n v="549000"/>
    <n v="1"/>
  </r>
  <r>
    <s v="407"/>
    <s v="DELUXE-PNL"/>
    <s v="103"/>
    <s v="Guest"/>
    <s v="05/08/24 15:14"/>
    <s v="08/08/24 10:27"/>
    <n v="2250000"/>
    <n v="0"/>
    <n v="2250000"/>
    <n v="0"/>
    <n v="0"/>
    <n v="0"/>
    <n v="2250000"/>
    <n v="0"/>
    <n v="0"/>
    <s v=""/>
    <s v=""/>
    <s v=""/>
    <x v="1"/>
    <s v=""/>
    <s v="CHECKOUT"/>
    <s v="499"/>
    <m/>
    <n v="750000"/>
    <n v="3"/>
  </r>
  <r>
    <s v="407"/>
    <s v="DELUXE-PNL"/>
    <s v="203"/>
    <s v="Guest"/>
    <s v="05/08/24 15:14"/>
    <s v="08/08/24 10:27"/>
    <n v="2250000"/>
    <n v="0"/>
    <n v="2250000"/>
    <n v="0"/>
    <n v="0"/>
    <n v="0"/>
    <n v="2250000"/>
    <n v="0"/>
    <n v="0"/>
    <m/>
    <m/>
    <m/>
    <x v="1"/>
    <s v=""/>
    <s v="CHECKOUT"/>
    <s v="498"/>
    <m/>
    <n v="750000"/>
    <n v="3"/>
  </r>
  <r>
    <s v="407"/>
    <s v="DELUXE-PNL"/>
    <s v="303"/>
    <s v="Phạm thanh hà"/>
    <s v="05/08/24 15:15"/>
    <s v="08/08/24 10:27"/>
    <n v="2250000"/>
    <n v="0"/>
    <n v="2250000"/>
    <n v="0"/>
    <n v="0"/>
    <n v="0"/>
    <n v="2250000"/>
    <n v="0"/>
    <n v="0"/>
    <s v="0934819979"/>
    <m/>
    <m/>
    <x v="1"/>
    <s v=""/>
    <s v="CHECKOUT"/>
    <s v="497"/>
    <m/>
    <n v="750000"/>
    <n v="3"/>
  </r>
  <r>
    <s v="429"/>
    <s v="STD-PNL"/>
    <s v="301"/>
    <s v="Hà Hà - Hà Lý"/>
    <s v="07/08/24 13:52"/>
    <s v="08/08/24 10:49"/>
    <n v="549000"/>
    <n v="0"/>
    <n v="549000"/>
    <n v="0"/>
    <n v="249000"/>
    <n v="0"/>
    <n v="300000"/>
    <n v="0"/>
    <n v="0"/>
    <s v="0394143830"/>
    <s v=""/>
    <s v=""/>
    <x v="1"/>
    <s v=""/>
    <s v="CHECKOUT"/>
    <s v="522"/>
    <m/>
    <n v="549000"/>
    <n v="1"/>
  </r>
  <r>
    <s v="330"/>
    <s v="STD-PNL"/>
    <s v="401"/>
    <s v="Matsubayashi Seiji"/>
    <s v="07/08/24 15:44"/>
    <s v="08/08/24 11:05"/>
    <n v="602640"/>
    <n v="0"/>
    <n v="602640"/>
    <n v="0"/>
    <n v="0"/>
    <n v="0"/>
    <n v="0"/>
    <n v="602640"/>
    <n v="0"/>
    <s v="+81 20 3564 0799"/>
    <s v="smatsu.709115@guest.booking.com"/>
    <s v=""/>
    <x v="2"/>
    <s v=""/>
    <s v="CHECKOUT"/>
    <s v="406"/>
    <s v="4836972394_LDCB1F"/>
    <n v="602640"/>
    <n v="1"/>
  </r>
  <r>
    <s v="425"/>
    <s v="SUP-PNL"/>
    <s v="302"/>
    <s v="Tram"/>
    <s v="06/08/24 14:37"/>
    <s v="08/08/24 12:25"/>
    <n v="1000000"/>
    <n v="0"/>
    <n v="1000000"/>
    <n v="0"/>
    <n v="1000000"/>
    <n v="0"/>
    <n v="0"/>
    <n v="0"/>
    <n v="0"/>
    <m/>
    <m/>
    <m/>
    <x v="1"/>
    <s v=""/>
    <s v="CHECKOUT"/>
    <s v="518"/>
    <m/>
    <n v="500000"/>
    <n v="2"/>
  </r>
  <r>
    <s v="432"/>
    <s v="STD-PNL"/>
    <s v="501"/>
    <s v="Bùi Văn Ngọc"/>
    <s v="08/08/24 14:29"/>
    <s v="09/08/24 11:00"/>
    <n v="550000"/>
    <n v="0"/>
    <n v="550000"/>
    <n v="0"/>
    <n v="0"/>
    <n v="0"/>
    <n v="550000"/>
    <n v="0"/>
    <n v="0"/>
    <m/>
    <m/>
    <m/>
    <x v="1"/>
    <s v=""/>
    <s v="CHECKOUT"/>
    <s v="525"/>
    <m/>
    <n v="550000"/>
    <n v="1"/>
  </r>
  <r>
    <s v="430"/>
    <s v="SUP-Q-PNL"/>
    <s v="502"/>
    <s v="NGUYEN PHU HAO"/>
    <s v="08/08/24 18:03"/>
    <s v="10/08/24 10:57"/>
    <n v="1320000"/>
    <n v="0"/>
    <n v="1320000"/>
    <n v="0"/>
    <n v="1320000"/>
    <n v="0"/>
    <n v="0"/>
    <n v="0"/>
    <n v="0"/>
    <s v=""/>
    <s v=""/>
    <s v="PA6075881"/>
    <x v="1"/>
    <s v=""/>
    <s v="CHECKOUT"/>
    <s v="523"/>
    <m/>
    <n v="660000"/>
    <n v="2"/>
  </r>
  <r>
    <s v="443"/>
    <s v="DELUXE-PNL"/>
    <s v="503"/>
    <s v="Khánh Quang Ngô"/>
    <s v="10/08/24 14:12"/>
    <s v="11/08/24 08:37"/>
    <n v="649000"/>
    <n v="0"/>
    <n v="649000"/>
    <n v="0"/>
    <n v="0"/>
    <n v="0"/>
    <n v="649000"/>
    <n v="0"/>
    <n v="0"/>
    <s v="0975916766"/>
    <s v=""/>
    <s v=""/>
    <x v="1"/>
    <s v=""/>
    <s v="CHECKOUT"/>
    <s v="537"/>
    <m/>
    <n v="649000"/>
    <n v="1"/>
  </r>
  <r>
    <s v="438"/>
    <s v="STD-PNL"/>
    <s v="101"/>
    <s v="Bob Raymond"/>
    <s v="09/08/24 14:50"/>
    <s v="11/08/24 09:17"/>
    <n v="1098000"/>
    <n v="0"/>
    <n v="1098000"/>
    <n v="0"/>
    <n v="1098000"/>
    <n v="0"/>
    <n v="0"/>
    <n v="0"/>
    <n v="0"/>
    <s v=""/>
    <s v=""/>
    <s v=""/>
    <x v="1"/>
    <s v=""/>
    <s v="CHECKOUT"/>
    <s v="532"/>
    <m/>
    <n v="549000"/>
    <n v="2"/>
  </r>
  <r>
    <s v="439"/>
    <s v="STD-PNL"/>
    <s v="201"/>
    <s v="MURPHY CRAIG ANT"/>
    <s v="09/08/24 14:51"/>
    <s v="11/08/24 09:19"/>
    <n v="1098000"/>
    <n v="0"/>
    <n v="1098000"/>
    <n v="0"/>
    <n v="1098000"/>
    <n v="0"/>
    <n v="0"/>
    <n v="0"/>
    <n v="0"/>
    <s v=""/>
    <s v=""/>
    <s v="RA3017472"/>
    <x v="1"/>
    <s v=""/>
    <s v="CHECKOUT"/>
    <s v="533"/>
    <m/>
    <n v="549000"/>
    <n v="2"/>
  </r>
  <r>
    <s v="445"/>
    <s v="STD-PNL"/>
    <s v="301"/>
    <s v="LIU HUAMING"/>
    <s v="10/08/24 22:19"/>
    <s v="11/08/24 09:57"/>
    <n v="525528"/>
    <n v="0"/>
    <n v="525528"/>
    <n v="0"/>
    <n v="0"/>
    <n v="0"/>
    <n v="0"/>
    <n v="525528"/>
    <n v="0"/>
    <s v=""/>
    <s v=""/>
    <s v=""/>
    <x v="2"/>
    <s v=""/>
    <s v="CHECKOUT"/>
    <s v="539"/>
    <s v="1329474380_LDCB1F"/>
    <n v="525528"/>
    <n v="1"/>
  </r>
  <r>
    <s v="433"/>
    <s v="SUP-PNL"/>
    <s v="402"/>
    <s v="Phạm Duy Khôi"/>
    <s v="09/08/24 14:38"/>
    <s v="11/08/24 11:00"/>
    <n v="1200000"/>
    <n v="0"/>
    <n v="1200000"/>
    <n v="0"/>
    <n v="0"/>
    <n v="0"/>
    <n v="1200000"/>
    <n v="0"/>
    <n v="0"/>
    <s v=""/>
    <s v=""/>
    <s v="044060000014"/>
    <x v="1"/>
    <s v=""/>
    <s v="CHECKOUT"/>
    <s v="526"/>
    <m/>
    <n v="600000"/>
    <n v="2"/>
  </r>
  <r>
    <s v="441"/>
    <s v="DELUXE-PNL"/>
    <s v="603"/>
    <s v="Jerome Solti"/>
    <s v="09/08/24 22:54"/>
    <s v="11/08/24 11:00"/>
    <n v="2084000"/>
    <n v="0"/>
    <n v="2084000"/>
    <n v="0"/>
    <n v="0"/>
    <n v="0"/>
    <n v="2084000"/>
    <n v="0"/>
    <n v="0"/>
    <s v=""/>
    <s v=""/>
    <s v=""/>
    <x v="0"/>
    <s v=""/>
    <s v="CHECKOUT"/>
    <s v="535"/>
    <m/>
    <n v="1042000"/>
    <n v="2"/>
  </r>
  <r>
    <s v="442"/>
    <s v="SUP-PNL"/>
    <s v="302"/>
    <s v="Lê Văn Phỉ"/>
    <s v="10/08/24 14:20"/>
    <s v="11/08/24 11:00"/>
    <n v="600000"/>
    <n v="0"/>
    <n v="600000"/>
    <n v="0"/>
    <n v="600000"/>
    <n v="0"/>
    <n v="0"/>
    <n v="0"/>
    <n v="0"/>
    <s v=""/>
    <s v=""/>
    <s v=""/>
    <x v="1"/>
    <s v=""/>
    <s v="CHECKOUT"/>
    <s v="536"/>
    <m/>
    <n v="600000"/>
    <n v="1"/>
  </r>
  <r>
    <s v="435"/>
    <s v="STD-PNL"/>
    <s v="301"/>
    <s v="Chi Truong"/>
    <s v="11/08/24 13:53"/>
    <s v="12/08/24 08:33"/>
    <n v="493920"/>
    <n v="0"/>
    <n v="493920"/>
    <n v="0"/>
    <n v="0"/>
    <n v="0"/>
    <n v="0"/>
    <n v="493920"/>
    <n v="0"/>
    <s v="0983330068"/>
    <s v=""/>
    <s v=""/>
    <x v="2"/>
    <s v=""/>
    <s v="CHECKOUT"/>
    <s v="528"/>
    <s v="1327525756_LDCB1F"/>
    <n v="493920"/>
    <n v="1"/>
  </r>
  <r>
    <s v="447"/>
    <s v="STD-PNL"/>
    <s v="501"/>
    <s v="Lin Chin Hung"/>
    <s v="11/08/24 13:38"/>
    <s v="12/08/24 08:34"/>
    <n v="350000"/>
    <n v="0"/>
    <n v="350000"/>
    <n v="0"/>
    <n v="350000"/>
    <n v="0"/>
    <n v="0"/>
    <n v="0"/>
    <n v="0"/>
    <s v=""/>
    <s v=""/>
    <s v=""/>
    <x v="1"/>
    <s v=""/>
    <s v="CHECKOUT"/>
    <s v="541"/>
    <m/>
    <n v="350000"/>
    <n v="1"/>
  </r>
  <r>
    <s v="446"/>
    <s v="DELUXE-PNL"/>
    <s v="603"/>
    <s v="Jerome Solti"/>
    <s v="11/08/24 12:20"/>
    <s v="12/08/24 08:34"/>
    <n v="500000"/>
    <n v="0"/>
    <n v="500000"/>
    <n v="0"/>
    <n v="0"/>
    <n v="0"/>
    <n v="500000"/>
    <n v="0"/>
    <n v="0"/>
    <s v=""/>
    <s v=""/>
    <s v=""/>
    <x v="0"/>
    <s v=""/>
    <s v="CHECKOUT"/>
    <s v="540"/>
    <m/>
    <n v="500000"/>
    <n v="1"/>
  </r>
  <r>
    <s v="448"/>
    <s v="STD-PNL"/>
    <s v="101"/>
    <s v="Đặng Xuân Hải"/>
    <s v="11/08/24 17:54"/>
    <s v="12/08/24 09:24"/>
    <n v="549000"/>
    <n v="0"/>
    <n v="549000"/>
    <n v="0"/>
    <n v="549000"/>
    <n v="0"/>
    <n v="0"/>
    <n v="0"/>
    <n v="0"/>
    <s v=""/>
    <s v=""/>
    <s v=""/>
    <x v="1"/>
    <s v=""/>
    <s v="CHECKOUT"/>
    <s v="542"/>
    <m/>
    <n v="549000"/>
    <n v="1"/>
  </r>
  <r>
    <s v="423"/>
    <s v="STD-PNL"/>
    <s v="601"/>
    <s v="TRẦN NGỌC ĐỊNH"/>
    <s v="09/08/24 14:38"/>
    <s v="12/08/24 10:04"/>
    <n v="1847000"/>
    <n v="0"/>
    <n v="1847000"/>
    <n v="0"/>
    <n v="0"/>
    <n v="0"/>
    <n v="1847000"/>
    <n v="0"/>
    <n v="0"/>
    <s v="0386699744"/>
    <s v=""/>
    <s v="075098010072"/>
    <x v="1"/>
    <s v=""/>
    <s v="CHECKOUT"/>
    <s v="516"/>
    <m/>
    <n v="615666.6666"/>
    <n v="3"/>
  </r>
  <r>
    <s v="451"/>
    <s v="STD-PNL"/>
    <s v="501"/>
    <s v="Kao Haowei"/>
    <s v="12/08/24 13:49"/>
    <s v="13/08/24 10:42"/>
    <n v="444528"/>
    <n v="0"/>
    <n v="444528"/>
    <n v="0"/>
    <n v="0"/>
    <n v="0"/>
    <n v="0"/>
    <n v="444528"/>
    <n v="0"/>
    <s v="84 0388116023"/>
    <s v=""/>
    <s v=""/>
    <x v="2"/>
    <s v=""/>
    <s v="CHECKOUT"/>
    <s v="545"/>
    <s v="1331020560_LDCB1F"/>
    <n v="444528"/>
    <n v="1"/>
  </r>
  <r>
    <s v="437"/>
    <s v="STD-PNL"/>
    <s v="301"/>
    <s v="Hoàng phúc"/>
    <s v="12/08/24 15:16"/>
    <s v="13/08/24 10:50"/>
    <n v="549000"/>
    <n v="0"/>
    <n v="549000"/>
    <n v="0"/>
    <n v="0"/>
    <n v="0"/>
    <n v="549000"/>
    <n v="0"/>
    <n v="0"/>
    <s v="+84858938557"/>
    <s v="Tonghoangphuc1997@gmail.com"/>
    <s v="080097014136"/>
    <x v="1"/>
    <s v=""/>
    <s v="CHECKOUT"/>
    <s v="531"/>
    <s v="78811685670"/>
    <n v="549000"/>
    <n v="1"/>
  </r>
  <r>
    <s v="243"/>
    <s v="SUP-PNL"/>
    <s v="102"/>
    <s v="Perkins Jon"/>
    <s v="12/08/24 20:12"/>
    <s v="14/08/24 10:57"/>
    <n v="1051200"/>
    <n v="0"/>
    <n v="1051200"/>
    <n v="0"/>
    <n v="0"/>
    <n v="0"/>
    <n v="0"/>
    <n v="1051200"/>
    <n v="0"/>
    <s v="1 8774909883"/>
    <s v=""/>
    <s v=""/>
    <x v="2"/>
    <s v=""/>
    <s v="CHECKOUT"/>
    <s v="294"/>
    <s v="756470510_LDCB1F"/>
    <n v="525600"/>
    <n v="2"/>
  </r>
  <r>
    <s v="458"/>
    <s v="DELUXE-PNL"/>
    <s v="303"/>
    <s v="Lê Thị Mỹ Nhung"/>
    <s v="14/08/24 14:22"/>
    <s v="15/08/24 09:06"/>
    <n v="350000"/>
    <n v="0"/>
    <n v="350000"/>
    <n v="0"/>
    <n v="0"/>
    <n v="0"/>
    <n v="350000"/>
    <n v="0"/>
    <n v="0"/>
    <m/>
    <m/>
    <m/>
    <x v="1"/>
    <s v=""/>
    <s v="CHECKOUT"/>
    <s v="553"/>
    <m/>
    <n v="350000"/>
    <n v="1"/>
  </r>
  <r>
    <s v="462"/>
    <s v="DELUXE-PNL"/>
    <s v="103"/>
    <s v="Guest"/>
    <s v="14/08/24 15:47"/>
    <s v="15/08/24 09:06"/>
    <n v="200000"/>
    <n v="0"/>
    <n v="200000"/>
    <n v="0"/>
    <n v="200000"/>
    <n v="0"/>
    <n v="0"/>
    <n v="0"/>
    <n v="0"/>
    <m/>
    <m/>
    <m/>
    <x v="1"/>
    <s v=""/>
    <s v="CHECKOUT"/>
    <s v="558"/>
    <m/>
    <n v="200000"/>
    <n v="1"/>
  </r>
  <r>
    <s v="444"/>
    <s v="STD-PNL"/>
    <s v="401"/>
    <s v="Nguyen Trang Phuong Anh"/>
    <s v="11/08/24 15:08"/>
    <s v="15/08/24 09:06"/>
    <n v="1908504"/>
    <n v="0"/>
    <n v="1908504"/>
    <n v="0"/>
    <n v="0"/>
    <n v="0"/>
    <n v="0"/>
    <n v="1908504"/>
    <n v="0"/>
    <s v="442036847925"/>
    <s v=""/>
    <s v=""/>
    <x v="2"/>
    <s v=""/>
    <s v="CHECKOUT"/>
    <s v="538"/>
    <s v="456780383_LDCB1F"/>
    <n v="477126"/>
    <n v="4"/>
  </r>
  <r>
    <s v="457"/>
    <s v="SUP-PNL"/>
    <s v="402"/>
    <s v="Trọng Đỗ"/>
    <s v="14/08/24 14:20"/>
    <s v="15/08/24 10:31"/>
    <n v="500000"/>
    <n v="25000"/>
    <n v="525000"/>
    <n v="0"/>
    <n v="25000"/>
    <n v="0"/>
    <n v="500000"/>
    <n v="0"/>
    <n v="0"/>
    <s v=""/>
    <s v=""/>
    <s v=""/>
    <x v="1"/>
    <s v=""/>
    <s v="CHECKOUT"/>
    <s v="552"/>
    <m/>
    <n v="500000"/>
    <n v="1"/>
  </r>
  <r>
    <s v="428"/>
    <s v="STD-PNL"/>
    <s v="201"/>
    <s v="Teck Chye Lim"/>
    <s v="11/08/24 16:04"/>
    <s v="15/08/24 11:00"/>
    <n v="2410560"/>
    <n v="0"/>
    <n v="2410560"/>
    <n v="0"/>
    <n v="0"/>
    <n v="0"/>
    <n v="0"/>
    <n v="2410560"/>
    <n v="0"/>
    <s v="+65 2035640799"/>
    <s v="lchye.366450@guest.booking.com"/>
    <s v=""/>
    <x v="2"/>
    <s v=""/>
    <s v="CHECKOUT"/>
    <s v="521"/>
    <s v="4422560123_LDCB1F"/>
    <n v="602640"/>
    <n v="4"/>
  </r>
  <r>
    <s v="465"/>
    <s v="STD-PNL"/>
    <s v="301"/>
    <s v="Nguyen Thi Thuc Anh"/>
    <s v="15/08/24 17:41"/>
    <s v="16/08/24 08:34"/>
    <n v="542376"/>
    <n v="0"/>
    <n v="542376"/>
    <n v="0"/>
    <n v="0"/>
    <n v="0"/>
    <n v="542376"/>
    <n v="0"/>
    <n v="0"/>
    <s v="+84392898791"/>
    <s v="pdnqtp.419004@guest.booking.com"/>
    <s v=""/>
    <x v="2"/>
    <s v=""/>
    <s v="CHECKOUT"/>
    <s v="561"/>
    <s v="4437375238_LDCB1F"/>
    <n v="542376"/>
    <n v="1"/>
  </r>
  <r>
    <s v="466"/>
    <s v="STD-PNL"/>
    <s v="401"/>
    <s v="Berge Tommy"/>
    <s v="15/08/24 19:12"/>
    <s v="16/08/24 08:35"/>
    <n v="500000"/>
    <n v="0"/>
    <n v="500000"/>
    <n v="0"/>
    <n v="500000"/>
    <n v="0"/>
    <n v="0"/>
    <n v="0"/>
    <n v="0"/>
    <s v="84 0800092944"/>
    <s v=""/>
    <s v=""/>
    <x v="1"/>
    <s v=""/>
    <s v="CHECKOUT"/>
    <s v="562"/>
    <m/>
    <n v="500000"/>
    <n v="1"/>
  </r>
  <r>
    <s v="450"/>
    <s v="SUP-Q-PNL"/>
    <s v="502"/>
    <s v="Trần Phương Dung"/>
    <s v="13/08/24 13:49"/>
    <s v="16/08/24 10:14"/>
    <n v="1740000"/>
    <n v="0"/>
    <n v="1740000"/>
    <n v="0"/>
    <n v="1740000"/>
    <n v="0"/>
    <n v="0"/>
    <n v="0"/>
    <n v="0"/>
    <s v=""/>
    <s v=""/>
    <s v=""/>
    <x v="1"/>
    <s v=""/>
    <s v="CHECKOUT"/>
    <s v="544"/>
    <m/>
    <n v="580000"/>
    <n v="3"/>
  </r>
  <r>
    <s v="455"/>
    <s v="SUP-Q-PNL"/>
    <s v="602"/>
    <s v="chị Trâm"/>
    <s v="14/08/24 14:20"/>
    <s v="16/08/24 10:19"/>
    <n v="1000000"/>
    <n v="0"/>
    <n v="1000000"/>
    <n v="0"/>
    <n v="1000000"/>
    <n v="0"/>
    <n v="0"/>
    <n v="0"/>
    <n v="0"/>
    <m/>
    <m/>
    <m/>
    <x v="1"/>
    <s v=""/>
    <s v="CHECKOUT"/>
    <s v="550"/>
    <m/>
    <n v="500000"/>
    <n v="2"/>
  </r>
  <r>
    <s v="464"/>
    <s v="STD-PNL"/>
    <s v="101"/>
    <s v="HILL WARREN DOUGLAS"/>
    <s v="15/08/24 17:26"/>
    <s v="16/08/24 11:00"/>
    <n v="444528"/>
    <n v="0"/>
    <n v="444528"/>
    <n v="0"/>
    <n v="0"/>
    <n v="0"/>
    <n v="0"/>
    <n v="444528"/>
    <n v="0"/>
    <s v="84 +84345798457"/>
    <s v=""/>
    <s v="PA1643732"/>
    <x v="2"/>
    <s v=""/>
    <s v="CHECKOUT"/>
    <s v="560"/>
    <s v="1334388520_LDCB1F"/>
    <n v="444528"/>
    <n v="1"/>
  </r>
  <r>
    <s v="264"/>
    <s v="STD-PNL"/>
    <s v="501"/>
    <s v="park soojung"/>
    <s v="16/08/24 22:32"/>
    <s v="17/08/24 08:52"/>
    <n v="583920"/>
    <n v="0"/>
    <n v="583920"/>
    <n v="0"/>
    <n v="0"/>
    <n v="0"/>
    <n v="0"/>
    <n v="583920"/>
    <n v="0"/>
    <s v="82 +821047864946"/>
    <s v=""/>
    <s v=""/>
    <x v="2"/>
    <s v=""/>
    <s v="CHECKOUT"/>
    <s v="317"/>
    <s v="1291841312_LDCB1F"/>
    <n v="583920"/>
    <n v="1"/>
  </r>
  <r>
    <s v="456"/>
    <s v="DELUXE-PNL"/>
    <s v="303"/>
    <s v="Graham Anthony"/>
    <s v="15/08/24 17:23"/>
    <s v="17/08/24 09:37"/>
    <n v="1271548"/>
    <n v="0"/>
    <n v="1271548"/>
    <n v="0"/>
    <n v="0"/>
    <n v="0"/>
    <n v="0"/>
    <n v="1271548"/>
    <n v="0"/>
    <s v="8675582628521"/>
    <s v="y8efo9sgx5@m.expediapartnercentral.com"/>
    <s v=""/>
    <x v="2"/>
    <s v=""/>
    <s v="CHECKOUT"/>
    <s v="551"/>
    <s v="300037612_LDCB1F"/>
    <n v="635774"/>
    <n v="2"/>
  </r>
  <r>
    <s v="472"/>
    <s v="SUP-Q-PNL"/>
    <s v="602"/>
    <s v="Howard Terrence Charles"/>
    <s v="16/08/24 15:48"/>
    <s v="17/08/24 10:51"/>
    <n v="550000"/>
    <n v="27500"/>
    <n v="577500"/>
    <n v="0"/>
    <n v="0"/>
    <n v="0"/>
    <n v="0"/>
    <n v="577500"/>
    <n v="0"/>
    <s v=""/>
    <s v=""/>
    <s v="PA7246704"/>
    <x v="1"/>
    <s v=""/>
    <s v="CHECKOUT"/>
    <s v="568"/>
    <m/>
    <n v="550000"/>
    <n v="1"/>
  </r>
  <r>
    <s v="467"/>
    <s v="STD-PNL"/>
    <s v="101"/>
    <s v="HILL WARREN DOUGLAS"/>
    <s v="16/08/24 14:56"/>
    <s v="17/08/24 11:00"/>
    <n v="550000"/>
    <n v="0"/>
    <n v="550000"/>
    <n v="0"/>
    <n v="0"/>
    <n v="0"/>
    <n v="0"/>
    <n v="550000"/>
    <n v="0"/>
    <s v="84 +84345798457"/>
    <s v=""/>
    <s v="PA1643732"/>
    <x v="1"/>
    <s v=""/>
    <s v="CHECKOUT"/>
    <s v="563"/>
    <m/>
    <n v="550000"/>
    <n v="1"/>
  </r>
  <r>
    <s v="468"/>
    <s v="DELUXE-PNL"/>
    <s v="603"/>
    <s v="Vvvbeo"/>
    <s v="17/08/24 10:04"/>
    <s v="17/08/24 11:28"/>
    <n v="500000"/>
    <n v="0"/>
    <n v="500000"/>
    <n v="0"/>
    <n v="0"/>
    <n v="0"/>
    <n v="500000"/>
    <n v="0"/>
    <n v="0"/>
    <s v="0905888929"/>
    <m/>
    <m/>
    <x v="1"/>
    <s v=""/>
    <s v="CHECKOUT"/>
    <s v="564"/>
    <m/>
    <n v="500000"/>
    <n v="1"/>
  </r>
  <r>
    <s v="477"/>
    <s v="STD-PNL"/>
    <s v="501"/>
    <s v="william"/>
    <s v="17/08/24 14:01"/>
    <s v="17/08/24 16:00"/>
    <n v="350000"/>
    <n v="0"/>
    <n v="350000"/>
    <n v="0"/>
    <n v="350000"/>
    <n v="0"/>
    <n v="0"/>
    <n v="0"/>
    <n v="0"/>
    <m/>
    <m/>
    <m/>
    <x v="1"/>
    <s v=""/>
    <s v="CHECKOUT"/>
    <s v="574"/>
    <m/>
    <n v="350000"/>
    <n v="1"/>
  </r>
  <r>
    <s v="453"/>
    <s v="STD-PNL"/>
    <s v="301"/>
    <s v="Quỳnh Như"/>
    <s v="16/08/24 17:12"/>
    <s v="18/08/24 08:17"/>
    <n v="1100000"/>
    <n v="0"/>
    <n v="1100000"/>
    <n v="0"/>
    <n v="0"/>
    <n v="0"/>
    <n v="1100000"/>
    <n v="0"/>
    <n v="0"/>
    <s v=""/>
    <s v=""/>
    <s v=""/>
    <x v="1"/>
    <s v=""/>
    <s v="CHECKOUT"/>
    <s v="548"/>
    <m/>
    <n v="550000"/>
    <n v="2"/>
  </r>
  <r>
    <s v="474"/>
    <s v="SUP-PNL"/>
    <s v="302"/>
    <s v="Thái Long Thiên Thảo"/>
    <s v="17/08/24 21:46"/>
    <s v="18/08/24 10:46"/>
    <n v="749000"/>
    <n v="0"/>
    <n v="749000"/>
    <n v="0"/>
    <n v="249000"/>
    <n v="0"/>
    <n v="500000"/>
    <n v="0"/>
    <n v="0"/>
    <s v=""/>
    <s v=""/>
    <s v=""/>
    <x v="0"/>
    <s v=""/>
    <s v="CHECKOUT"/>
    <s v="571"/>
    <m/>
    <n v="749000"/>
    <n v="1"/>
  </r>
  <r>
    <s v="461"/>
    <s v="SUP-PNL"/>
    <s v="202"/>
    <s v="Trần Thế Trọng"/>
    <s v="15/08/24 15:32"/>
    <s v="19/08/24 08:41"/>
    <n v="1980000"/>
    <n v="0"/>
    <n v="1980000"/>
    <n v="0"/>
    <n v="1980000"/>
    <n v="0"/>
    <n v="0"/>
    <n v="0"/>
    <n v="0"/>
    <s v="0901644134"/>
    <s v=""/>
    <s v=""/>
    <x v="1"/>
    <s v=""/>
    <s v="CHECKOUT"/>
    <s v="557"/>
    <m/>
    <n v="495000"/>
    <n v="4"/>
  </r>
  <r>
    <s v="470"/>
    <s v="STD-PNL"/>
    <s v="401"/>
    <s v="Kiều Nguyễn"/>
    <s v="16/08/24 15:12"/>
    <s v="19/08/24 09:48"/>
    <n v="1500000"/>
    <n v="0"/>
    <n v="1500000"/>
    <n v="0"/>
    <n v="1000000"/>
    <n v="0"/>
    <n v="500000"/>
    <n v="0"/>
    <n v="0"/>
    <m/>
    <m/>
    <m/>
    <x v="1"/>
    <s v=""/>
    <s v="CHECKOUT"/>
    <s v="566"/>
    <m/>
    <n v="500000"/>
    <n v="3"/>
  </r>
  <r>
    <s v="471"/>
    <s v="STD-PNL"/>
    <s v="501"/>
    <s v="Dimple Sharma"/>
    <s v="19/08/24 10:01"/>
    <s v="19/08/24 16:12"/>
    <n v="495000"/>
    <n v="0"/>
    <n v="495000"/>
    <n v="0"/>
    <n v="495000"/>
    <n v="0"/>
    <n v="0"/>
    <n v="0"/>
    <n v="0"/>
    <s v="+65 8118 2004"/>
    <s v=""/>
    <s v=""/>
    <x v="1"/>
    <s v=""/>
    <s v="CHECKOUT"/>
    <s v="567"/>
    <m/>
    <n v="495000"/>
    <n v="1"/>
  </r>
  <r>
    <s v="481"/>
    <s v="DELUXE-PNL"/>
    <s v="503"/>
    <s v="Truong thi cam linh linh"/>
    <s v="19/08/24 14:02"/>
    <s v="20/08/24 08:30"/>
    <n v="602223"/>
    <n v="0"/>
    <n v="602223"/>
    <n v="0"/>
    <n v="0"/>
    <n v="0"/>
    <n v="0"/>
    <n v="602223"/>
    <n v="0"/>
    <s v="8675582628521"/>
    <s v="55h02wadjf@m.expediapartnercentral.com"/>
    <s v=""/>
    <x v="2"/>
    <s v=""/>
    <s v="CHECKOUT"/>
    <s v="579"/>
    <s v="302829875_LDCB1F"/>
    <n v="602223"/>
    <n v="1"/>
  </r>
  <r>
    <s v="473"/>
    <s v="STD-PNL"/>
    <s v="301"/>
    <s v="Yumy"/>
    <s v="19/08/24 14:42"/>
    <s v="20/08/24 08:55"/>
    <n v="495000"/>
    <n v="20000"/>
    <n v="515000"/>
    <n v="0"/>
    <n v="215000"/>
    <n v="0"/>
    <n v="300000"/>
    <n v="0"/>
    <n v="0"/>
    <s v="0944222926"/>
    <m/>
    <m/>
    <x v="1"/>
    <s v=""/>
    <s v="CHECKOUT"/>
    <s v="569"/>
    <m/>
    <n v="495000"/>
    <n v="1"/>
  </r>
  <r>
    <s v="473"/>
    <s v="SUP-PNL"/>
    <s v="302"/>
    <s v="Guest"/>
    <s v="19/08/24 14:42"/>
    <s v="20/08/24 08:55"/>
    <n v="495000"/>
    <n v="0"/>
    <n v="495000"/>
    <n v="0"/>
    <n v="495000"/>
    <n v="0"/>
    <n v="0"/>
    <n v="0"/>
    <n v="0"/>
    <m/>
    <m/>
    <m/>
    <x v="1"/>
    <s v=""/>
    <s v="CHECKOUT"/>
    <s v="570"/>
    <m/>
    <n v="495000"/>
    <n v="1"/>
  </r>
  <r>
    <s v="478"/>
    <s v="SUP-Q-PNL"/>
    <s v="602"/>
    <s v="Nguyễn Phú Hào"/>
    <s v="18/08/24 13:50"/>
    <s v="20/08/24 10:07"/>
    <n v="1300000"/>
    <n v="60000"/>
    <n v="1360000"/>
    <n v="0"/>
    <n v="1360000"/>
    <n v="0"/>
    <n v="0"/>
    <n v="0"/>
    <n v="0"/>
    <s v="0903960969"/>
    <s v=""/>
    <s v=""/>
    <x v="1"/>
    <s v=""/>
    <s v="CHECKOUT"/>
    <s v="575"/>
    <m/>
    <n v="650000"/>
    <n v="2"/>
  </r>
  <r>
    <s v="454"/>
    <s v="STD-PNL"/>
    <s v="201"/>
    <s v="Lim Teck Chye"/>
    <s v="15/08/24 16:21"/>
    <s v="20/08/24 11:00"/>
    <n v="2500000"/>
    <n v="0"/>
    <n v="2500000"/>
    <n v="0"/>
    <n v="0"/>
    <n v="0"/>
    <n v="2500000"/>
    <n v="0"/>
    <n v="0"/>
    <s v="65 96564188"/>
    <s v=""/>
    <s v="K2482789N"/>
    <x v="1"/>
    <s v=""/>
    <s v="CHECKOUT"/>
    <s v="549"/>
    <m/>
    <n v="500000"/>
    <n v="5"/>
  </r>
  <r>
    <s v="479"/>
    <s v="DELUXE-PNL"/>
    <s v="303"/>
    <s v="Balázs Ben"/>
    <s v="17/08/24 19:17"/>
    <s v="20/08/24 11:00"/>
    <n v="2495490"/>
    <n v="30000"/>
    <n v="2525490"/>
    <n v="0"/>
    <n v="30000"/>
    <n v="0"/>
    <n v="0"/>
    <n v="2495490"/>
    <n v="0"/>
    <s v="36706398323"/>
    <s v=""/>
    <s v=""/>
    <x v="2"/>
    <s v=""/>
    <s v="CHECKOUT"/>
    <s v="577"/>
    <s v="HM2MFXRC4P_LDCB1F"/>
    <n v="831830"/>
    <n v="3"/>
  </r>
  <r>
    <s v="484"/>
    <s v="STD-PNL"/>
    <s v="101"/>
    <s v="Xinh"/>
    <s v="20/08/24 11:11"/>
    <s v="20/08/24 12:55"/>
    <n v="350000"/>
    <n v="15000"/>
    <n v="365000"/>
    <n v="0"/>
    <n v="365000"/>
    <n v="0"/>
    <n v="0"/>
    <n v="0"/>
    <n v="0"/>
    <s v="0978237678"/>
    <s v=""/>
    <s v=""/>
    <x v="1"/>
    <s v=""/>
    <s v="CHECKOUT"/>
    <s v="582"/>
    <m/>
    <n v="350000"/>
    <n v="1"/>
  </r>
  <r>
    <s v="482"/>
    <s v="SUP-Q-PNL"/>
    <s v="602"/>
    <s v="Hoàng Thanh"/>
    <s v="20/08/24 12:05"/>
    <s v="20/08/24 14:10"/>
    <n v="780000"/>
    <n v="0"/>
    <n v="780000"/>
    <n v="0"/>
    <n v="0"/>
    <n v="0"/>
    <n v="780000"/>
    <n v="0"/>
    <n v="0"/>
    <s v="0975888228"/>
    <s v=""/>
    <s v=""/>
    <x v="1"/>
    <s v=""/>
    <s v="CHECKOUT"/>
    <s v="580"/>
    <m/>
    <n v="780000"/>
    <n v="1"/>
  </r>
  <r>
    <s v="485"/>
    <s v="STD-PNL"/>
    <s v="601"/>
    <s v="Nguyễn Ngọc Thành"/>
    <s v="20/08/24 12:21"/>
    <s v="20/08/24 14:11"/>
    <n v="350000"/>
    <n v="0"/>
    <n v="350000"/>
    <n v="0"/>
    <n v="350000"/>
    <n v="0"/>
    <n v="0"/>
    <n v="0"/>
    <n v="0"/>
    <s v="0967787724"/>
    <m/>
    <m/>
    <x v="1"/>
    <s v=""/>
    <s v="CHECKOUT"/>
    <s v="583"/>
    <m/>
    <n v="350000"/>
    <n v="1"/>
  </r>
  <r>
    <s v="476"/>
    <s v="DELUXE-PNL"/>
    <s v="403"/>
    <s v="chị Trang founder"/>
    <s v="16/08/24 22:32"/>
    <s v="20/08/24 19:29"/>
    <n v="0"/>
    <n v="0"/>
    <n v="0"/>
    <n v="0"/>
    <n v="0"/>
    <n v="0"/>
    <n v="0"/>
    <n v="0"/>
    <n v="0"/>
    <s v="0904490031"/>
    <s v=""/>
    <s v=""/>
    <x v="0"/>
    <s v=""/>
    <s v="CHECKOUT"/>
    <s v="573"/>
    <m/>
    <n v="0"/>
    <n v="4"/>
  </r>
  <r>
    <s v="49"/>
    <s v="DELUXE-PNL"/>
    <s v="203"/>
    <s v="NAGASAWA HIROSHI"/>
    <s v="14/08/24 15:35"/>
    <s v="21/08/24 08:26"/>
    <n v="5975606"/>
    <n v="0"/>
    <n v="5975606"/>
    <n v="0"/>
    <n v="0"/>
    <n v="0"/>
    <n v="0"/>
    <n v="5975606"/>
    <n v="0"/>
    <s v="810358438385"/>
    <s v="e3m8pie6sc@m.expediapartnercentral.com"/>
    <s v=""/>
    <x v="2"/>
    <s v=""/>
    <s v="CHECKOUT"/>
    <s v="54"/>
    <s v="246273637_LDCB1F"/>
    <n v="853658"/>
    <n v="7"/>
  </r>
  <r>
    <s v="480"/>
    <s v="SUP-PNL"/>
    <s v="202"/>
    <s v="Bùi Thị Xoan"/>
    <s v="19/08/24 14:01"/>
    <s v="21/08/24 17:00"/>
    <n v="1458000"/>
    <n v="0"/>
    <n v="1458000"/>
    <n v="0"/>
    <n v="598000"/>
    <n v="0"/>
    <n v="860000"/>
    <n v="0"/>
    <n v="0"/>
    <s v="0902612568"/>
    <s v=""/>
    <s v=""/>
    <x v="0"/>
    <s v=""/>
    <s v="CHECKOUT"/>
    <s v="578"/>
    <m/>
    <n v="729000"/>
    <n v="2"/>
  </r>
  <r>
    <s v="490"/>
    <s v="SUP-PNL"/>
    <s v="302"/>
    <s v="Bùi Thị Kim Oanh"/>
    <s v="21/08/24 15:19"/>
    <s v="22/08/24 11:00"/>
    <n v="550000"/>
    <n v="65000"/>
    <n v="615000"/>
    <n v="0"/>
    <n v="0"/>
    <n v="0"/>
    <n v="615000"/>
    <n v="0"/>
    <n v="0"/>
    <s v="0333722127"/>
    <m/>
    <m/>
    <x v="1"/>
    <s v=""/>
    <s v="CHECKOUT"/>
    <s v="588"/>
    <m/>
    <n v="550000"/>
    <n v="1"/>
  </r>
  <r>
    <s v="483"/>
    <s v="DELUXE-PNL"/>
    <s v="603"/>
    <s v="Henry Nathan"/>
    <s v="20/08/24 21:07"/>
    <s v="23/08/24 11:00"/>
    <n v="2427840"/>
    <n v="0"/>
    <n v="2427840"/>
    <n v="0"/>
    <n v="0"/>
    <n v="0"/>
    <n v="0"/>
    <n v="2427840"/>
    <n v="0"/>
    <s v=""/>
    <s v=""/>
    <s v=""/>
    <x v="2"/>
    <s v=""/>
    <s v="CHECKOUT"/>
    <s v="581"/>
    <s v="1339137652_LDCB1F"/>
    <n v="809280"/>
    <n v="3"/>
  </r>
  <r>
    <s v="493"/>
    <s v="STD-PNL"/>
    <s v="601"/>
    <s v="FARUQUE MD OMAR"/>
    <s v="21/08/24 22:34"/>
    <s v="23/08/24 11:00"/>
    <n v="1100000"/>
    <n v="27500"/>
    <n v="1127500"/>
    <n v="0"/>
    <n v="550000"/>
    <n v="0"/>
    <n v="0"/>
    <n v="577500"/>
    <n v="0"/>
    <s v=""/>
    <s v=""/>
    <s v="B00040859"/>
    <x v="1"/>
    <s v=""/>
    <s v="CHECKOUT"/>
    <s v="591"/>
    <m/>
    <n v="550000"/>
    <n v="2"/>
  </r>
  <r>
    <s v="497"/>
    <s v="STD-PNL"/>
    <s v="501"/>
    <s v="MARK ANTHONY SEQUERAH"/>
    <s v="22/08/24 23:30"/>
    <s v="23/08/24 11:00"/>
    <n v="549000"/>
    <n v="0"/>
    <n v="549000"/>
    <n v="0"/>
    <n v="549000"/>
    <n v="0"/>
    <n v="0"/>
    <n v="0"/>
    <n v="0"/>
    <s v=""/>
    <s v=""/>
    <s v="A55803996"/>
    <x v="1"/>
    <s v=""/>
    <s v="CHECKOUT"/>
    <s v="596"/>
    <m/>
    <n v="549000"/>
    <n v="1"/>
  </r>
  <r>
    <s v="500"/>
    <s v="STD-PNL"/>
    <s v="101"/>
    <s v="TRẦN THỊ MẠNH"/>
    <s v="23/08/24 12:19"/>
    <s v="23/08/24 14:20"/>
    <n v="350000"/>
    <n v="0"/>
    <n v="350000"/>
    <n v="0"/>
    <n v="350000"/>
    <n v="0"/>
    <n v="0"/>
    <n v="0"/>
    <n v="0"/>
    <s v=""/>
    <s v=""/>
    <s v="2710112026"/>
    <x v="1"/>
    <s v=""/>
    <s v="CHECKOUT"/>
    <s v="599"/>
    <m/>
    <n v="350000"/>
    <n v="1"/>
  </r>
  <r>
    <s v="489"/>
    <s v="STD-PNL"/>
    <s v="401"/>
    <s v="Nguyễn Hữu Khánh"/>
    <s v="21/08/24 13:25"/>
    <s v="24/08/24 08:08"/>
    <n v="1680000"/>
    <n v="0"/>
    <n v="1680000"/>
    <n v="0"/>
    <n v="0"/>
    <n v="0"/>
    <n v="1680000"/>
    <n v="0"/>
    <n v="0"/>
    <s v="0936177689"/>
    <s v=""/>
    <s v=""/>
    <x v="1"/>
    <s v=""/>
    <s v="CHECKOUT"/>
    <s v="587"/>
    <m/>
    <n v="560000"/>
    <n v="3"/>
  </r>
  <r>
    <s v="491"/>
    <s v="DELUXE-PNL"/>
    <s v="403"/>
    <s v="ADAMOS COSTAS"/>
    <s v="21/08/24 17:47"/>
    <s v="24/08/24 09:36"/>
    <n v="2550000"/>
    <n v="0"/>
    <n v="2550000"/>
    <n v="0"/>
    <n v="2550000"/>
    <n v="0"/>
    <n v="0"/>
    <n v="0"/>
    <n v="0"/>
    <s v=""/>
    <s v=""/>
    <s v="PA4961014"/>
    <x v="1"/>
    <s v=""/>
    <s v="CHECKOUT"/>
    <s v="589"/>
    <m/>
    <n v="850000"/>
    <n v="3"/>
  </r>
  <r>
    <s v="492"/>
    <s v="DELUXE-PNL"/>
    <s v="503"/>
    <s v="MANOTHAM SCOTT PRASEUTHSIN"/>
    <s v="21/08/24 17:48"/>
    <s v="24/08/24 10:10"/>
    <n v="2550000"/>
    <n v="0"/>
    <n v="2550000"/>
    <n v="0"/>
    <n v="2550000"/>
    <n v="0"/>
    <n v="0"/>
    <n v="0"/>
    <n v="0"/>
    <s v=""/>
    <s v=""/>
    <s v="PA7875497"/>
    <x v="1"/>
    <s v=""/>
    <s v="CHECKOUT"/>
    <s v="590"/>
    <m/>
    <n v="850000"/>
    <n v="3"/>
  </r>
  <r>
    <s v="496"/>
    <s v="SUP-PNL"/>
    <s v="402"/>
    <s v="TẠ THỊ NHƯ TIÊN"/>
    <s v="22/08/24 17:00"/>
    <s v="24/08/24 11:00"/>
    <n v="1300000"/>
    <n v="40000"/>
    <n v="1340000"/>
    <n v="0"/>
    <n v="0"/>
    <n v="0"/>
    <n v="1340000"/>
    <n v="0"/>
    <n v="0"/>
    <s v=""/>
    <s v=""/>
    <s v="052195007216"/>
    <x v="1"/>
    <s v=""/>
    <s v="CHECKOUT"/>
    <s v="595"/>
    <m/>
    <n v="650000"/>
    <n v="2"/>
  </r>
  <r>
    <s v="504"/>
    <s v="STD-PNL"/>
    <s v="501"/>
    <s v="HUỲNH QUỐC HUY"/>
    <s v="24/08/24 01:22"/>
    <s v="24/08/24 11:00"/>
    <n v="650000"/>
    <n v="150000"/>
    <n v="800000"/>
    <n v="0"/>
    <n v="150000"/>
    <n v="0"/>
    <n v="650000"/>
    <n v="0"/>
    <n v="0"/>
    <s v=""/>
    <s v=""/>
    <s v="072093002667"/>
    <x v="1"/>
    <s v=""/>
    <s v="CHECKOUT"/>
    <s v="603"/>
    <m/>
    <n v="650000"/>
    <n v="1"/>
  </r>
  <r>
    <s v="506"/>
    <s v="DELUXE-PNL"/>
    <s v="503"/>
    <s v="ĐỖ GIA LINH THẢO"/>
    <s v="24/08/24 11:35"/>
    <s v="24/08/24 15:30"/>
    <n v="450000"/>
    <n v="0"/>
    <n v="450000"/>
    <n v="0"/>
    <n v="0"/>
    <n v="0"/>
    <n v="450000"/>
    <n v="0"/>
    <n v="0"/>
    <s v=""/>
    <s v=""/>
    <s v="079186019128"/>
    <x v="1"/>
    <s v=""/>
    <s v="CHECKOUT"/>
    <s v="605"/>
    <m/>
    <n v="450000"/>
    <n v="1"/>
  </r>
  <r>
    <s v="488"/>
    <s v="SUP-PNL"/>
    <s v="202"/>
    <s v="chị Trâm"/>
    <s v="21/08/24 13:26"/>
    <s v="25/08/24 08:05"/>
    <n v="2050000"/>
    <n v="0"/>
    <n v="2050000"/>
    <n v="0"/>
    <n v="2050000"/>
    <n v="0"/>
    <n v="0"/>
    <n v="0"/>
    <n v="0"/>
    <m/>
    <m/>
    <m/>
    <x v="1"/>
    <s v=""/>
    <s v="CHECKOUT"/>
    <s v="586"/>
    <m/>
    <n v="512500"/>
    <n v="4"/>
  </r>
  <r>
    <s v="502"/>
    <s v="DELUXE-PNL"/>
    <s v="603"/>
    <s v="CAO THỊ MINH PHƯƠNG"/>
    <s v="23/08/24 21:53"/>
    <s v="25/08/24 08:05"/>
    <n v="1898000"/>
    <n v="0"/>
    <n v="1798000"/>
    <n v="0"/>
    <n v="899000"/>
    <n v="0"/>
    <n v="899000"/>
    <n v="0"/>
    <n v="0"/>
    <s v="0977292212"/>
    <s v=""/>
    <s v="072191004457"/>
    <x v="1"/>
    <s v=""/>
    <s v="CHECKOUT"/>
    <s v="601"/>
    <m/>
    <n v="949000"/>
    <n v="2"/>
  </r>
  <r>
    <s v="501"/>
    <s v="STD-PNL"/>
    <s v="601"/>
    <s v="Quý"/>
    <s v="24/08/24 21:07"/>
    <s v="25/08/24 08:05"/>
    <n v="549000"/>
    <n v="0"/>
    <n v="549000"/>
    <n v="0"/>
    <n v="0"/>
    <n v="0"/>
    <n v="549000"/>
    <n v="0"/>
    <n v="0"/>
    <s v="0914.923588"/>
    <s v=""/>
    <s v=""/>
    <x v="1"/>
    <s v=""/>
    <s v="CHECKOUT"/>
    <s v="600"/>
    <m/>
    <n v="549000"/>
    <n v="1"/>
  </r>
  <r>
    <s v="508"/>
    <s v="STD-PNL"/>
    <s v="401"/>
    <s v="DƯƠNG GIA BẢO"/>
    <s v="24/08/24 14:47"/>
    <s v="25/08/24 08:06"/>
    <n v="650000"/>
    <n v="0"/>
    <n v="650000"/>
    <n v="0"/>
    <n v="0"/>
    <n v="0"/>
    <n v="650000"/>
    <n v="0"/>
    <n v="0"/>
    <s v=""/>
    <s v=""/>
    <s v="001096013529"/>
    <x v="1"/>
    <s v=""/>
    <s v="CHECKOUT"/>
    <s v="607"/>
    <m/>
    <n v="650000"/>
    <n v="1"/>
  </r>
  <r>
    <s v="503"/>
    <s v="STD-PNL"/>
    <s v="201"/>
    <s v="Trần Hữu Chiến"/>
    <s v="24/08/24 17:01"/>
    <s v="25/08/24 08:06"/>
    <n v="649000"/>
    <n v="0"/>
    <n v="649000"/>
    <n v="0"/>
    <n v="0"/>
    <n v="0"/>
    <n v="649000"/>
    <n v="0"/>
    <n v="0"/>
    <s v="0908949777"/>
    <s v=""/>
    <s v=""/>
    <x v="0"/>
    <s v=""/>
    <s v="CHECKOUT"/>
    <s v="602"/>
    <m/>
    <n v="649000"/>
    <n v="1"/>
  </r>
  <r>
    <s v="505"/>
    <s v="STD-PNL"/>
    <s v="501"/>
    <s v="SỬ NGUYỄN HẢI YẾN"/>
    <s v="24/08/24 14:12"/>
    <s v="25/08/24 08:44"/>
    <n v="549000"/>
    <n v="0"/>
    <n v="549000"/>
    <n v="0"/>
    <n v="249000"/>
    <n v="0"/>
    <n v="300000"/>
    <n v="0"/>
    <n v="0"/>
    <s v=""/>
    <s v=""/>
    <s v="068195008742"/>
    <x v="1"/>
    <s v=""/>
    <s v="CHECKOUT"/>
    <s v="604"/>
    <m/>
    <n v="549000"/>
    <n v="1"/>
  </r>
  <r>
    <s v="510"/>
    <s v="STD-PNL"/>
    <s v="301"/>
    <s v="Nguyễn Thị Uyên Phương"/>
    <s v="24/08/24 18:17"/>
    <s v="25/08/24 10:10"/>
    <n v="550000"/>
    <n v="0"/>
    <n v="550000"/>
    <n v="0"/>
    <n v="550000"/>
    <n v="0"/>
    <n v="0"/>
    <n v="0"/>
    <n v="0"/>
    <s v=""/>
    <s v=""/>
    <s v=""/>
    <x v="1"/>
    <s v=""/>
    <s v="CHECKOUT"/>
    <s v="610"/>
    <m/>
    <n v="550000"/>
    <n v="1"/>
  </r>
  <r>
    <s v="510"/>
    <s v="SUP-PNL"/>
    <s v="402"/>
    <s v="Guest"/>
    <s v="24/08/24 18:17"/>
    <s v="25/08/24 10:10"/>
    <n v="550000"/>
    <n v="15000"/>
    <n v="565000"/>
    <n v="0"/>
    <n v="565000"/>
    <n v="0"/>
    <n v="0"/>
    <n v="0"/>
    <n v="0"/>
    <s v=""/>
    <s v=""/>
    <s v=""/>
    <x v="1"/>
    <s v=""/>
    <s v="CHECKOUT"/>
    <s v="609"/>
    <m/>
    <n v="550000"/>
    <n v="1"/>
  </r>
  <r>
    <s v="509"/>
    <s v="STD-PNL"/>
    <s v="101"/>
    <s v="Nguyễn Thị Hồng Phượng"/>
    <s v="24/08/24 17:34"/>
    <s v="26/08/24 08:25"/>
    <n v="1100000"/>
    <n v="0"/>
    <n v="1100000"/>
    <n v="0"/>
    <n v="1100000"/>
    <n v="0"/>
    <n v="0"/>
    <n v="0"/>
    <n v="0"/>
    <s v="0912252018"/>
    <s v=""/>
    <s v=""/>
    <x v="1"/>
    <s v=""/>
    <s v="CHECKOUT"/>
    <s v="608"/>
    <m/>
    <n v="550000"/>
    <n v="2"/>
  </r>
  <r>
    <s v="515"/>
    <s v="STD-PNL"/>
    <s v="401"/>
    <s v="Đặng Trung Nguyên"/>
    <s v="25/08/24 13:53"/>
    <s v="26/08/24 08:25"/>
    <n v="520000"/>
    <n v="0"/>
    <n v="520000"/>
    <n v="0"/>
    <n v="0"/>
    <n v="0"/>
    <n v="520000"/>
    <n v="0"/>
    <n v="0"/>
    <s v=""/>
    <s v=""/>
    <s v=""/>
    <x v="1"/>
    <s v=""/>
    <s v="CHECKOUT"/>
    <s v="616"/>
    <m/>
    <n v="520000"/>
    <n v="1"/>
  </r>
  <r>
    <s v="514"/>
    <s v="STD-PNL"/>
    <s v="601"/>
    <s v="Amit Kumar"/>
    <s v="25/08/24 09:38"/>
    <s v="26/08/24 08:37"/>
    <n v="500000"/>
    <n v="0"/>
    <n v="500000"/>
    <n v="0"/>
    <n v="500000"/>
    <n v="0"/>
    <n v="0"/>
    <n v="0"/>
    <n v="0"/>
    <m/>
    <m/>
    <m/>
    <x v="0"/>
    <s v=""/>
    <s v="CHECKOUT"/>
    <s v="615"/>
    <m/>
    <n v="500000"/>
    <n v="1"/>
  </r>
  <r>
    <s v="463"/>
    <s v="SUP-Q-PNL"/>
    <s v="502"/>
    <s v="Nguyễn Tiến Hà"/>
    <s v="16/08/24 17:26"/>
    <s v="26/08/24 10:58"/>
    <n v="5500000"/>
    <n v="0"/>
    <n v="5500000"/>
    <n v="0"/>
    <n v="0"/>
    <n v="0"/>
    <n v="5500000"/>
    <n v="0"/>
    <n v="0"/>
    <s v="0789122491"/>
    <s v=""/>
    <s v=""/>
    <x v="1"/>
    <s v=""/>
    <s v="CHECKOUT"/>
    <s v="559"/>
    <m/>
    <n v="550000"/>
    <n v="10"/>
  </r>
  <r>
    <s v="513"/>
    <s v="SUP-Q-PNL"/>
    <s v="602"/>
    <s v="NGUYỄN THỊ PHI NHƯNG"/>
    <s v="25/08/24 09:22"/>
    <s v="26/08/24 14:33"/>
    <n v="1050000"/>
    <n v="0"/>
    <n v="1050000"/>
    <n v="0"/>
    <n v="-200000"/>
    <n v="0"/>
    <n v="1250000"/>
    <n v="0"/>
    <n v="0"/>
    <s v=""/>
    <s v=""/>
    <s v="089199013378"/>
    <x v="0"/>
    <s v=""/>
    <s v="CHECKOUT"/>
    <s v="614"/>
    <m/>
    <n v="1050000"/>
    <n v="1"/>
  </r>
  <r>
    <s v="469"/>
    <s v="SUP-PNL"/>
    <s v="302"/>
    <s v="Soh Elisha Daniel"/>
    <s v="22/08/24 15:57"/>
    <s v="26/08/24 14:47"/>
    <n v="1994972"/>
    <n v="0"/>
    <n v="1994972"/>
    <n v="0"/>
    <n v="0"/>
    <n v="0"/>
    <n v="0"/>
    <n v="1994972"/>
    <n v="0"/>
    <s v="6593833319"/>
    <s v=""/>
    <s v="K2410638G"/>
    <x v="2"/>
    <s v=""/>
    <s v="CHECKOUT"/>
    <s v="565"/>
    <s v="HM3B28H9DM_LDCB1F"/>
    <n v="498743"/>
    <n v="4"/>
  </r>
  <r>
    <s v="521"/>
    <s v="DELUXE-PNL"/>
    <s v="603"/>
    <s v="Nguyễn Vinh Quang"/>
    <s v="26/08/24 15:38"/>
    <s v="26/08/24 17:30"/>
    <n v="350000"/>
    <n v="0"/>
    <n v="350000"/>
    <n v="0"/>
    <n v="350000"/>
    <n v="0"/>
    <n v="0"/>
    <n v="0"/>
    <n v="0"/>
    <m/>
    <m/>
    <m/>
    <x v="1"/>
    <s v=""/>
    <s v="CHECKOUT"/>
    <s v="627"/>
    <m/>
    <n v="350000"/>
    <n v="1"/>
  </r>
  <r>
    <s v="520"/>
    <s v="STD-PNL"/>
    <s v="601"/>
    <s v="Berge Tommy"/>
    <s v="26/08/24 15:01"/>
    <s v="27/08/24 11:00"/>
    <n v="500000"/>
    <n v="0"/>
    <n v="500000"/>
    <n v="0"/>
    <n v="500000"/>
    <n v="0"/>
    <n v="0"/>
    <n v="0"/>
    <n v="0"/>
    <s v="84 0800092944"/>
    <s v=""/>
    <s v=""/>
    <x v="1"/>
    <s v=""/>
    <s v="CHECKOUT"/>
    <s v="626"/>
    <m/>
    <n v="500000"/>
    <n v="1"/>
  </r>
  <r>
    <s v="518"/>
    <s v="SUP-PNL"/>
    <s v="102"/>
    <s v="chị Trang founder"/>
    <s v="25/08/24 23:26"/>
    <s v="27/08/24 16:25"/>
    <n v="0"/>
    <n v="0"/>
    <n v="0"/>
    <n v="0"/>
    <n v="0"/>
    <n v="0"/>
    <n v="0"/>
    <n v="0"/>
    <n v="0"/>
    <s v="0904490031"/>
    <s v=""/>
    <s v=""/>
    <x v="0"/>
    <s v=""/>
    <s v="CHECKOUT"/>
    <s v="624"/>
    <m/>
    <n v="0"/>
    <n v="2"/>
  </r>
  <r>
    <s v="529"/>
    <s v="SUP-PNL"/>
    <s v="302"/>
    <s v="Trương Công Mỹ"/>
    <s v="27/08/24 21:30"/>
    <s v="28/08/24 08:09"/>
    <n v="600000"/>
    <n v="0"/>
    <n v="600000"/>
    <n v="0"/>
    <n v="600000"/>
    <n v="0"/>
    <n v="0"/>
    <n v="0"/>
    <n v="0"/>
    <s v=""/>
    <s v=""/>
    <s v=""/>
    <x v="1"/>
    <s v=""/>
    <s v="CHECKOUT"/>
    <s v="635"/>
    <m/>
    <n v="600000"/>
    <n v="1"/>
  </r>
  <r>
    <s v="524"/>
    <s v="SUP-Q-PNL"/>
    <s v="602"/>
    <s v="mo fangkun"/>
    <s v="26/08/24 23:00"/>
    <s v="28/08/24 08:09"/>
    <n v="1254964"/>
    <n v="0"/>
    <n v="1254964"/>
    <n v="0"/>
    <n v="0"/>
    <n v="0"/>
    <n v="0"/>
    <n v="1254964"/>
    <n v="0"/>
    <s v="86055165299777"/>
    <s v="w372llxmyb@m.expediapartnercentral.com"/>
    <s v=""/>
    <x v="2"/>
    <s v=""/>
    <s v="CHECKOUT"/>
    <s v="630"/>
    <s v="308243931_LDCB1F"/>
    <n v="627482"/>
    <n v="2"/>
  </r>
  <r>
    <s v="525"/>
    <s v="DELUXE-PNL"/>
    <s v="203"/>
    <s v="Angier Tim"/>
    <s v="27/08/24 14:44"/>
    <s v="28/08/24 08:10"/>
    <n v="674822"/>
    <n v="0"/>
    <n v="674822"/>
    <n v="0"/>
    <n v="0"/>
    <n v="0"/>
    <n v="0"/>
    <n v="674822"/>
    <n v="0"/>
    <s v="64272009508"/>
    <s v=""/>
    <s v=""/>
    <x v="2"/>
    <s v=""/>
    <s v="CHECKOUT"/>
    <s v="631"/>
    <s v="HMYXCB2K4D_LDCB1F"/>
    <n v="674822"/>
    <n v="1"/>
  </r>
  <r>
    <s v="526"/>
    <s v="DELUXE-PNL"/>
    <s v="503"/>
    <s v="Hồng nhung"/>
    <s v="27/08/24 17:28"/>
    <s v="28/08/24 10:48"/>
    <n v="760000"/>
    <n v="0"/>
    <n v="760000"/>
    <n v="0"/>
    <n v="0"/>
    <n v="0"/>
    <n v="760000"/>
    <n v="0"/>
    <n v="0"/>
    <s v="+84964576280"/>
    <s v="Hongnhung8521452@gmail.com"/>
    <s v="075303007964"/>
    <x v="1"/>
    <s v=""/>
    <s v="CHECKOUT"/>
    <s v="632"/>
    <m/>
    <n v="760000"/>
    <n v="1"/>
  </r>
  <r>
    <s v="522"/>
    <s v="SUP-Q-PNL"/>
    <s v="502"/>
    <s v="TRÂM"/>
    <s v="26/08/24 18:24"/>
    <s v="28/08/24 11:00"/>
    <n v="1000000"/>
    <n v="0"/>
    <n v="1000000"/>
    <n v="0"/>
    <n v="1000000"/>
    <n v="0"/>
    <n v="0"/>
    <n v="0"/>
    <n v="0"/>
    <m/>
    <m/>
    <m/>
    <x v="1"/>
    <s v=""/>
    <s v="CHECKOUT"/>
    <s v="628"/>
    <m/>
    <n v="500000"/>
    <n v="2"/>
  </r>
  <r>
    <s v="527"/>
    <s v="STD-PNL"/>
    <s v="401"/>
    <s v="Trịnh Quốc Mạnh"/>
    <s v="27/08/24 16:51"/>
    <s v="28/08/24 11:00"/>
    <n v="549000"/>
    <n v="0"/>
    <n v="549000"/>
    <n v="0"/>
    <n v="0"/>
    <n v="0"/>
    <n v="549000"/>
    <n v="0"/>
    <n v="0"/>
    <s v=""/>
    <s v=""/>
    <s v=""/>
    <x v="1"/>
    <s v=""/>
    <s v="CHECKOUT"/>
    <s v="633"/>
    <m/>
    <n v="549000"/>
    <n v="1"/>
  </r>
  <r>
    <s v="452"/>
    <s v="STD-PNL"/>
    <s v="601"/>
    <s v="Thảo Nguyên"/>
    <s v="27/08/24 13:23"/>
    <s v="29/08/24 11:00"/>
    <n v="1100000"/>
    <n v="0"/>
    <n v="1100000"/>
    <n v="0"/>
    <n v="875000"/>
    <n v="0"/>
    <n v="225000"/>
    <n v="0"/>
    <n v="0"/>
    <s v="0918341519"/>
    <s v=""/>
    <s v=""/>
    <x v="1"/>
    <s v=""/>
    <s v="CHECKOUT"/>
    <s v="546"/>
    <m/>
    <n v="550000"/>
    <n v="2"/>
  </r>
  <r>
    <s v="517"/>
    <s v="SUP-PNL"/>
    <s v="402"/>
    <s v="SEOL YEONGUK"/>
    <s v="25/08/24 14:42"/>
    <s v="29/08/24 11:00"/>
    <n v="2596000"/>
    <n v="0"/>
    <n v="2596000"/>
    <n v="0"/>
    <n v="2596000"/>
    <n v="0"/>
    <n v="0"/>
    <n v="0"/>
    <n v="0"/>
    <s v=""/>
    <s v=""/>
    <s v="M179X7903"/>
    <x v="1"/>
    <s v=""/>
    <s v="CHECKOUT"/>
    <s v="619"/>
    <m/>
    <n v="649000"/>
    <n v="4"/>
  </r>
  <r>
    <s v="517"/>
    <s v="SUP-PNL"/>
    <s v="202"/>
    <s v="JEONG GUANGJUN"/>
    <s v="25/08/24 15:02"/>
    <s v="29/08/24 11:00"/>
    <n v="2596000"/>
    <n v="0"/>
    <n v="2596000"/>
    <n v="0"/>
    <n v="2596000"/>
    <n v="0"/>
    <n v="0"/>
    <n v="0"/>
    <n v="0"/>
    <s v=""/>
    <s v=""/>
    <s v="M482B4649"/>
    <x v="1"/>
    <s v=""/>
    <s v="CHECKOUT"/>
    <s v="621"/>
    <m/>
    <n v="649000"/>
    <n v="4"/>
  </r>
  <r>
    <s v="517"/>
    <s v="STD-PNL"/>
    <s v="501"/>
    <s v="AN JUNGWON"/>
    <s v="25/08/24 15:10"/>
    <s v="29/08/24 11:00"/>
    <n v="2196000"/>
    <n v="0"/>
    <n v="2196000"/>
    <n v="0"/>
    <n v="2196000"/>
    <n v="0"/>
    <n v="0"/>
    <n v="0"/>
    <n v="0"/>
    <s v=""/>
    <s v=""/>
    <s v="M456M9105"/>
    <x v="1"/>
    <s v=""/>
    <s v="CHECKOUT"/>
    <s v="623"/>
    <m/>
    <n v="549000"/>
    <n v="4"/>
  </r>
  <r>
    <s v="519"/>
    <s v="DELUXE-PNL"/>
    <s v="503"/>
    <s v="MCCORMICK MADISON RAE"/>
    <s v="28/08/24 20:34"/>
    <s v="29/08/24 11:00"/>
    <n v="674871"/>
    <n v="0"/>
    <n v="674871"/>
    <n v="0"/>
    <n v="0"/>
    <n v="0"/>
    <n v="0"/>
    <n v="674871"/>
    <n v="0"/>
    <s v="18043809930"/>
    <s v=""/>
    <s v="567058296"/>
    <x v="2"/>
    <s v=""/>
    <s v="CHECKOUT"/>
    <s v="625"/>
    <s v="HMMY9J9Y33_LDCB1F"/>
    <n v="674871"/>
    <n v="1"/>
  </r>
  <r>
    <s v="517"/>
    <s v="STD-PNL"/>
    <s v="301"/>
    <s v="You Young Sang"/>
    <s v="25/08/24 14:42"/>
    <s v="29/08/24 11:10"/>
    <n v="2196000"/>
    <n v="0"/>
    <n v="2196000"/>
    <n v="0"/>
    <n v="2196000"/>
    <n v="0"/>
    <n v="0"/>
    <n v="0"/>
    <n v="0"/>
    <s v=""/>
    <s v=""/>
    <s v=""/>
    <x v="1"/>
    <s v=""/>
    <s v="CHECKOUT"/>
    <s v="618"/>
    <m/>
    <n v="549000"/>
    <n v="4"/>
  </r>
  <r>
    <s v="517"/>
    <s v="SUP-Q-PNL"/>
    <s v="702"/>
    <s v="LEE JAEWOONG"/>
    <s v="25/08/24 14:42"/>
    <s v="29/08/24 11:10"/>
    <n v="2796000"/>
    <n v="0"/>
    <n v="2796000"/>
    <n v="0"/>
    <n v="2796000"/>
    <n v="0"/>
    <n v="0"/>
    <n v="0"/>
    <n v="0"/>
    <s v=""/>
    <s v=""/>
    <s v="W87540751"/>
    <x v="1"/>
    <s v=""/>
    <s v="CHECKOUT"/>
    <s v="620"/>
    <m/>
    <n v="699000"/>
    <n v="4"/>
  </r>
  <r>
    <s v="532"/>
    <s v="SUP-PNL"/>
    <s v="102"/>
    <s v="NGUYỄN VIỆT QUANG"/>
    <s v="28/08/24 19:54"/>
    <s v="30/08/24 08:05"/>
    <n v="1300000"/>
    <n v="0"/>
    <n v="1300000"/>
    <n v="0"/>
    <n v="0"/>
    <n v="0"/>
    <n v="1300000"/>
    <n v="0"/>
    <n v="0"/>
    <s v=""/>
    <s v=""/>
    <s v="038204033000"/>
    <x v="1"/>
    <s v=""/>
    <s v="CHECKOUT"/>
    <s v="638"/>
    <m/>
    <n v="650000"/>
    <n v="2"/>
  </r>
  <r>
    <s v="517"/>
    <s v="STD-PNL"/>
    <s v="201"/>
    <s v="LEE YUJIN"/>
    <s v="25/08/24 15:10"/>
    <s v="30/08/24 08:05"/>
    <n v="2745000"/>
    <n v="0"/>
    <n v="2745000"/>
    <n v="0"/>
    <n v="2745000"/>
    <n v="0"/>
    <n v="0"/>
    <n v="0"/>
    <n v="0"/>
    <s v=""/>
    <s v=""/>
    <s v="M756T3821"/>
    <x v="1"/>
    <s v=""/>
    <s v="CHECKOUT"/>
    <s v="622"/>
    <m/>
    <n v="549000"/>
    <n v="5"/>
  </r>
  <r>
    <s v="535"/>
    <s v="STD-PNL"/>
    <s v="501"/>
    <s v="Đặng Chu Thao"/>
    <s v="29/08/24 17:53"/>
    <s v="30/08/24 08:06"/>
    <n v="500000"/>
    <n v="0"/>
    <n v="500000"/>
    <n v="0"/>
    <n v="500000"/>
    <n v="0"/>
    <n v="0"/>
    <n v="0"/>
    <n v="0"/>
    <s v=""/>
    <s v=""/>
    <s v=""/>
    <x v="1"/>
    <s v=""/>
    <s v="CHECKOUT"/>
    <s v="641"/>
    <m/>
    <n v="500000"/>
    <n v="1"/>
  </r>
  <r>
    <s v="533"/>
    <s v="STD-PNL"/>
    <s v="401"/>
    <s v="Liu Xiaojian"/>
    <s v="29/08/24 13:41"/>
    <s v="30/08/24 10:52"/>
    <n v="534000"/>
    <n v="0"/>
    <n v="534000"/>
    <n v="0"/>
    <n v="0"/>
    <n v="0"/>
    <n v="0"/>
    <n v="534000"/>
    <n v="0"/>
    <s v=""/>
    <s v=""/>
    <s v="EM9390995"/>
    <x v="2"/>
    <s v=""/>
    <s v="CHECKOUT"/>
    <s v="639"/>
    <s v="1349323616_LDCB1F"/>
    <n v="534000"/>
    <n v="1"/>
  </r>
  <r>
    <s v="528"/>
    <s v="STD-PNL"/>
    <s v="601"/>
    <s v="TRẦN HỒNG NGỌC"/>
    <s v="28/08/24 13:46"/>
    <s v="30/08/24 11:00"/>
    <n v="1098000"/>
    <n v="0"/>
    <n v="1098000"/>
    <n v="0"/>
    <n v="7200"/>
    <n v="0"/>
    <n v="1090800"/>
    <n v="0"/>
    <n v="0"/>
    <s v="0399326997"/>
    <s v=""/>
    <s v="036197019067"/>
    <x v="1"/>
    <s v=""/>
    <s v="CHECKOUT"/>
    <s v="634"/>
    <m/>
    <n v="549000"/>
    <n v="2"/>
  </r>
  <r>
    <s v="539"/>
    <s v="DELUXE-PNL"/>
    <s v="503"/>
    <s v="Vòng Sau Phình"/>
    <s v="30/08/24 17:43"/>
    <s v="31/08/24 10:05"/>
    <n v="750000"/>
    <n v="0"/>
    <n v="750000"/>
    <n v="0"/>
    <n v="0"/>
    <n v="0"/>
    <n v="750000"/>
    <n v="0"/>
    <n v="0"/>
    <s v=""/>
    <s v=""/>
    <s v=""/>
    <x v="1"/>
    <s v=""/>
    <s v="CHECKOUT"/>
    <s v="645"/>
    <m/>
    <n v="750000"/>
    <n v="1"/>
  </r>
  <r>
    <s v="494"/>
    <s v="SUP-PNL"/>
    <s v="202"/>
    <s v="Kim Honggi"/>
    <s v="29/08/24 16:27"/>
    <s v="31/08/24 10:05"/>
    <n v="1100000"/>
    <n v="0"/>
    <n v="1100000"/>
    <n v="0"/>
    <n v="500000"/>
    <n v="0"/>
    <n v="600000"/>
    <n v="0"/>
    <n v="0"/>
    <s v=""/>
    <s v=""/>
    <s v="M79328941"/>
    <x v="1"/>
    <s v=""/>
    <s v="CHECKOUT"/>
    <s v="592"/>
    <m/>
    <n v="550000"/>
    <n v="2"/>
  </r>
  <r>
    <s v="404"/>
    <s v="MB-PNL"/>
    <s v="MB-PNL"/>
    <s v="Guest"/>
    <s v="02/08/24 12:03"/>
    <s v="31/08/24 11:00"/>
    <n v="27940000"/>
    <n v="1388000"/>
    <n v="29328000"/>
    <n v="0"/>
    <n v="0"/>
    <n v="0"/>
    <n v="29328000"/>
    <n v="0"/>
    <n v="0"/>
    <m/>
    <m/>
    <m/>
    <x v="0"/>
    <s v=""/>
    <s v="CHECKOUT"/>
    <s v="494"/>
    <m/>
    <n v="963448.27579999994"/>
    <n v="29"/>
  </r>
  <r>
    <s v="452"/>
    <s v="STD-PNL"/>
    <s v="601"/>
    <s v="Guest"/>
    <s v="30/08/24 18:41"/>
    <s v="31/08/24 11:00"/>
    <n v="650000"/>
    <n v="0"/>
    <n v="650000"/>
    <n v="0"/>
    <n v="0"/>
    <n v="0"/>
    <n v="650000"/>
    <n v="0"/>
    <n v="0"/>
    <s v=""/>
    <s v=""/>
    <s v=""/>
    <x v="1"/>
    <s v=""/>
    <s v="CHECKOUT"/>
    <s v="547"/>
    <m/>
    <n v="650000"/>
    <n v="1"/>
  </r>
  <r>
    <s v="494"/>
    <s v="SUP-PNL"/>
    <s v="302"/>
    <s v="Guest"/>
    <s v="30/08/24 19:40"/>
    <s v="31/08/24 11:00"/>
    <n v="550000"/>
    <n v="0"/>
    <n v="550000"/>
    <n v="0"/>
    <n v="550000"/>
    <n v="0"/>
    <n v="0"/>
    <n v="0"/>
    <n v="0"/>
    <s v=""/>
    <s v=""/>
    <s v=""/>
    <x v="1"/>
    <s v=""/>
    <s v="CHECKOUT"/>
    <s v="611"/>
    <m/>
    <n v="550000"/>
    <n v="1"/>
  </r>
  <r>
    <s v="536"/>
    <s v="SUP-Q-PNL"/>
    <s v="602"/>
    <s v="Perez Garcia"/>
    <s v="29/08/24 19:45"/>
    <s v="01/09/24 08:19"/>
    <n v="1800000"/>
    <n v="65000"/>
    <n v="1865000"/>
    <n v="0"/>
    <n v="500000"/>
    <n v="0"/>
    <n v="0"/>
    <n v="1365000"/>
    <n v="0"/>
    <s v=""/>
    <s v=""/>
    <s v=""/>
    <x v="1"/>
    <s v=""/>
    <s v="CHECKOUT"/>
    <s v="642"/>
    <m/>
    <n v="600000"/>
    <n v="3"/>
  </r>
  <r>
    <s v="530"/>
    <s v="STD-PNL"/>
    <s v="601"/>
    <s v=" Phạm Nguyễn Minh Ngọc"/>
    <s v="31/08/24 14:31"/>
    <s v="01/09/24 08:19"/>
    <n v="649000"/>
    <n v="0"/>
    <n v="616550"/>
    <n v="0"/>
    <n v="300000"/>
    <n v="0"/>
    <n v="316550"/>
    <n v="0"/>
    <n v="0"/>
    <s v="+84966012548"/>
    <s v="phamminhngoc.nakagawa@gmail.com"/>
    <s v=""/>
    <x v="1"/>
    <s v=""/>
    <s v="CHECKOUT"/>
    <s v="636"/>
    <s v="72482083183"/>
    <n v="649000"/>
    <n v="1"/>
  </r>
  <r>
    <s v="538"/>
    <s v="STD-PNL"/>
    <s v="501"/>
    <s v="Berge Tommy"/>
    <s v="30/08/24 17:04"/>
    <s v="01/09/24 11:00"/>
    <n v="1000000"/>
    <n v="0"/>
    <n v="1000000"/>
    <n v="0"/>
    <n v="1000000"/>
    <n v="0"/>
    <n v="0"/>
    <n v="0"/>
    <n v="0"/>
    <s v="84 0800092944"/>
    <s v=""/>
    <s v=""/>
    <x v="1"/>
    <s v=""/>
    <s v="CHECKOUT"/>
    <s v="644"/>
    <m/>
    <n v="500000"/>
    <n v="2"/>
  </r>
  <r>
    <s v="545"/>
    <s v="SUP-PNL"/>
    <s v="102"/>
    <s v="BÙI THỊ NGỌC DIỄM"/>
    <s v="31/08/24 16:10"/>
    <s v="01/09/24 11:00"/>
    <n v="649000"/>
    <n v="0"/>
    <n v="649000"/>
    <n v="0"/>
    <n v="649000"/>
    <n v="0"/>
    <n v="0"/>
    <n v="0"/>
    <n v="0"/>
    <s v=""/>
    <s v=""/>
    <s v="064180009993"/>
    <x v="1"/>
    <s v=""/>
    <s v="CHECKOUT"/>
    <s v="654"/>
    <m/>
    <n v="649000"/>
    <n v="1"/>
  </r>
  <r>
    <s v="434"/>
    <s v="STD-PNL"/>
    <s v="301"/>
    <s v="Ho yung han"/>
    <s v="30/08/24 14:03"/>
    <s v="01/09/24 11:16"/>
    <n v="1167840"/>
    <n v="0"/>
    <n v="1167840"/>
    <n v="0"/>
    <n v="0"/>
    <n v="0"/>
    <n v="0"/>
    <n v="1167840"/>
    <n v="0"/>
    <s v="886 +886958036637"/>
    <s v=""/>
    <s v=""/>
    <x v="2"/>
    <s v=""/>
    <s v="CHECKOUT"/>
    <s v="527"/>
    <s v="1327359692_LDCB1F"/>
    <n v="583920"/>
    <n v="2"/>
  </r>
  <r>
    <s v="546"/>
    <s v="SUP-PNL"/>
    <s v="302"/>
    <s v="NGUYỄN THỊ THANH THỦY"/>
    <s v="31/08/24 22:28"/>
    <s v="01/09/24 14:12"/>
    <n v="780000"/>
    <n v="30000"/>
    <n v="810000"/>
    <n v="0"/>
    <n v="0"/>
    <n v="0"/>
    <n v="810000"/>
    <n v="0"/>
    <n v="0"/>
    <s v=""/>
    <s v=""/>
    <s v="079189015581"/>
    <x v="1"/>
    <s v=""/>
    <s v="CHECKOUT"/>
    <s v="655"/>
    <m/>
    <n v="780000"/>
    <n v="1"/>
  </r>
  <r>
    <s v="550"/>
    <s v="SUP-PNL"/>
    <s v="402"/>
    <s v="pham Trinh"/>
    <s v="02/09/24 00:00"/>
    <s v="02/09/24 09:47"/>
    <n v="635760"/>
    <n v="0"/>
    <n v="635760"/>
    <n v="0"/>
    <n v="0"/>
    <n v="0"/>
    <n v="635760"/>
    <n v="0"/>
    <n v="0"/>
    <s v="+84 797 206 833"/>
    <s v="tpham.471091@guest.booking.com"/>
    <s v=""/>
    <x v="2"/>
    <s v=""/>
    <s v="CHECKOUT"/>
    <s v="659"/>
    <s v="4953937155_LDCB1F"/>
    <n v="635760"/>
    <n v="1"/>
  </r>
  <r>
    <s v="541"/>
    <s v="DELUXE-PNL"/>
    <s v="603"/>
    <s v="Tiêu Ngọc Hằng"/>
    <s v="31/08/24 07:54"/>
    <s v="02/09/24 10:41"/>
    <n v="1750000"/>
    <n v="0"/>
    <n v="1750000"/>
    <n v="0"/>
    <n v="0"/>
    <n v="0"/>
    <n v="1750000"/>
    <n v="0"/>
    <n v="0"/>
    <s v=""/>
    <s v=""/>
    <s v=""/>
    <x v="1"/>
    <s v=""/>
    <s v="CHECKOUT"/>
    <s v="650"/>
    <m/>
    <n v="875000"/>
    <n v="2"/>
  </r>
  <r>
    <s v="540"/>
    <s v="STD-PNL"/>
    <s v="601"/>
    <s v="Le Nguyen Son Tuyen"/>
    <s v="01/09/24 14:11"/>
    <s v="02/09/24 14:52"/>
    <n v="710000"/>
    <n v="0"/>
    <n v="710000"/>
    <n v="0"/>
    <n v="710000"/>
    <n v="0"/>
    <n v="0"/>
    <n v="0"/>
    <n v="0"/>
    <s v=""/>
    <s v=""/>
    <s v="K0438688"/>
    <x v="1"/>
    <s v=""/>
    <s v="CHECKOUT"/>
    <s v="646"/>
    <m/>
    <n v="710000"/>
    <n v="1"/>
  </r>
  <r>
    <s v="540"/>
    <s v="SUP-Q-PNL"/>
    <s v="702"/>
    <s v="Tang Zhensheng"/>
    <s v="01/09/24 14:11"/>
    <s v="02/09/24 14:52"/>
    <n v="810000"/>
    <n v="0"/>
    <n v="810000"/>
    <n v="0"/>
    <n v="160000"/>
    <n v="0"/>
    <n v="650000"/>
    <n v="0"/>
    <n v="0"/>
    <s v=""/>
    <s v=""/>
    <s v="EM5370168"/>
    <x v="1"/>
    <s v=""/>
    <s v="CHECKOUT"/>
    <s v="649"/>
    <m/>
    <n v="810000"/>
    <n v="1"/>
  </r>
  <r>
    <s v="540"/>
    <s v="DELUXE-PNL"/>
    <s v="503"/>
    <s v="Zhou Junxuan"/>
    <s v="01/09/24 14:11"/>
    <s v="02/09/24 14:52"/>
    <n v="810000"/>
    <n v="0"/>
    <n v="810000"/>
    <n v="0"/>
    <n v="210000"/>
    <n v="0"/>
    <n v="600000"/>
    <n v="0"/>
    <n v="0"/>
    <s v="0344463019"/>
    <s v=""/>
    <s v="EJ8123184"/>
    <x v="1"/>
    <s v=""/>
    <s v="CHECKOUT"/>
    <s v="648"/>
    <m/>
    <n v="810000"/>
    <n v="1"/>
  </r>
  <r>
    <s v="553"/>
    <s v="DELUXE-PNL"/>
    <s v="603"/>
    <s v="Hồng Kỳ"/>
    <s v="02/09/24 15:21"/>
    <s v="02/09/24 17:30"/>
    <n v="400000"/>
    <n v="0"/>
    <n v="400000"/>
    <n v="0"/>
    <n v="400000"/>
    <n v="0"/>
    <n v="0"/>
    <n v="0"/>
    <n v="0"/>
    <m/>
    <m/>
    <m/>
    <x v="1"/>
    <s v=""/>
    <s v="CHECKOUT"/>
    <s v="662"/>
    <m/>
    <n v="400000"/>
    <n v="1"/>
  </r>
  <r>
    <s v="540"/>
    <s v="SUP-Q-PNL"/>
    <s v="502"/>
    <s v="Xu Xiaohui"/>
    <s v="01/09/24 14:11"/>
    <s v="02/09/24 18:00"/>
    <n v="990000"/>
    <n v="0"/>
    <n v="990000"/>
    <n v="0"/>
    <n v="990000"/>
    <n v="0"/>
    <n v="0"/>
    <n v="0"/>
    <n v="0"/>
    <s v=""/>
    <s v=""/>
    <s v="EN2570847"/>
    <x v="1"/>
    <s v=""/>
    <s v="CHECKOUT"/>
    <s v="647"/>
    <m/>
    <n v="990000"/>
    <n v="1"/>
  </r>
  <r>
    <s v="552"/>
    <s v="STD-PNL"/>
    <s v="501"/>
    <s v="Zhou Shiyue"/>
    <s v="02/09/24 13:22"/>
    <s v="03/09/24 10:54"/>
    <n v="520000"/>
    <n v="0"/>
    <n v="520000"/>
    <n v="0"/>
    <n v="520000"/>
    <n v="0"/>
    <n v="0"/>
    <n v="0"/>
    <n v="0"/>
    <m/>
    <m/>
    <m/>
    <x v="1"/>
    <s v=""/>
    <s v="CHECKOUT"/>
    <s v="661"/>
    <m/>
    <n v="520000"/>
    <n v="1"/>
  </r>
  <r>
    <s v="555"/>
    <s v="STD-PNL"/>
    <s v="601"/>
    <s v="Nguyễn Thị Thu Hào"/>
    <s v="02/09/24 18:43"/>
    <s v="03/09/24 10:54"/>
    <n v="500000"/>
    <n v="0"/>
    <n v="500000"/>
    <n v="0"/>
    <n v="0"/>
    <n v="0"/>
    <n v="500000"/>
    <n v="0"/>
    <n v="0"/>
    <m/>
    <m/>
    <m/>
    <x v="1"/>
    <s v=""/>
    <s v="CHECKOUT"/>
    <s v="664"/>
    <m/>
    <n v="500000"/>
    <n v="1"/>
  </r>
  <r>
    <s v="537"/>
    <s v="STD-PNL"/>
    <s v="401"/>
    <s v="Nguyễn Anh Tuấn"/>
    <s v="31/08/24 14:03"/>
    <s v="03/09/24 23:00"/>
    <n v="2200000"/>
    <n v="0"/>
    <n v="2200000"/>
    <n v="0"/>
    <n v="2200000"/>
    <n v="0"/>
    <n v="0"/>
    <n v="0"/>
    <n v="0"/>
    <s v="0363246555"/>
    <s v=""/>
    <s v=""/>
    <x v="1"/>
    <s v=""/>
    <s v="CHECKOUT"/>
    <s v="643"/>
    <m/>
    <n v="733333.33330000006"/>
    <n v="3"/>
  </r>
  <r>
    <s v="544"/>
    <s v="STD-PNL"/>
    <s v="201"/>
    <s v="UM HEEKWON"/>
    <s v="31/08/24 12:44"/>
    <s v="05/09/24 10:14"/>
    <n v="2650000"/>
    <n v="0"/>
    <n v="2650000"/>
    <n v="0"/>
    <n v="2650000"/>
    <n v="0"/>
    <n v="0"/>
    <n v="0"/>
    <n v="0"/>
    <s v=""/>
    <s v=""/>
    <s v="M210R2393"/>
    <x v="1"/>
    <s v=""/>
    <s v="CHECKOUT"/>
    <s v="653"/>
    <m/>
    <n v="530000"/>
    <n v="5"/>
  </r>
  <r>
    <s v="558"/>
    <s v="STD-PNL"/>
    <s v="601"/>
    <s v="RAYMOND ROBERT BRUCE"/>
    <s v="03/09/24 14:35"/>
    <s v="05/09/24 10:14"/>
    <n v="1100000"/>
    <n v="0"/>
    <n v="1100000"/>
    <n v="0"/>
    <n v="1100000"/>
    <n v="0"/>
    <n v="0"/>
    <n v="0"/>
    <n v="0"/>
    <s v="+61 423 085 208"/>
    <s v=""/>
    <s v="PA5991073"/>
    <x v="1"/>
    <s v=""/>
    <s v="CHECKOUT"/>
    <s v="667"/>
    <m/>
    <n v="550000"/>
    <n v="2"/>
  </r>
  <r>
    <s v="551"/>
    <s v="DELUXE-PNL"/>
    <s v="103"/>
    <s v="COHEN SCOTT HARRISON"/>
    <s v="03/09/24 14:01"/>
    <s v="05/09/24 10:52"/>
    <n v="1666656"/>
    <n v="0"/>
    <n v="1666656"/>
    <n v="0"/>
    <n v="0"/>
    <n v="0"/>
    <n v="0"/>
    <n v="1666656"/>
    <n v="0"/>
    <s v="+84 203 5640 799"/>
    <s v="scohen.601579@guest.booking.com"/>
    <s v="588784992"/>
    <x v="2"/>
    <s v=""/>
    <s v="CHECKOUT"/>
    <s v="660"/>
    <s v="4767123248_LDCB1F"/>
    <n v="833328"/>
    <n v="2"/>
  </r>
  <r>
    <s v="559"/>
    <s v="STD-PNL"/>
    <s v="301"/>
    <s v="HILL WARREN DOUGLAS"/>
    <s v="03/09/24 14:36"/>
    <s v="05/09/24 11:00"/>
    <n v="1100000"/>
    <n v="88000"/>
    <n v="1188000"/>
    <n v="0"/>
    <n v="0"/>
    <n v="0"/>
    <n v="0"/>
    <n v="1188000"/>
    <n v="0"/>
    <s v="84 +84345798457"/>
    <s v=""/>
    <s v="PA1643732"/>
    <x v="1"/>
    <s v=""/>
    <s v="CHECKOUT"/>
    <s v="668"/>
    <m/>
    <n v="550000"/>
    <n v="2"/>
  </r>
  <r>
    <s v="561"/>
    <s v="STD-PNL"/>
    <s v="501"/>
    <s v="HOÀNG THỊ CẨM TÚ"/>
    <s v="04/09/24 22:55"/>
    <s v="05/09/24 12:29"/>
    <n v="560000"/>
    <n v="0"/>
    <n v="560000"/>
    <n v="0"/>
    <n v="60000"/>
    <n v="0"/>
    <n v="500000"/>
    <n v="0"/>
    <n v="0"/>
    <s v="0988322553"/>
    <s v=""/>
    <s v="051196005504"/>
    <x v="1"/>
    <s v=""/>
    <s v="CHECKOUT"/>
    <s v="670"/>
    <m/>
    <n v="560000"/>
    <n v="1"/>
  </r>
  <r>
    <s v="516"/>
    <s v="DELUXE-PNL"/>
    <s v="403"/>
    <s v="MORISHIMA HIROFUTO"/>
    <s v="26/08/24 14:01"/>
    <s v="06/09/24 11:00"/>
    <n v="8360000"/>
    <n v="700000"/>
    <n v="9060000"/>
    <n v="0"/>
    <n v="0"/>
    <n v="0"/>
    <n v="0"/>
    <n v="9060000"/>
    <n v="0"/>
    <s v=""/>
    <s v=""/>
    <s v="TR5543854"/>
    <x v="1"/>
    <s v=""/>
    <s v="CHECKOUT"/>
    <s v="617"/>
    <m/>
    <n v="760000"/>
    <n v="11"/>
  </r>
  <r>
    <s v="549"/>
    <s v="SUP-Q-PNL"/>
    <s v="502"/>
    <s v="Nguyễn Ánh"/>
    <s v="05/09/24 15:30"/>
    <s v="06/09/24 11:27"/>
    <n v="620500"/>
    <n v="0"/>
    <n v="620500"/>
    <n v="0"/>
    <n v="0"/>
    <n v="0"/>
    <n v="0"/>
    <n v="620500"/>
    <n v="0"/>
    <s v="84904247629"/>
    <s v=""/>
    <s v=""/>
    <x v="2"/>
    <s v=""/>
    <s v="CHECKOUT"/>
    <s v="658"/>
    <s v="HMRJNPF5MP_LDCB1F"/>
    <n v="620500"/>
    <n v="1"/>
  </r>
  <r>
    <s v="564"/>
    <s v="STD-PNL"/>
    <s v="201"/>
    <s v="Khúc Thị Thanh Vân"/>
    <s v="05/09/24 22:59"/>
    <s v="06/09/24 15:22"/>
    <n v="500000"/>
    <n v="0"/>
    <n v="500000"/>
    <n v="0"/>
    <n v="0"/>
    <n v="0"/>
    <n v="500000"/>
    <n v="0"/>
    <n v="0"/>
    <s v=""/>
    <s v=""/>
    <s v=""/>
    <x v="1"/>
    <s v=""/>
    <s v="CHECKOUT"/>
    <s v="673"/>
    <m/>
    <n v="500000"/>
    <n v="1"/>
  </r>
  <r>
    <s v="564"/>
    <s v="STD-PNL"/>
    <s v="301"/>
    <s v="Guest"/>
    <s v="05/09/24 22:59"/>
    <s v="06/09/24 15:22"/>
    <n v="500000"/>
    <n v="0"/>
    <n v="500000"/>
    <n v="0"/>
    <n v="0"/>
    <n v="0"/>
    <n v="500000"/>
    <n v="0"/>
    <n v="0"/>
    <m/>
    <m/>
    <m/>
    <x v="1"/>
    <s v=""/>
    <s v="CHECKOUT"/>
    <s v="674"/>
    <m/>
    <n v="500000"/>
    <n v="1"/>
  </r>
  <r>
    <s v="568"/>
    <s v="SUP-PNL"/>
    <s v="102"/>
    <s v="nguyen thi truc linh"/>
    <s v="07/09/24 03:27"/>
    <s v="07/09/24 08:46"/>
    <n v="712080"/>
    <n v="0"/>
    <n v="712080"/>
    <n v="0"/>
    <n v="80"/>
    <n v="0"/>
    <n v="712000"/>
    <n v="0"/>
    <n v="0"/>
    <s v="+84 165636003"/>
    <s v="znjbjg.945986@guest.booking.com"/>
    <s v=""/>
    <x v="2"/>
    <s v=""/>
    <s v="CHECKOUT"/>
    <s v="678"/>
    <s v="4848486293_LDCB1F"/>
    <n v="712080"/>
    <n v="1"/>
  </r>
  <r>
    <s v="554"/>
    <s v="STD-PNL"/>
    <s v="501"/>
    <s v="Jindamongkon,Jarupa"/>
    <s v="06/09/24 16:09"/>
    <s v="07/09/24 09:33"/>
    <n v="585000"/>
    <n v="0"/>
    <n v="585000"/>
    <n v="0"/>
    <n v="0"/>
    <n v="0"/>
    <n v="0"/>
    <n v="585000"/>
    <n v="0"/>
    <s v=""/>
    <s v=""/>
    <s v=""/>
    <x v="5"/>
    <s v=""/>
    <s v="CHECKOUT"/>
    <s v="663"/>
    <m/>
    <n v="585000"/>
    <n v="1"/>
  </r>
  <r>
    <s v="571"/>
    <s v="SUP-PNL"/>
    <s v="102"/>
    <s v="Lưu Khắc Vương"/>
    <s v="07/09/24 18:40"/>
    <s v="08/09/24 10:00"/>
    <n v="650000"/>
    <n v="0"/>
    <n v="650000"/>
    <n v="0"/>
    <n v="0"/>
    <n v="0"/>
    <n v="650000"/>
    <n v="0"/>
    <n v="0"/>
    <s v=""/>
    <s v=""/>
    <s v="038093004638"/>
    <x v="1"/>
    <s v=""/>
    <s v="CHECKOUT"/>
    <s v="684"/>
    <m/>
    <n v="650000"/>
    <n v="1"/>
  </r>
  <r>
    <s v="566"/>
    <s v="STD-PNL"/>
    <s v="601"/>
    <s v="Trương Trần Gia Hân"/>
    <s v="07/09/24 18:24"/>
    <s v="08/09/24 10:00"/>
    <n v="584000"/>
    <n v="0"/>
    <n v="534000"/>
    <n v="0"/>
    <n v="0"/>
    <n v="0"/>
    <n v="534000"/>
    <n v="0"/>
    <n v="0"/>
    <s v=""/>
    <s v=""/>
    <s v="077302004240"/>
    <x v="0"/>
    <s v=""/>
    <s v="CHECKOUT"/>
    <s v="676"/>
    <m/>
    <n v="584000"/>
    <n v="1"/>
  </r>
  <r>
    <s v="557"/>
    <s v="DELUXE-PNL"/>
    <s v="403"/>
    <s v="Bảo Quỳnh"/>
    <s v="06/09/24 22:06"/>
    <s v="08/09/24 11:00"/>
    <n v="1450000"/>
    <n v="0"/>
    <n v="1450000"/>
    <n v="0"/>
    <n v="0"/>
    <n v="0"/>
    <n v="1450000"/>
    <n v="0"/>
    <n v="0"/>
    <m/>
    <m/>
    <m/>
    <x v="1"/>
    <s v=""/>
    <s v="CHECKOUT"/>
    <s v="666"/>
    <m/>
    <n v="725000"/>
    <n v="2"/>
  </r>
  <r>
    <s v="567"/>
    <s v="STD-PNL"/>
    <s v="201"/>
    <s v="Trần Thị Thúy Vi"/>
    <s v="06/09/24 16:34"/>
    <s v="08/09/24 11:00"/>
    <n v="1300000"/>
    <n v="44000"/>
    <n v="1344000"/>
    <n v="0"/>
    <n v="650000"/>
    <n v="0"/>
    <n v="694000"/>
    <n v="0"/>
    <n v="0"/>
    <s v=""/>
    <s v=""/>
    <s v=""/>
    <x v="1"/>
    <s v=""/>
    <s v="CHECKOUT"/>
    <s v="677"/>
    <m/>
    <n v="650000"/>
    <n v="2"/>
  </r>
  <r>
    <s v="570"/>
    <s v="SUP-PNL"/>
    <s v="302"/>
    <s v="Huyền"/>
    <s v="07/09/24 15:41"/>
    <s v="08/09/24 11:00"/>
    <n v="584000"/>
    <n v="15000"/>
    <n v="599000"/>
    <n v="0"/>
    <n v="0"/>
    <n v="0"/>
    <n v="599000"/>
    <n v="0"/>
    <n v="0"/>
    <s v="0866698403"/>
    <s v=""/>
    <s v=""/>
    <x v="0"/>
    <s v=""/>
    <s v="CHECKOUT"/>
    <s v="682"/>
    <m/>
    <n v="584000"/>
    <n v="1"/>
  </r>
  <r>
    <s v="574"/>
    <s v="SUP-PNL"/>
    <s v="302"/>
    <s v="Anh Thi"/>
    <s v="08/09/24 12:27"/>
    <s v="08/09/24 14:37"/>
    <n v="350000"/>
    <n v="0"/>
    <n v="350000"/>
    <n v="0"/>
    <n v="350000"/>
    <n v="0"/>
    <n v="0"/>
    <n v="0"/>
    <n v="0"/>
    <m/>
    <m/>
    <m/>
    <x v="1"/>
    <s v=""/>
    <s v="CHECKOUT"/>
    <s v="687"/>
    <m/>
    <n v="350000"/>
    <n v="1"/>
  </r>
  <r>
    <s v="573"/>
    <s v="SUP-PNL"/>
    <s v="102"/>
    <s v="Trịnh Trọng"/>
    <s v="08/09/24 12:27"/>
    <s v="08/09/24 15:27"/>
    <n v="349000"/>
    <n v="0"/>
    <n v="349000"/>
    <n v="0"/>
    <n v="0"/>
    <n v="0"/>
    <n v="349000"/>
    <n v="0"/>
    <n v="0"/>
    <s v=""/>
    <s v=""/>
    <s v=""/>
    <x v="1"/>
    <s v=""/>
    <s v="CHECKOUT"/>
    <s v="686"/>
    <m/>
    <n v="349000"/>
    <n v="1"/>
  </r>
  <r>
    <s v="576"/>
    <s v="SUP-PNL"/>
    <s v="202"/>
    <s v="Phú"/>
    <s v="08/09/24 14:37"/>
    <s v="08/09/24 18:15"/>
    <n v="349000"/>
    <n v="0"/>
    <n v="349000"/>
    <n v="0"/>
    <n v="0"/>
    <n v="0"/>
    <n v="349000"/>
    <n v="0"/>
    <n v="0"/>
    <s v=""/>
    <s v=""/>
    <s v=""/>
    <x v="1"/>
    <s v=""/>
    <s v="CHECKOUT"/>
    <s v="689"/>
    <m/>
    <n v="349000"/>
    <n v="1"/>
  </r>
  <r>
    <s v="531"/>
    <s v="DELUXE-PNL"/>
    <s v="503"/>
    <s v="Truc Le"/>
    <s v="04/09/24 15:50"/>
    <s v="09/09/24 11:00"/>
    <n v="3985000"/>
    <n v="950000"/>
    <n v="4935000"/>
    <n v="0"/>
    <n v="0"/>
    <n v="0"/>
    <n v="4935000"/>
    <n v="0"/>
    <n v="0"/>
    <m/>
    <m/>
    <m/>
    <x v="1"/>
    <s v=""/>
    <s v="CHECKOUT"/>
    <s v="637"/>
    <m/>
    <n v="797000"/>
    <n v="5"/>
  </r>
  <r>
    <s v="562"/>
    <s v="STD-PNL"/>
    <s v="401"/>
    <s v="Quỳnhh Như"/>
    <s v="06/09/24 23:36"/>
    <s v="09/09/24 11:00"/>
    <n v="1662000"/>
    <n v="0"/>
    <n v="1662000"/>
    <n v="0"/>
    <n v="0"/>
    <n v="0"/>
    <n v="1662000"/>
    <n v="0"/>
    <n v="0"/>
    <s v="0888628622"/>
    <s v=""/>
    <s v=""/>
    <x v="1"/>
    <s v=""/>
    <s v="CHECKOUT"/>
    <s v="671"/>
    <m/>
    <n v="554000"/>
    <n v="3"/>
  </r>
  <r>
    <s v="562"/>
    <s v="STD-PNL"/>
    <s v="501"/>
    <s v="Quỳnh Như"/>
    <s v="07/09/24 14:36"/>
    <s v="09/09/24 11:00"/>
    <n v="1078000"/>
    <n v="0"/>
    <n v="1078000"/>
    <n v="0"/>
    <n v="0"/>
    <n v="0"/>
    <n v="1078000"/>
    <n v="0"/>
    <n v="0"/>
    <s v=""/>
    <s v=""/>
    <s v=""/>
    <x v="1"/>
    <s v=""/>
    <s v="CHECKOUT"/>
    <s v="672"/>
    <m/>
    <n v="539000"/>
    <n v="2"/>
  </r>
  <r>
    <s v="575"/>
    <s v="STD-PNL"/>
    <s v="201"/>
    <s v="SIMPON ADAM"/>
    <s v="08/09/24 15:46"/>
    <s v="09/09/24 11:00"/>
    <n v="449650"/>
    <n v="0"/>
    <n v="449650"/>
    <n v="0"/>
    <n v="0"/>
    <n v="0"/>
    <n v="0"/>
    <n v="449650"/>
    <n v="0"/>
    <s v=""/>
    <s v=""/>
    <s v=""/>
    <x v="5"/>
    <s v=""/>
    <s v="CHECKOUT"/>
    <s v="688"/>
    <m/>
    <n v="449650"/>
    <n v="1"/>
  </r>
  <r>
    <s v="572"/>
    <s v="SUP-Q-PNL"/>
    <s v="602"/>
    <s v="Phan Văn Long"/>
    <s v="08/09/24 14:50"/>
    <s v="10/09/24 08:35"/>
    <n v="1258000"/>
    <n v="0"/>
    <n v="1258000"/>
    <n v="0"/>
    <n v="0"/>
    <n v="0"/>
    <n v="1258000"/>
    <n v="0"/>
    <n v="0"/>
    <s v="0941397368"/>
    <s v=""/>
    <s v=""/>
    <x v="1"/>
    <s v=""/>
    <s v="CHECKOUT"/>
    <s v="685"/>
    <m/>
    <n v="629000"/>
    <n v="2"/>
  </r>
  <r>
    <s v="565"/>
    <s v="DELUXE-PNL"/>
    <s v="603"/>
    <s v="Speh Simon"/>
    <s v="06/09/24 14:10"/>
    <s v="10/09/24 09:30"/>
    <n v="2880000"/>
    <n v="0"/>
    <n v="2880000"/>
    <n v="0"/>
    <n v="0"/>
    <n v="0"/>
    <n v="0"/>
    <n v="2880000"/>
    <n v="0"/>
    <s v=""/>
    <s v=""/>
    <s v=""/>
    <x v="1"/>
    <s v=""/>
    <s v="CHECKOUT"/>
    <s v="675"/>
    <m/>
    <n v="720000"/>
    <n v="4"/>
  </r>
  <r>
    <s v="581"/>
    <s v="STD-PNL"/>
    <s v="201"/>
    <s v="Mai Md Apbul"/>
    <s v="09/09/24 22:52"/>
    <s v="10/09/24 11:00"/>
    <n v="250000"/>
    <n v="0"/>
    <n v="250000"/>
    <n v="0"/>
    <n v="250000"/>
    <n v="0"/>
    <n v="0"/>
    <n v="0"/>
    <n v="0"/>
    <s v=""/>
    <s v=""/>
    <s v=""/>
    <x v="1"/>
    <s v=""/>
    <s v="CHECKOUT"/>
    <s v="694"/>
    <m/>
    <n v="250000"/>
    <n v="1"/>
  </r>
  <r>
    <s v="579"/>
    <s v="SUP-PNL"/>
    <s v="202"/>
    <s v="Lê Thị Bích Nhạn"/>
    <s v="09/09/24 14:23"/>
    <s v="10/09/24 15:05"/>
    <n v="644000"/>
    <n v="0"/>
    <n v="644000"/>
    <n v="0"/>
    <n v="644000"/>
    <n v="0"/>
    <n v="0"/>
    <n v="0"/>
    <n v="0"/>
    <s v=""/>
    <s v=""/>
    <s v=""/>
    <x v="1"/>
    <s v=""/>
    <s v="CHECKOUT"/>
    <s v="692"/>
    <m/>
    <n v="644000"/>
    <n v="1"/>
  </r>
  <r>
    <s v="588"/>
    <s v="STD-PNL"/>
    <s v="101"/>
    <s v="Kim Trà"/>
    <s v="11/09/24 12:25"/>
    <s v="11/09/24 13:35"/>
    <n v="350000"/>
    <n v="0"/>
    <n v="350000"/>
    <n v="0"/>
    <n v="350000"/>
    <n v="0"/>
    <n v="0"/>
    <n v="0"/>
    <n v="0"/>
    <s v=""/>
    <s v=""/>
    <s v=""/>
    <x v="1"/>
    <s v=""/>
    <s v="CHECKOUT"/>
    <s v="703"/>
    <m/>
    <n v="350000"/>
    <n v="1"/>
  </r>
  <r>
    <s v="567"/>
    <s v="SUP-PNL"/>
    <s v="402"/>
    <s v="Guest"/>
    <s v="08/09/24 16:40"/>
    <s v="11/09/24 18:00"/>
    <n v="2200000"/>
    <n v="350000"/>
    <n v="2550000"/>
    <n v="0"/>
    <n v="100000"/>
    <n v="0"/>
    <n v="2450000"/>
    <n v="0"/>
    <n v="0"/>
    <m/>
    <m/>
    <m/>
    <x v="1"/>
    <s v=""/>
    <s v="CHECKOUT"/>
    <s v="683"/>
    <m/>
    <n v="733333.33330000006"/>
    <n v="3"/>
  </r>
  <r>
    <s v="582"/>
    <s v="STD-PNL"/>
    <s v="401"/>
    <s v="Trần Thị Thúy Vi"/>
    <s v="09/09/24 17:37"/>
    <s v="11/09/24 18:00"/>
    <n v="1498000"/>
    <n v="0"/>
    <n v="1498000"/>
    <n v="0"/>
    <n v="0"/>
    <n v="0"/>
    <n v="1498000"/>
    <n v="0"/>
    <n v="0"/>
    <s v=""/>
    <s v=""/>
    <s v=""/>
    <x v="1"/>
    <s v=""/>
    <s v="CHECKOUT"/>
    <s v="695"/>
    <m/>
    <n v="749000"/>
    <n v="2"/>
  </r>
  <r>
    <s v="585"/>
    <s v="STD-PNL"/>
    <s v="301"/>
    <s v="Nguyễn Lê Hòng Minh"/>
    <s v="11/09/24 13:56"/>
    <s v="12/09/24 10:29"/>
    <n v="549000"/>
    <n v="0"/>
    <n v="549000"/>
    <n v="0"/>
    <n v="549000"/>
    <n v="0"/>
    <n v="0"/>
    <n v="0"/>
    <n v="0"/>
    <s v=""/>
    <s v=""/>
    <s v=""/>
    <x v="1"/>
    <s v=""/>
    <s v="CHECKOUT"/>
    <s v="698"/>
    <m/>
    <n v="549000"/>
    <n v="1"/>
  </r>
  <r>
    <s v="577"/>
    <s v="DELUXE-PNL"/>
    <s v="403"/>
    <s v="Hoàng Thị Kim Liên"/>
    <s v="09/09/24 14:23"/>
    <s v="12/09/24 11:00"/>
    <n v="2160000"/>
    <n v="175000"/>
    <n v="2335000"/>
    <n v="0"/>
    <n v="0"/>
    <n v="0"/>
    <n v="2335000"/>
    <n v="0"/>
    <n v="0"/>
    <s v="0972107554"/>
    <s v=""/>
    <s v=""/>
    <x v="1"/>
    <s v=""/>
    <s v="CHECKOUT"/>
    <s v="690"/>
    <m/>
    <n v="720000"/>
    <n v="3"/>
  </r>
  <r>
    <s v="495"/>
    <s v="STD-PNL"/>
    <s v="501"/>
    <s v="Widayat Anang"/>
    <s v="10/09/24 14:47"/>
    <s v="12/09/24 11:21"/>
    <n v="1448640"/>
    <n v="0"/>
    <n v="1448640"/>
    <n v="0"/>
    <n v="0"/>
    <n v="0"/>
    <n v="0"/>
    <n v="2897280"/>
    <n v="-1448640"/>
    <s v="+61 2035640799"/>
    <s v="awiday.952621@guest.booking.com"/>
    <s v=""/>
    <x v="2"/>
    <s v=""/>
    <s v="CHECKOUT"/>
    <s v="679"/>
    <s v="4433692047_LDCB1F"/>
    <n v="724320"/>
    <n v="2"/>
  </r>
  <r>
    <s v="495"/>
    <s v="STD-PNL"/>
    <s v="601"/>
    <s v="Anang Widayat"/>
    <s v="10/09/24 14:47"/>
    <s v="12/09/24 11:21"/>
    <n v="1448640"/>
    <n v="0"/>
    <n v="1448640"/>
    <n v="0"/>
    <n v="0"/>
    <n v="0"/>
    <n v="0"/>
    <n v="0"/>
    <n v="1448640"/>
    <s v="+61410331376"/>
    <s v=""/>
    <s v=""/>
    <x v="2"/>
    <s v=""/>
    <s v="CHECKOUT"/>
    <s v="680"/>
    <s v="4433692047_LDCB1F"/>
    <n v="724320"/>
    <n v="2"/>
  </r>
  <r>
    <s v="587"/>
    <s v="SUP-PNL"/>
    <s v="102"/>
    <s v="Chris Bryson"/>
    <s v="12/09/24 16:33"/>
    <s v="13/09/24 09:27"/>
    <n v="482112"/>
    <n v="60000"/>
    <n v="542112"/>
    <n v="0"/>
    <n v="60000"/>
    <n v="0"/>
    <n v="0"/>
    <n v="482112"/>
    <n v="0"/>
    <s v="+84 978 182 224"/>
    <s v="bchris.903888@guest.booking.com"/>
    <s v=""/>
    <x v="2"/>
    <s v=""/>
    <s v="CHECKOUT"/>
    <s v="702"/>
    <s v="4581412411_LDCB1F"/>
    <n v="482112"/>
    <n v="1"/>
  </r>
  <r>
    <s v="600"/>
    <s v="STD-PNL"/>
    <s v="201"/>
    <s v="Hoàng Ngọc Linh"/>
    <s v="13/09/24 19:23"/>
    <s v="13/09/24 21:22"/>
    <n v="350000"/>
    <n v="0"/>
    <n v="350000"/>
    <n v="0"/>
    <n v="350000"/>
    <n v="0"/>
    <n v="0"/>
    <n v="0"/>
    <n v="0"/>
    <s v=""/>
    <s v=""/>
    <s v=""/>
    <x v="1"/>
    <s v=""/>
    <s v="CHECKOUT"/>
    <s v="720"/>
    <m/>
    <n v="350000"/>
    <n v="1"/>
  </r>
  <r>
    <s v="602"/>
    <s v="SUP-Q-PNL"/>
    <s v="702"/>
    <s v="Fauzaiah Binti"/>
    <s v="13/09/24 22:12"/>
    <s v="13/09/24 22:14"/>
    <n v="0"/>
    <n v="0"/>
    <n v="0"/>
    <n v="0"/>
    <n v="0"/>
    <n v="0"/>
    <n v="0"/>
    <n v="0"/>
    <n v="0"/>
    <m/>
    <m/>
    <m/>
    <x v="1"/>
    <s v=""/>
    <s v="CHECKOUT"/>
    <s v="722"/>
    <m/>
    <n v="0"/>
    <n v="1"/>
  </r>
  <r>
    <s v="580"/>
    <s v="STD-PNL"/>
    <s v="301"/>
    <s v="Lê Hoàng Yến"/>
    <s v="12/09/24 14:03"/>
    <s v="14/09/24 08:59"/>
    <n v="1120000"/>
    <n v="0"/>
    <n v="1120000"/>
    <n v="0"/>
    <n v="0"/>
    <n v="0"/>
    <n v="1120000"/>
    <n v="0"/>
    <n v="0"/>
    <s v=""/>
    <s v=""/>
    <s v=""/>
    <x v="1"/>
    <s v=""/>
    <s v="CHECKOUT"/>
    <s v="693"/>
    <m/>
    <n v="560000"/>
    <n v="2"/>
  </r>
  <r>
    <s v="601"/>
    <s v="STD-PNL"/>
    <s v="501"/>
    <s v="Hà Thị Giang Phương"/>
    <s v="13/09/24 20:15"/>
    <s v="14/09/24 11:00"/>
    <n v="460000"/>
    <n v="0"/>
    <n v="460000"/>
    <n v="0"/>
    <n v="0"/>
    <n v="0"/>
    <n v="460000"/>
    <n v="0"/>
    <n v="0"/>
    <s v=""/>
    <s v=""/>
    <s v=""/>
    <x v="1"/>
    <s v=""/>
    <s v="CHECKOUT"/>
    <s v="721"/>
    <m/>
    <n v="460000"/>
    <n v="1"/>
  </r>
  <r>
    <s v="603"/>
    <s v="SUP-Q-PNL"/>
    <s v="602"/>
    <s v="Chung Homok"/>
    <s v="14/09/24 12:39"/>
    <s v="14/09/24 15:45"/>
    <n v="575424"/>
    <n v="0"/>
    <n v="575424"/>
    <n v="0"/>
    <n v="0"/>
    <n v="0"/>
    <n v="0"/>
    <n v="575424"/>
    <n v="0"/>
    <s v=""/>
    <s v=""/>
    <s v=""/>
    <x v="2"/>
    <s v=""/>
    <s v="CHECKOUT"/>
    <s v="723"/>
    <s v="1367569000_LDCB1F"/>
    <n v="575424"/>
    <n v="1"/>
  </r>
  <r>
    <s v="605"/>
    <s v="SUP-Q-PNL"/>
    <s v="702"/>
    <s v="Provost Ryan"/>
    <s v="14/09/24 14:44"/>
    <s v="15/09/24 08:33"/>
    <n v="701568"/>
    <n v="0"/>
    <n v="701568"/>
    <n v="0"/>
    <n v="0"/>
    <n v="0"/>
    <n v="0"/>
    <n v="701568"/>
    <n v="0"/>
    <s v="+84 203 5640 799"/>
    <s v="rprovo.603434@guest.booking.com"/>
    <s v=""/>
    <x v="2"/>
    <s v=""/>
    <s v="CHECKOUT"/>
    <s v="725"/>
    <s v="4941868798_LDCB1F"/>
    <n v="701568"/>
    <n v="1"/>
  </r>
  <r>
    <s v="556"/>
    <s v="SUP-PNL"/>
    <s v="302"/>
    <s v="Nguyen Quang Phuc"/>
    <s v="14/09/24 10:39"/>
    <s v="15/09/24 08:36"/>
    <n v="809000"/>
    <n v="0"/>
    <n v="776550"/>
    <n v="0"/>
    <n v="0"/>
    <n v="0"/>
    <n v="776550"/>
    <n v="0"/>
    <n v="0"/>
    <s v="+84827050751"/>
    <s v="phucnguyen95dn@gmail.com"/>
    <s v="048095007451"/>
    <x v="1"/>
    <s v=""/>
    <s v="CHECKOUT"/>
    <s v="665"/>
    <s v="86489917430"/>
    <n v="809000"/>
    <n v="1"/>
  </r>
  <r>
    <s v="598"/>
    <s v="STD-PNL"/>
    <s v="201"/>
    <s v="Pham Phu"/>
    <s v="14/09/24 17:40"/>
    <s v="15/09/24 08:47"/>
    <n v="632960"/>
    <n v="0"/>
    <n v="632960"/>
    <n v="0"/>
    <n v="0"/>
    <n v="0"/>
    <n v="632960"/>
    <n v="0"/>
    <n v="0"/>
    <s v="+84 386 056 456"/>
    <s v="ppham.599312@guest.booking.com"/>
    <s v=""/>
    <x v="2"/>
    <s v=""/>
    <s v="CHECKOUT"/>
    <s v="718"/>
    <s v="4712220759_LDCB1F"/>
    <n v="632960"/>
    <n v="1"/>
  </r>
  <r>
    <s v="604"/>
    <s v="DELUXE-PNL"/>
    <s v="103"/>
    <s v="TRẦN NGỌC ĐỊNH"/>
    <s v="14/09/24 16:41"/>
    <s v="15/09/24 10:45"/>
    <n v="650000"/>
    <n v="0"/>
    <n v="650000"/>
    <n v="0"/>
    <n v="0"/>
    <n v="0"/>
    <n v="650000"/>
    <n v="0"/>
    <n v="0"/>
    <s v="0386699744"/>
    <s v=""/>
    <s v="075098010072"/>
    <x v="1"/>
    <s v=""/>
    <s v="CHECKOUT"/>
    <s v="724"/>
    <m/>
    <n v="650000"/>
    <n v="1"/>
  </r>
  <r>
    <s v="586"/>
    <s v="STD-PNL"/>
    <s v="501"/>
    <s v="Guest"/>
    <s v="14/09/24 17:36"/>
    <s v="15/09/24 10:51"/>
    <n v="550000"/>
    <n v="0"/>
    <n v="550000"/>
    <n v="0"/>
    <n v="0"/>
    <n v="0"/>
    <n v="550000"/>
    <n v="0"/>
    <n v="0"/>
    <m/>
    <m/>
    <m/>
    <x v="1"/>
    <s v=""/>
    <s v="CHECKOUT"/>
    <s v="699"/>
    <m/>
    <n v="550000"/>
    <n v="1"/>
  </r>
  <r>
    <s v="569"/>
    <s v="SUP-PNL"/>
    <s v="202"/>
    <s v="Trần Phú Cường"/>
    <s v="13/09/24 20:40"/>
    <s v="15/09/24 11:00"/>
    <n v="1116350"/>
    <n v="0"/>
    <n v="1116350"/>
    <n v="0"/>
    <n v="0"/>
    <n v="0"/>
    <n v="0"/>
    <n v="1116350"/>
    <n v="0"/>
    <s v="0948746105"/>
    <s v="c4wvftw7kx@m.expediapartnercentral.com"/>
    <s v="091099002098"/>
    <x v="2"/>
    <s v=""/>
    <s v="CHECKOUT"/>
    <s v="681"/>
    <s v="315991987_LDCB1F"/>
    <n v="558175"/>
    <n v="2"/>
  </r>
  <r>
    <s v="586"/>
    <s v="SUP-PNL"/>
    <s v="102"/>
    <s v="Trần Thị Mỹ Duyên"/>
    <s v="14/09/24 14:30"/>
    <s v="15/09/24 11:00"/>
    <n v="550000"/>
    <n v="0"/>
    <n v="550000"/>
    <n v="0"/>
    <n v="0"/>
    <n v="0"/>
    <n v="550000"/>
    <n v="0"/>
    <n v="0"/>
    <s v=""/>
    <s v=""/>
    <s v=""/>
    <x v="1"/>
    <s v=""/>
    <s v="CHECKOUT"/>
    <s v="700"/>
    <m/>
    <n v="550000"/>
    <n v="1"/>
  </r>
  <r>
    <s v="586"/>
    <s v="STD-PNL"/>
    <s v="301"/>
    <s v="Guest"/>
    <s v="14/09/24 14:09"/>
    <s v="15/09/24 11:00"/>
    <n v="550000"/>
    <n v="0"/>
    <n v="550000"/>
    <n v="0"/>
    <n v="0"/>
    <n v="0"/>
    <n v="550000"/>
    <n v="0"/>
    <n v="0"/>
    <m/>
    <m/>
    <m/>
    <x v="1"/>
    <s v=""/>
    <s v="CHECKOUT"/>
    <s v="701"/>
    <m/>
    <n v="550000"/>
    <n v="1"/>
  </r>
  <r>
    <s v="606"/>
    <s v="SUP-Q-PNL"/>
    <s v="602"/>
    <s v="Phạm Hữu Cảnh"/>
    <s v="14/09/24 16:38"/>
    <s v="15/09/24 11:00"/>
    <n v="555750"/>
    <n v="0"/>
    <n v="555750"/>
    <n v="0"/>
    <n v="0"/>
    <n v="0"/>
    <n v="0"/>
    <n v="555750"/>
    <n v="0"/>
    <s v=""/>
    <s v=""/>
    <s v=""/>
    <x v="5"/>
    <s v=""/>
    <s v="CHECKOUT"/>
    <s v="726"/>
    <m/>
    <n v="555750"/>
    <n v="1"/>
  </r>
  <r>
    <s v="609"/>
    <s v="SUP-PNL"/>
    <s v="202"/>
    <s v="Trần Phú Cường"/>
    <s v="15/09/24 11:10"/>
    <s v="15/09/24 15:03"/>
    <n v="320000"/>
    <n v="0"/>
    <n v="320000"/>
    <n v="0"/>
    <n v="320000"/>
    <n v="0"/>
    <n v="0"/>
    <n v="0"/>
    <n v="0"/>
    <s v="0948746105"/>
    <s v="c4wvftw7kx@m.expediapartnercentral.com"/>
    <s v="091099002098"/>
    <x v="0"/>
    <s v=""/>
    <s v="CHECKOUT"/>
    <s v="729"/>
    <m/>
    <n v="320000"/>
    <n v="1"/>
  </r>
  <r>
    <s v="584"/>
    <s v="STD-PNL"/>
    <s v="201"/>
    <s v="Nguyễn Thị Thảo Trâm"/>
    <s v="15/09/24 14:02"/>
    <s v="16/09/24 11:00"/>
    <n v="444000"/>
    <n v="40000"/>
    <n v="484000"/>
    <n v="0"/>
    <n v="262000"/>
    <n v="0"/>
    <n v="222000"/>
    <n v="0"/>
    <n v="0"/>
    <s v=""/>
    <s v=""/>
    <s v="082196001620"/>
    <x v="1"/>
    <s v=""/>
    <s v="CHECKOUT"/>
    <s v="697"/>
    <m/>
    <n v="444000"/>
    <n v="1"/>
  </r>
  <r>
    <s v="589"/>
    <s v="SUP-Q-PNL"/>
    <s v="502"/>
    <s v="Vũ Thị Thu Hằng"/>
    <s v="11/09/24 13:55"/>
    <s v="16/09/24 11:00"/>
    <n v="3250000"/>
    <n v="640000"/>
    <n v="3890000"/>
    <n v="0"/>
    <n v="3890000"/>
    <n v="0"/>
    <n v="0"/>
    <n v="0"/>
    <n v="0"/>
    <s v="0965772560"/>
    <s v=""/>
    <s v="031302002079"/>
    <x v="1"/>
    <s v=""/>
    <s v="CHECKOUT"/>
    <s v="704"/>
    <m/>
    <n v="650000"/>
    <n v="5"/>
  </r>
  <r>
    <s v="597"/>
    <s v="DELUXE-PNL"/>
    <s v="203"/>
    <s v="Urry Renee"/>
    <s v="14/09/24 19:09"/>
    <s v="16/09/24 11:00"/>
    <n v="1222640"/>
    <n v="100000"/>
    <n v="1322640"/>
    <n v="0"/>
    <n v="100000"/>
    <n v="0"/>
    <n v="0"/>
    <n v="1222640"/>
    <n v="0"/>
    <s v="61417413007"/>
    <s v=""/>
    <s v="PA6848413"/>
    <x v="2"/>
    <s v=""/>
    <s v="CHECKOUT"/>
    <s v="716"/>
    <s v="HMEND3BET3_LDCB1F"/>
    <n v="611320"/>
    <n v="2"/>
  </r>
  <r>
    <s v="611"/>
    <s v="STD-PNL"/>
    <s v="301"/>
    <s v="Smethurst Richard John"/>
    <s v="15/09/24 22:53"/>
    <s v="16/09/24 11:00"/>
    <n v="377712"/>
    <n v="0"/>
    <n v="377712"/>
    <n v="0"/>
    <n v="0"/>
    <n v="0"/>
    <n v="0"/>
    <n v="377712"/>
    <n v="0"/>
    <s v="8675582628521"/>
    <s v="kcldoy3s3l@m.expediapartnercentral.com"/>
    <s v="124606069"/>
    <x v="2"/>
    <s v=""/>
    <s v="CHECKOUT"/>
    <s v="731"/>
    <s v="321307882_LDCB1F"/>
    <n v="377712"/>
    <n v="1"/>
  </r>
  <r>
    <s v="594"/>
    <s v="DELUXE-PNL"/>
    <s v="303"/>
    <s v="Dwyer Louise"/>
    <s v="13/09/24 23:11"/>
    <s v="17/09/24 08:28"/>
    <n v="2589100"/>
    <n v="0"/>
    <n v="2589100"/>
    <n v="0"/>
    <n v="0"/>
    <n v="0"/>
    <n v="0"/>
    <n v="2589100"/>
    <n v="0"/>
    <s v="61403184023"/>
    <s v=""/>
    <s v=""/>
    <x v="2"/>
    <s v=""/>
    <s v="CHECKOUT"/>
    <s v="711"/>
    <s v="HM2XA39QTC_LDCB1F"/>
    <n v="647275"/>
    <n v="4"/>
  </r>
  <r>
    <s v="590"/>
    <s v="STD-PNL"/>
    <s v="101"/>
    <s v="Lê Văn Thu"/>
    <s v="11/09/24 20:43"/>
    <s v="17/09/24 11:00"/>
    <n v="3144000"/>
    <n v="70000"/>
    <n v="3214000"/>
    <n v="0"/>
    <n v="2214000"/>
    <n v="0"/>
    <n v="1000000"/>
    <n v="0"/>
    <n v="0"/>
    <s v=""/>
    <s v=""/>
    <s v="019082000315"/>
    <x v="1"/>
    <s v=""/>
    <s v="CHECKOUT"/>
    <s v="706"/>
    <m/>
    <n v="524000"/>
    <n v="6"/>
  </r>
  <r>
    <s v="592"/>
    <s v="SUP-PNL"/>
    <s v="402"/>
    <s v="jianying huang"/>
    <s v="12/09/24 14:02"/>
    <s v="17/09/24 11:00"/>
    <n v="2500000"/>
    <n v="0"/>
    <n v="2500000"/>
    <n v="0"/>
    <n v="2500000"/>
    <n v="0"/>
    <n v="0"/>
    <n v="0"/>
    <n v="0"/>
    <s v=""/>
    <s v=""/>
    <s v=""/>
    <x v="1"/>
    <s v=""/>
    <s v="CHECKOUT"/>
    <s v="709"/>
    <m/>
    <n v="500000"/>
    <n v="5"/>
  </r>
  <r>
    <s v="592"/>
    <s v="STD-PNL"/>
    <s v="401"/>
    <s v="Lê Thanh"/>
    <s v="12/09/24 14:03"/>
    <s v="17/09/24 11:00"/>
    <n v="2100000"/>
    <n v="200000"/>
    <n v="2300000"/>
    <n v="0"/>
    <n v="2100000"/>
    <n v="0"/>
    <n v="200000"/>
    <n v="0"/>
    <n v="0"/>
    <s v=""/>
    <s v=""/>
    <s v=""/>
    <x v="1"/>
    <s v=""/>
    <s v="CHECKOUT"/>
    <s v="710"/>
    <m/>
    <n v="420000"/>
    <n v="5"/>
  </r>
  <r>
    <s v="560"/>
    <s v="DELUXE-PNL"/>
    <s v="403"/>
    <s v="Eom Junho"/>
    <s v="13/09/24 17:50"/>
    <s v="17/09/24 11:34"/>
    <n v="3010360"/>
    <n v="0"/>
    <n v="3010360"/>
    <n v="0"/>
    <n v="0"/>
    <n v="0"/>
    <n v="0"/>
    <n v="3010360"/>
    <n v="0"/>
    <s v="821050908747"/>
    <s v=""/>
    <s v="M663D5734"/>
    <x v="2"/>
    <s v=""/>
    <s v="CHECKOUT"/>
    <s v="717"/>
    <s v="HM4HY3RKWW_LDCB1F"/>
    <n v="752590"/>
    <n v="4"/>
  </r>
  <r>
    <s v="615"/>
    <s v="STD-PNL"/>
    <s v="301"/>
    <s v="Mạnh"/>
    <s v="17/09/24 11:35"/>
    <s v="17/09/24 12:59"/>
    <n v="350000"/>
    <n v="0"/>
    <n v="350000"/>
    <n v="0"/>
    <n v="0"/>
    <n v="0"/>
    <n v="350000"/>
    <n v="0"/>
    <n v="0"/>
    <s v="094 1574787"/>
    <s v=""/>
    <s v=""/>
    <x v="1"/>
    <s v=""/>
    <s v="CHECKOUT"/>
    <s v="735"/>
    <m/>
    <n v="350000"/>
    <n v="1"/>
  </r>
  <r>
    <s v="613"/>
    <s v="STD-PNL"/>
    <s v="201"/>
    <s v="A RC"/>
    <s v="17/09/24 08:40"/>
    <s v="17/09/24 14:07"/>
    <n v="444528"/>
    <n v="0"/>
    <n v="444528"/>
    <n v="0"/>
    <n v="0"/>
    <n v="0"/>
    <n v="0"/>
    <n v="444528"/>
    <n v="0"/>
    <s v=""/>
    <s v=""/>
    <s v=""/>
    <x v="2"/>
    <s v=""/>
    <s v="CHECKOUT"/>
    <s v="733"/>
    <s v="1370709940_LDCB1F"/>
    <n v="444528"/>
    <n v="1"/>
  </r>
  <r>
    <s v="616"/>
    <s v="STD-PNL"/>
    <s v="301"/>
    <s v="đạt"/>
    <s v="17/09/24 15:04"/>
    <s v="17/09/24 17:00"/>
    <n v="400000"/>
    <n v="0"/>
    <n v="400000"/>
    <n v="0"/>
    <n v="0"/>
    <n v="0"/>
    <n v="400000"/>
    <n v="0"/>
    <n v="0"/>
    <s v="0975361115"/>
    <s v=""/>
    <s v=""/>
    <x v="1"/>
    <s v=""/>
    <s v="CHECKOUT"/>
    <s v="736"/>
    <m/>
    <n v="400000"/>
    <n v="1"/>
  </r>
  <r>
    <s v="590"/>
    <s v="DELUXE-PNL"/>
    <s v="503"/>
    <s v="Nguyễn Trọng Đạt"/>
    <s v="11/09/24 20:43"/>
    <s v="17/09/24 18:00"/>
    <n v="5211000"/>
    <n v="0"/>
    <n v="5211000"/>
    <n v="0"/>
    <n v="-4538000"/>
    <n v="0"/>
    <n v="9749000"/>
    <n v="0"/>
    <n v="0"/>
    <s v=""/>
    <s v=""/>
    <s v="030072031987"/>
    <x v="1"/>
    <s v=""/>
    <s v="CHECKOUT"/>
    <s v="705"/>
    <m/>
    <n v="868500"/>
    <n v="6"/>
  </r>
  <r>
    <s v="590"/>
    <s v="DELUXE-PNL"/>
    <s v="603"/>
    <s v="Nguyễn Sỹ Đồng"/>
    <s v="11/09/24 20:43"/>
    <s v="17/09/24 18:00"/>
    <n v="5243000"/>
    <n v="0"/>
    <n v="5243000"/>
    <n v="0"/>
    <n v="4494000"/>
    <n v="0"/>
    <n v="749000"/>
    <n v="0"/>
    <n v="0"/>
    <s v=""/>
    <s v=""/>
    <s v="038086000322"/>
    <x v="1"/>
    <s v=""/>
    <s v="CHECKOUT"/>
    <s v="707"/>
    <m/>
    <n v="873833.33330000006"/>
    <n v="6"/>
  </r>
  <r>
    <s v="618"/>
    <s v="SUP-Q-PNL"/>
    <s v="502"/>
    <s v="Henry Bao"/>
    <s v="17/09/24 20:15"/>
    <s v="18/09/24 08:12"/>
    <n v="479000"/>
    <n v="0"/>
    <n v="479000"/>
    <n v="0"/>
    <n v="0"/>
    <n v="0"/>
    <n v="479000"/>
    <n v="0"/>
    <n v="0"/>
    <m/>
    <m/>
    <m/>
    <x v="1"/>
    <s v=""/>
    <s v="CHECKOUT"/>
    <s v="739"/>
    <m/>
    <n v="479000"/>
    <n v="1"/>
  </r>
  <r>
    <s v="591"/>
    <s v="STD-PNL"/>
    <s v="601"/>
    <s v=" Kim Ngân"/>
    <s v="14/09/24 12:38"/>
    <s v="18/09/24 11:00"/>
    <n v="2066000"/>
    <n v="0"/>
    <n v="2066000"/>
    <n v="0"/>
    <n v="0"/>
    <n v="0"/>
    <n v="2066000"/>
    <n v="0"/>
    <n v="0"/>
    <s v="+84395100225"/>
    <s v="ngongan326@gmail.com"/>
    <s v=""/>
    <x v="1"/>
    <s v=""/>
    <s v="CHECKOUT"/>
    <s v="708"/>
    <s v="70390763805"/>
    <n v="516500"/>
    <n v="4"/>
  </r>
  <r>
    <s v="610"/>
    <s v="STD-PNL"/>
    <s v="401"/>
    <s v="Violeta Gress"/>
    <s v="18/09/24 15:18"/>
    <s v="19/09/24 09:15"/>
    <n v="493850"/>
    <n v="0"/>
    <n v="493850"/>
    <n v="0"/>
    <n v="0"/>
    <n v="0"/>
    <n v="0"/>
    <n v="493850"/>
    <n v="0"/>
    <s v="628882727649"/>
    <s v=""/>
    <s v=""/>
    <x v="2"/>
    <s v=""/>
    <s v="CHECKOUT"/>
    <s v="730"/>
    <s v="HM5XNWCYH9_LDCB1F"/>
    <n v="493850"/>
    <n v="1"/>
  </r>
  <r>
    <s v="620"/>
    <s v="STD-PNL"/>
    <s v="501"/>
    <s v="Hồ Tấn Thịnh"/>
    <s v="18/09/24 15:17"/>
    <s v="19/09/24 09:29"/>
    <n v="455000"/>
    <n v="0"/>
    <n v="455000"/>
    <n v="0"/>
    <n v="0"/>
    <n v="0"/>
    <n v="455000"/>
    <n v="0"/>
    <n v="0"/>
    <s v="0975852340"/>
    <s v=""/>
    <s v="058098005740"/>
    <x v="1"/>
    <s v=""/>
    <s v="CHECKOUT"/>
    <s v="742"/>
    <m/>
    <n v="455000"/>
    <n v="1"/>
  </r>
  <r>
    <s v="630"/>
    <s v="SUP-PNL"/>
    <s v="202"/>
    <s v="nơi"/>
    <s v="19/09/24 13:44"/>
    <s v="19/09/24 16:30"/>
    <n v="350000"/>
    <n v="0"/>
    <n v="350000"/>
    <n v="0"/>
    <n v="0"/>
    <n v="0"/>
    <n v="350000"/>
    <n v="0"/>
    <n v="0"/>
    <m/>
    <m/>
    <m/>
    <x v="1"/>
    <s v=""/>
    <s v="CHECKOUT"/>
    <s v="753"/>
    <m/>
    <n v="350000"/>
    <n v="1"/>
  </r>
  <r>
    <s v="607"/>
    <s v="SUP-PNL"/>
    <s v="402"/>
    <s v="Lê Duy Thành"/>
    <s v="19/09/24 14:27"/>
    <s v="20/09/24 10:27"/>
    <n v="539000"/>
    <n v="0"/>
    <n v="539000"/>
    <n v="0"/>
    <n v="0"/>
    <n v="0"/>
    <n v="539000"/>
    <n v="0"/>
    <n v="0"/>
    <m/>
    <m/>
    <m/>
    <x v="1"/>
    <s v=""/>
    <s v="CHECKOUT"/>
    <s v="727"/>
    <m/>
    <n v="539000"/>
    <n v="1"/>
  </r>
  <r>
    <s v="628"/>
    <s v="DELUXE-PNL"/>
    <s v="203"/>
    <s v="Anh Trung CAKV"/>
    <s v="18/09/24 22:58"/>
    <s v="20/09/24 10:31"/>
    <n v="0"/>
    <n v="0"/>
    <n v="0"/>
    <n v="0"/>
    <n v="0"/>
    <n v="0"/>
    <n v="0"/>
    <n v="0"/>
    <n v="0"/>
    <m/>
    <m/>
    <m/>
    <x v="0"/>
    <s v=""/>
    <s v="CHECKOUT"/>
    <s v="750"/>
    <m/>
    <n v="0"/>
    <n v="2"/>
  </r>
  <r>
    <s v="631"/>
    <s v="STD-PNL"/>
    <s v="501"/>
    <s v="Phan Tuấn Dũng"/>
    <s v="19/09/24 15:47"/>
    <s v="20/09/24 10:32"/>
    <n v="500000"/>
    <n v="0"/>
    <n v="500000"/>
    <n v="0"/>
    <n v="0"/>
    <n v="0"/>
    <n v="500000"/>
    <n v="0"/>
    <n v="0"/>
    <s v="0974365941"/>
    <s v=""/>
    <s v="091089004537"/>
    <x v="1"/>
    <s v=""/>
    <s v="CHECKOUT"/>
    <s v="754"/>
    <m/>
    <n v="500000"/>
    <n v="1"/>
  </r>
  <r>
    <s v="612"/>
    <s v="STD-PNL"/>
    <s v="201"/>
    <s v="Thanh Trúc"/>
    <s v="18/09/24 15:16"/>
    <s v="20/09/24 11:00"/>
    <n v="899200"/>
    <n v="0"/>
    <n v="899200"/>
    <n v="0"/>
    <n v="0"/>
    <n v="0"/>
    <n v="899200"/>
    <n v="0"/>
    <n v="0"/>
    <m/>
    <m/>
    <m/>
    <x v="1"/>
    <s v=""/>
    <s v="CHECKOUT"/>
    <s v="732"/>
    <m/>
    <n v="449600"/>
    <n v="2"/>
  </r>
  <r>
    <s v="633"/>
    <s v="SUP-Q-PNL"/>
    <s v="602"/>
    <s v="Huỳnh Trọng Khánh"/>
    <s v="20/09/24 10:00"/>
    <s v="20/09/24 15:06"/>
    <n v="560000"/>
    <n v="0"/>
    <n v="560000"/>
    <n v="0"/>
    <n v="0"/>
    <n v="0"/>
    <n v="560000"/>
    <n v="0"/>
    <n v="0"/>
    <s v="0917 560 568"/>
    <m/>
    <m/>
    <x v="1"/>
    <s v=""/>
    <s v="CHECKOUT"/>
    <s v="756"/>
    <m/>
    <n v="560000"/>
    <n v="1"/>
  </r>
  <r>
    <s v="634"/>
    <s v="SUP-PNL"/>
    <s v="202"/>
    <s v="LI JIAN"/>
    <s v="20/09/24 23:43"/>
    <s v="21/09/24 09:20"/>
    <n v="579786"/>
    <n v="0"/>
    <n v="579786"/>
    <n v="0"/>
    <n v="0"/>
    <n v="0"/>
    <n v="0"/>
    <n v="579786"/>
    <n v="0"/>
    <s v="86055165299777"/>
    <s v="18pvbpddcs@m.expediapartnercentral.com"/>
    <s v=""/>
    <x v="2"/>
    <s v=""/>
    <s v="CHECKOUT"/>
    <s v="757"/>
    <s v="324601275_LDCB1F"/>
    <n v="579786"/>
    <n v="1"/>
  </r>
  <r>
    <s v="622"/>
    <s v="SUP-Q-PNL"/>
    <s v="502"/>
    <s v="Nguyen Tuan Anh"/>
    <s v="18/09/24 23:01"/>
    <s v="21/09/24 11:00"/>
    <n v="1267227"/>
    <n v="0"/>
    <n v="1267227"/>
    <n v="0"/>
    <n v="0"/>
    <n v="0"/>
    <n v="0"/>
    <n v="1267227"/>
    <n v="0"/>
    <s v="4917647657582"/>
    <s v="eylep5yew3@m.expediapartnercentral.com"/>
    <s v=""/>
    <x v="2"/>
    <s v=""/>
    <s v="CHECKOUT"/>
    <s v="744"/>
    <s v="323234172_LDCB1F"/>
    <n v="422409"/>
    <n v="3"/>
  </r>
  <r>
    <s v="623"/>
    <s v="STD-PNL"/>
    <s v="301"/>
    <s v="Budagjan David"/>
    <s v="18/09/24 23:01"/>
    <s v="21/09/24 11:00"/>
    <n v="1267227"/>
    <n v="0"/>
    <n v="1267227"/>
    <n v="0"/>
    <n v="0"/>
    <n v="0"/>
    <n v="0"/>
    <n v="1267227"/>
    <n v="0"/>
    <s v="4917647657582"/>
    <s v="v29td1r4kj@m.expediapartnercentral.com"/>
    <s v=""/>
    <x v="2"/>
    <s v=""/>
    <s v="CHECKOUT"/>
    <s v="745"/>
    <s v="323234177_LDCB1F"/>
    <n v="422409"/>
    <n v="3"/>
  </r>
  <r>
    <s v="627"/>
    <s v="DELUXE-PNL"/>
    <s v="103"/>
    <s v="Ngọc Lan"/>
    <s v="19/09/24 14:26"/>
    <s v="21/09/24 11:00"/>
    <n v="1360000"/>
    <n v="0"/>
    <n v="1360000"/>
    <n v="0"/>
    <n v="720000"/>
    <n v="0"/>
    <n v="640000"/>
    <n v="0"/>
    <n v="0"/>
    <m/>
    <m/>
    <m/>
    <x v="1"/>
    <s v=""/>
    <s v="CHECKOUT"/>
    <s v="749"/>
    <m/>
    <n v="680000"/>
    <n v="2"/>
  </r>
  <r>
    <s v="627"/>
    <s v="SUP-PNL"/>
    <s v="102"/>
    <s v="Guest"/>
    <s v="19/09/24 14:26"/>
    <s v="21/09/24 11:00"/>
    <n v="1100000"/>
    <n v="0"/>
    <n v="1100000"/>
    <n v="0"/>
    <n v="600000"/>
    <n v="0"/>
    <n v="500000"/>
    <n v="0"/>
    <n v="0"/>
    <m/>
    <m/>
    <m/>
    <x v="1"/>
    <s v=""/>
    <s v="CHECKOUT"/>
    <s v="751"/>
    <m/>
    <n v="550000"/>
    <n v="2"/>
  </r>
  <r>
    <s v="640"/>
    <s v="SUP-Q-PNL"/>
    <s v="602"/>
    <s v="Chau Tran - 100135"/>
    <s v="21/09/24 15:04"/>
    <s v="21/09/24 17:00"/>
    <n v="299000"/>
    <n v="0"/>
    <n v="299000"/>
    <n v="0"/>
    <n v="0"/>
    <n v="0"/>
    <n v="299000"/>
    <n v="0"/>
    <n v="0"/>
    <s v=""/>
    <s v=""/>
    <s v=""/>
    <x v="1"/>
    <s v=""/>
    <s v="CHECKOUT"/>
    <s v="764"/>
    <m/>
    <n v="299000"/>
    <n v="1"/>
  </r>
  <r>
    <s v="599"/>
    <s v="STD-PNL"/>
    <s v="501"/>
    <s v="Hương"/>
    <s v="21/09/24 14:04"/>
    <s v="22/09/24 11:00"/>
    <n v="534000"/>
    <n v="0"/>
    <n v="534000"/>
    <n v="0"/>
    <n v="0"/>
    <n v="0"/>
    <n v="534000"/>
    <n v="0"/>
    <n v="0"/>
    <m/>
    <m/>
    <m/>
    <x v="1"/>
    <s v=""/>
    <s v="CHECKOUT"/>
    <s v="719"/>
    <m/>
    <n v="534000"/>
    <n v="1"/>
  </r>
  <r>
    <s v="614"/>
    <s v="STD-PNL"/>
    <s v="401"/>
    <s v="Thành Đạt Trần"/>
    <s v="21/09/24 13:42"/>
    <s v="22/09/24 11:00"/>
    <n v="525528"/>
    <n v="0"/>
    <n v="525528"/>
    <n v="0"/>
    <n v="0"/>
    <n v="0"/>
    <n v="0"/>
    <n v="525528"/>
    <n v="0"/>
    <s v="84 +84377707141"/>
    <s v=""/>
    <s v=""/>
    <x v="2"/>
    <s v=""/>
    <s v="CHECKOUT"/>
    <s v="734"/>
    <s v="1370775200_LDCB1F"/>
    <n v="525528"/>
    <n v="1"/>
  </r>
  <r>
    <s v="619"/>
    <s v="DELUXE-PNL"/>
    <s v="403"/>
    <s v="Guest"/>
    <s v="20/09/24 14:03"/>
    <s v="22/09/24 11:00"/>
    <n v="1450000"/>
    <n v="0"/>
    <n v="1450000"/>
    <n v="0"/>
    <n v="0"/>
    <n v="0"/>
    <n v="1450000"/>
    <n v="0"/>
    <n v="0"/>
    <m/>
    <m/>
    <m/>
    <x v="1"/>
    <s v=""/>
    <s v="CHECKOUT"/>
    <s v="740"/>
    <m/>
    <n v="725000"/>
    <n v="2"/>
  </r>
  <r>
    <s v="619"/>
    <s v="SUP-PNL"/>
    <s v="402"/>
    <s v="Vicky Dang"/>
    <s v="20/09/24 14:03"/>
    <s v="22/09/24 11:00"/>
    <n v="1200000"/>
    <n v="0"/>
    <n v="1200000"/>
    <n v="0"/>
    <n v="0"/>
    <n v="0"/>
    <n v="1200000"/>
    <n v="0"/>
    <n v="0"/>
    <m/>
    <m/>
    <m/>
    <x v="1"/>
    <s v=""/>
    <s v="CHECKOUT"/>
    <s v="741"/>
    <m/>
    <n v="600000"/>
    <n v="2"/>
  </r>
  <r>
    <s v="635"/>
    <s v="SUP-PNL"/>
    <s v="302"/>
    <s v="Thiên Kỳ"/>
    <s v="21/09/24 14:04"/>
    <s v="22/09/24 11:00"/>
    <n v="600000"/>
    <n v="0"/>
    <n v="600000"/>
    <n v="0"/>
    <n v="0"/>
    <n v="0"/>
    <n v="600000"/>
    <n v="0"/>
    <n v="0"/>
    <m/>
    <m/>
    <m/>
    <x v="1"/>
    <s v=""/>
    <s v="CHECKOUT"/>
    <s v="758"/>
    <m/>
    <n v="600000"/>
    <n v="1"/>
  </r>
  <r>
    <s v="637"/>
    <s v="DELUXE-PNL"/>
    <s v="603"/>
    <s v="Au Tom"/>
    <s v="21/09/24 14:07"/>
    <s v="22/09/24 11:05"/>
    <n v="618809"/>
    <n v="0"/>
    <n v="618809"/>
    <n v="0"/>
    <n v="0"/>
    <n v="0"/>
    <n v="0"/>
    <n v="618809"/>
    <n v="0"/>
    <s v="8675582628521"/>
    <s v="wf1o67s5us@m.expediapartnercentral.com"/>
    <s v=""/>
    <x v="2"/>
    <s v=""/>
    <s v="CHECKOUT"/>
    <s v="760"/>
    <s v="325089841_LDCB1F"/>
    <n v="618809"/>
    <n v="1"/>
  </r>
  <r>
    <s v="638"/>
    <s v="DELUXE-PNL"/>
    <s v="203"/>
    <s v="Iida Tsutomu"/>
    <s v="21/09/24 14:04"/>
    <s v="22/09/24 11:07"/>
    <n v="728280"/>
    <n v="0"/>
    <n v="728280"/>
    <n v="0"/>
    <n v="0"/>
    <n v="0"/>
    <n v="0"/>
    <n v="728280"/>
    <n v="0"/>
    <s v="818081695241"/>
    <s v=""/>
    <s v=""/>
    <x v="2"/>
    <s v=""/>
    <s v="CHECKOUT"/>
    <s v="761"/>
    <s v="HM8JQXSEQF_LDCB1F"/>
    <n v="728280"/>
    <n v="1"/>
  </r>
  <r>
    <s v="646"/>
    <s v="STD-PNL"/>
    <s v="401"/>
    <s v="Kóng Ngọc Huệ"/>
    <s v="22/09/24 14:57"/>
    <s v="22/09/24 16:56"/>
    <n v="350000"/>
    <n v="0"/>
    <n v="350000"/>
    <n v="0"/>
    <n v="0"/>
    <n v="0"/>
    <n v="350000"/>
    <n v="0"/>
    <n v="0"/>
    <s v=""/>
    <s v=""/>
    <s v="077300000141"/>
    <x v="1"/>
    <s v=""/>
    <s v="CHECKOUT"/>
    <s v="770"/>
    <m/>
    <n v="350000"/>
    <n v="1"/>
  </r>
  <r>
    <s v="641"/>
    <s v="SUP-PNL"/>
    <s v="202"/>
    <s v="Jang Won Lim"/>
    <s v="21/09/24 17:44"/>
    <s v="23/09/24 10:31"/>
    <n v="1135000"/>
    <n v="0"/>
    <n v="1135000"/>
    <n v="0"/>
    <n v="0"/>
    <n v="0"/>
    <n v="1135000"/>
    <n v="0"/>
    <n v="0"/>
    <s v="0983469922"/>
    <s v="lienltb@gmail.com"/>
    <s v=""/>
    <x v="1"/>
    <s v=""/>
    <s v="CHECKOUT"/>
    <s v="765"/>
    <m/>
    <n v="567500"/>
    <n v="2"/>
  </r>
  <r>
    <s v="644"/>
    <s v="DELUXE-PNL"/>
    <s v="103"/>
    <s v="Romanzi Giampaolo"/>
    <s v="22/09/24 12:15"/>
    <s v="23/09/24 10:32"/>
    <n v="1041264"/>
    <n v="0"/>
    <n v="1041264"/>
    <n v="0"/>
    <n v="0"/>
    <n v="0"/>
    <n v="0"/>
    <n v="1041264"/>
    <n v="0"/>
    <s v="+39 349 418 6147"/>
    <s v="groman.692420@guest.booking.com"/>
    <s v=""/>
    <x v="2"/>
    <s v=""/>
    <s v="CHECKOUT"/>
    <s v="768"/>
    <s v="4658307209_LDCB1F"/>
    <n v="1041264"/>
    <n v="1"/>
  </r>
  <r>
    <s v="632"/>
    <s v="DELUXE-PNL"/>
    <s v="303"/>
    <s v="Bartel Ross"/>
    <s v="19/09/24 18:26"/>
    <s v="23/09/24 11:00"/>
    <n v="3275122"/>
    <n v="0"/>
    <n v="3275122"/>
    <n v="0"/>
    <n v="0"/>
    <n v="0"/>
    <n v="0"/>
    <n v="3275122"/>
    <n v="0"/>
    <s v="+84 203 5640 799"/>
    <s v="rbarte.510571@guest.booking.com"/>
    <s v=""/>
    <x v="2"/>
    <s v=""/>
    <s v="CHECKOUT"/>
    <s v="755"/>
    <s v="4927986755_LDCB1F"/>
    <n v="818780.5"/>
    <n v="4"/>
  </r>
  <r>
    <s v="639"/>
    <s v="SUP-PNL"/>
    <s v="102"/>
    <s v="Guest"/>
    <s v="21/09/24 14:04"/>
    <s v="23/09/24 11:00"/>
    <n v="1130000"/>
    <n v="240000"/>
    <n v="1370000"/>
    <n v="0"/>
    <n v="1370000"/>
    <n v="0"/>
    <n v="0"/>
    <n v="0"/>
    <n v="0"/>
    <m/>
    <m/>
    <m/>
    <x v="1"/>
    <s v=""/>
    <s v="CHECKOUT"/>
    <s v="762"/>
    <m/>
    <n v="565000"/>
    <n v="2"/>
  </r>
  <r>
    <s v="639"/>
    <s v="SUP-Q-PNL"/>
    <s v="502"/>
    <s v="Nguyen Tuan Anh"/>
    <s v="21/09/24 14:04"/>
    <s v="23/09/24 11:00"/>
    <n v="1220000"/>
    <n v="0"/>
    <n v="1220000"/>
    <n v="0"/>
    <n v="1220000"/>
    <n v="0"/>
    <n v="0"/>
    <n v="0"/>
    <n v="0"/>
    <s v=""/>
    <s v=""/>
    <s v=""/>
    <x v="1"/>
    <s v=""/>
    <s v="CHECKOUT"/>
    <s v="763"/>
    <m/>
    <n v="610000"/>
    <n v="2"/>
  </r>
  <r>
    <s v="596"/>
    <s v="STD-PNL"/>
    <s v="101"/>
    <s v="KIM JINHO"/>
    <s v="20/09/24 14:02"/>
    <s v="24/09/24 11:30"/>
    <n v="2629440"/>
    <n v="0"/>
    <n v="2629440"/>
    <n v="0"/>
    <n v="0"/>
    <n v="0"/>
    <n v="0"/>
    <n v="2629440"/>
    <n v="0"/>
    <s v="+82 2035640799"/>
    <s v="cnkswx.486275@guest.booking.com"/>
    <s v=""/>
    <x v="2"/>
    <s v=""/>
    <s v="CHECKOUT"/>
    <s v="713"/>
    <s v="4679385411_LDCB1F"/>
    <n v="657360"/>
    <n v="4"/>
  </r>
  <r>
    <s v="596"/>
    <s v="STD-PNL"/>
    <s v="201"/>
    <s v="JINHO KIM"/>
    <s v="20/09/24 14:02"/>
    <s v="24/09/24 11:30"/>
    <n v="2629440"/>
    <n v="0"/>
    <n v="2629440"/>
    <n v="0"/>
    <n v="0"/>
    <n v="0"/>
    <n v="0"/>
    <n v="2629440"/>
    <n v="0"/>
    <m/>
    <m/>
    <m/>
    <x v="2"/>
    <s v=""/>
    <s v="CHECKOUT"/>
    <s v="714"/>
    <s v="4679385411_LDCB1F"/>
    <n v="657360"/>
    <n v="4"/>
  </r>
  <r>
    <s v="642"/>
    <s v="STD-PNL"/>
    <s v="601"/>
    <s v="KATO SHUN"/>
    <s v="23/09/24 14:05"/>
    <s v="24/09/24 11:30"/>
    <n v="493920"/>
    <n v="0"/>
    <n v="493920"/>
    <n v="0"/>
    <n v="0"/>
    <n v="0"/>
    <n v="0"/>
    <n v="493920"/>
    <n v="0"/>
    <s v=""/>
    <s v=""/>
    <s v=""/>
    <x v="2"/>
    <s v=""/>
    <s v="CHECKOUT"/>
    <s v="766"/>
    <s v="1375850848_LDCB1F"/>
    <n v="493920"/>
    <n v="1"/>
  </r>
  <r>
    <s v="645"/>
    <s v="SUP-PNL"/>
    <s v="302"/>
    <s v="Đoàn Ngọc Hân"/>
    <s v="22/09/24 14:12"/>
    <s v="24/09/24 13:50"/>
    <n v="1178000"/>
    <n v="0"/>
    <n v="1178000"/>
    <n v="0"/>
    <n v="0"/>
    <n v="0"/>
    <n v="1178000"/>
    <n v="0"/>
    <n v="0"/>
    <s v="0985421088"/>
    <s v="Doanngochantc@gmail.com"/>
    <s v=""/>
    <x v="1"/>
    <s v=""/>
    <s v="CHECKOUT"/>
    <s v="769"/>
    <m/>
    <n v="589000"/>
    <n v="2"/>
  </r>
  <r>
    <s v="626"/>
    <s v="STD-PNL"/>
    <s v="301"/>
    <s v=" Wayne Denton Watts"/>
    <s v="20/09/24 11:03"/>
    <s v="25/09/24 10:10"/>
    <n v="2650000"/>
    <n v="0"/>
    <n v="2650000"/>
    <n v="0"/>
    <n v="0"/>
    <n v="0"/>
    <n v="2650000"/>
    <n v="0"/>
    <n v="0"/>
    <s v="+84902540072"/>
    <s v="capt.kila@gmail.com"/>
    <s v="642711895"/>
    <x v="2"/>
    <s v=""/>
    <s v="CHECKOUT"/>
    <s v="748"/>
    <s v="60853171009"/>
    <n v="530000"/>
    <n v="5"/>
  </r>
  <r>
    <s v="652"/>
    <s v="STD-PNL"/>
    <s v="401"/>
    <s v="Phương Thảo"/>
    <s v="24/09/24 15:22"/>
    <s v="25/09/24 10:10"/>
    <n v="494000"/>
    <n v="0"/>
    <n v="494000"/>
    <n v="0"/>
    <n v="0"/>
    <n v="0"/>
    <n v="494000"/>
    <n v="0"/>
    <n v="0"/>
    <s v="+84900000000"/>
    <s v="test@gmail.com"/>
    <s v="341666677"/>
    <x v="2"/>
    <s v=""/>
    <s v="CHECKOUT"/>
    <s v="777"/>
    <s v="52849865028"/>
    <n v="494000"/>
    <n v="1"/>
  </r>
  <r>
    <s v="649"/>
    <s v="DELUXE-PNL"/>
    <s v="403"/>
    <s v="Draken Dark"/>
    <s v="24/09/24 15:22"/>
    <s v="25/09/24 10:11"/>
    <n v="760000"/>
    <n v="0"/>
    <n v="760000"/>
    <n v="0"/>
    <n v="0"/>
    <n v="0"/>
    <n v="760000"/>
    <n v="0"/>
    <n v="0"/>
    <s v="0971120869"/>
    <s v=""/>
    <s v=""/>
    <x v="1"/>
    <s v=""/>
    <s v="CHECKOUT"/>
    <s v="773"/>
    <m/>
    <n v="760000"/>
    <n v="1"/>
  </r>
  <r>
    <s v="650"/>
    <s v="STD-PNL"/>
    <s v="101"/>
    <s v="KIM JINHO"/>
    <s v="24/09/24 15:21"/>
    <s v="25/09/24 10:11"/>
    <n v="500000"/>
    <n v="0"/>
    <n v="500000"/>
    <n v="0"/>
    <n v="500000"/>
    <n v="0"/>
    <n v="0"/>
    <n v="0"/>
    <n v="0"/>
    <s v=""/>
    <s v=""/>
    <s v=""/>
    <x v="0"/>
    <s v=""/>
    <s v="CHECKOUT"/>
    <s v="774"/>
    <m/>
    <n v="500000"/>
    <n v="1"/>
  </r>
  <r>
    <s v="636"/>
    <s v="DELUXE-PNL"/>
    <s v="203"/>
    <s v="Huyen Nguyen"/>
    <s v="22/09/24 14:12"/>
    <s v="25/09/24 11:00"/>
    <n v="2157000"/>
    <n v="0"/>
    <n v="2157000"/>
    <n v="0"/>
    <n v="0"/>
    <n v="0"/>
    <n v="2157000"/>
    <n v="0"/>
    <n v="0"/>
    <s v=""/>
    <s v="lienltb@gmail.com"/>
    <s v=""/>
    <x v="1"/>
    <s v=""/>
    <s v="CHECKOUT"/>
    <s v="759"/>
    <m/>
    <n v="719000"/>
    <n v="3"/>
  </r>
  <r>
    <s v="650"/>
    <s v="STD-PNL"/>
    <s v="201"/>
    <s v="KIM JINHO"/>
    <s v="24/09/24 15:21"/>
    <s v="25/09/24 11:00"/>
    <n v="500000"/>
    <n v="0"/>
    <n v="500000"/>
    <n v="0"/>
    <n v="500000"/>
    <n v="0"/>
    <n v="0"/>
    <n v="0"/>
    <n v="0"/>
    <s v=""/>
    <s v=""/>
    <s v=""/>
    <x v="0"/>
    <s v=""/>
    <s v="CHECKOUT"/>
    <s v="775"/>
    <m/>
    <n v="500000"/>
    <n v="1"/>
  </r>
  <r>
    <s v="655"/>
    <s v="STD-PNL"/>
    <s v="501"/>
    <s v="Minh Nguyen Dinh"/>
    <s v="25/09/24 10:08"/>
    <s v="25/09/24 12:45"/>
    <n v="350000"/>
    <n v="0"/>
    <n v="350000"/>
    <n v="0"/>
    <n v="0"/>
    <n v="0"/>
    <n v="350000"/>
    <n v="0"/>
    <n v="0"/>
    <m/>
    <m/>
    <m/>
    <x v="1"/>
    <s v=""/>
    <s v="CHECKOUT"/>
    <s v="783"/>
    <m/>
    <n v="350000"/>
    <n v="1"/>
  </r>
  <r>
    <s v="660"/>
    <s v="STD-PNL"/>
    <s v="101"/>
    <s v="quỳnh"/>
    <s v="25/09/24 13:43"/>
    <s v="25/09/24 15:35"/>
    <n v="350000"/>
    <n v="0"/>
    <n v="350000"/>
    <n v="0"/>
    <n v="0"/>
    <n v="0"/>
    <n v="350000"/>
    <n v="0"/>
    <n v="0"/>
    <s v=""/>
    <s v=""/>
    <s v=""/>
    <x v="1"/>
    <s v=""/>
    <s v="CHECKOUT"/>
    <s v="788"/>
    <m/>
    <n v="350000"/>
    <n v="1"/>
  </r>
  <r>
    <s v="664"/>
    <s v="STD-PNL"/>
    <s v="201"/>
    <s v="Anh Lựu"/>
    <s v="25/09/24 18:26"/>
    <s v="25/09/24 20:30"/>
    <n v="350000"/>
    <n v="0"/>
    <n v="350000"/>
    <n v="0"/>
    <n v="350000"/>
    <n v="0"/>
    <n v="0"/>
    <n v="0"/>
    <n v="0"/>
    <s v="0968913909"/>
    <m/>
    <m/>
    <x v="1"/>
    <s v=""/>
    <s v="CHECKOUT"/>
    <s v="792"/>
    <m/>
    <n v="350000"/>
    <n v="1"/>
  </r>
  <r>
    <s v="663"/>
    <s v="STD-PNL"/>
    <s v="401"/>
    <s v="Trần Ngọc hân"/>
    <s v="25/09/24 18:58"/>
    <s v="26/09/24 07:42"/>
    <n v="494000"/>
    <n v="0"/>
    <n v="494000"/>
    <n v="0"/>
    <n v="0"/>
    <n v="0"/>
    <n v="494000"/>
    <n v="0"/>
    <n v="0"/>
    <s v="0383780633"/>
    <s v=""/>
    <s v=""/>
    <x v="1"/>
    <s v=""/>
    <s v="CHECKOUT"/>
    <s v="791"/>
    <m/>
    <n v="494000"/>
    <n v="1"/>
  </r>
  <r>
    <s v="658"/>
    <s v="DELUXE-PNL"/>
    <s v="203"/>
    <s v="khách"/>
    <s v="25/09/24 13:56"/>
    <s v="26/09/24 10:05"/>
    <n v="719000"/>
    <n v="0"/>
    <n v="719000"/>
    <n v="0"/>
    <n v="0"/>
    <n v="0"/>
    <n v="719000"/>
    <n v="0"/>
    <n v="0"/>
    <s v=""/>
    <s v=""/>
    <s v=""/>
    <x v="1"/>
    <s v=""/>
    <s v="CHECKOUT"/>
    <s v="786"/>
    <m/>
    <n v="719000"/>
    <n v="1"/>
  </r>
  <r>
    <s v="658"/>
    <s v="SUP-PNL"/>
    <s v="202"/>
    <s v="Phạm văn tuấn"/>
    <s v="25/09/24 12:47"/>
    <s v="26/09/24 10:23"/>
    <n v="584000"/>
    <n v="0"/>
    <n v="584000"/>
    <n v="0"/>
    <n v="0"/>
    <n v="0"/>
    <n v="584000"/>
    <n v="0"/>
    <n v="0"/>
    <s v="0928595969"/>
    <s v=""/>
    <s v=""/>
    <x v="1"/>
    <s v=""/>
    <s v="CHECKOUT"/>
    <s v="784"/>
    <m/>
    <n v="584000"/>
    <n v="1"/>
  </r>
  <r>
    <s v="659"/>
    <s v="SUP-PNL"/>
    <s v="402"/>
    <s v="an thư"/>
    <s v="25/09/24 12:56"/>
    <s v="26/09/24 11:00"/>
    <n v="600000"/>
    <n v="0"/>
    <n v="600000"/>
    <n v="0"/>
    <n v="600000"/>
    <n v="0"/>
    <n v="0"/>
    <n v="0"/>
    <n v="0"/>
    <s v="0986234397"/>
    <s v=""/>
    <s v=""/>
    <x v="1"/>
    <s v=""/>
    <s v="CHECKOUT"/>
    <s v="787"/>
    <m/>
    <n v="600000"/>
    <n v="1"/>
  </r>
  <r>
    <s v="666"/>
    <s v="STD-PNL"/>
    <s v="101"/>
    <s v="Nhung"/>
    <s v="26/09/24 11:38"/>
    <s v="27/09/24 11:00"/>
    <n v="500000"/>
    <n v="0"/>
    <n v="500000"/>
    <n v="0"/>
    <n v="500000"/>
    <n v="0"/>
    <n v="0"/>
    <n v="0"/>
    <n v="0"/>
    <s v="0795060963"/>
    <s v=""/>
    <s v=""/>
    <x v="1"/>
    <s v=""/>
    <s v="CHECKOUT"/>
    <s v="794"/>
    <m/>
    <n v="500000"/>
    <n v="1"/>
  </r>
  <r>
    <s v="672"/>
    <s v="STD-PNL"/>
    <s v="201"/>
    <s v="bui tien"/>
    <s v="26/09/24 15:54"/>
    <s v="27/09/24 11:19"/>
    <n v="542376"/>
    <n v="0"/>
    <n v="542376"/>
    <n v="0"/>
    <n v="542376"/>
    <n v="0"/>
    <n v="0"/>
    <n v="0"/>
    <n v="0"/>
    <s v="+84 203 5640 799"/>
    <s v="tbui.185440@guest.booking.com"/>
    <s v=""/>
    <x v="2"/>
    <s v=""/>
    <s v="CHECKOUT"/>
    <s v="800"/>
    <s v="4319803723_LDCB1F"/>
    <n v="542376"/>
    <n v="1"/>
  </r>
  <r>
    <s v="677"/>
    <s v="STD-PNL"/>
    <s v="601"/>
    <s v="TRẦN THỊ MẠNH"/>
    <s v="27/09/24 11:22"/>
    <s v="27/09/24 12:41"/>
    <n v="350000"/>
    <n v="0"/>
    <n v="350000"/>
    <n v="0"/>
    <n v="350000"/>
    <n v="0"/>
    <n v="0"/>
    <n v="0"/>
    <n v="0"/>
    <s v=""/>
    <s v=""/>
    <s v="2710112026"/>
    <x v="0"/>
    <s v=""/>
    <s v="CHECKOUT"/>
    <s v="805"/>
    <m/>
    <n v="350000"/>
    <n v="1"/>
  </r>
  <r>
    <s v="669"/>
    <s v="SUP-Q-PNL"/>
    <s v="602"/>
    <s v="DoanTran Chi"/>
    <s v="27/09/24 16:41"/>
    <s v="28/09/24 08:34"/>
    <n v="608828"/>
    <n v="0"/>
    <n v="608828"/>
    <n v="0"/>
    <n v="608828"/>
    <n v="0"/>
    <n v="0"/>
    <n v="0"/>
    <n v="0"/>
    <s v="+44 7402 593425"/>
    <s v="cdoant.976368@guest.booking.com"/>
    <s v=""/>
    <x v="2"/>
    <s v=""/>
    <s v="CHECKOUT"/>
    <s v="797"/>
    <s v="4615647096_LDCB1F"/>
    <n v="608828"/>
    <n v="1"/>
  </r>
  <r>
    <s v="679"/>
    <s v="STD-PNL"/>
    <s v="601"/>
    <s v="phương"/>
    <s v="27/09/24 13:35"/>
    <s v="28/09/24 08:50"/>
    <n v="494000"/>
    <n v="0"/>
    <n v="494000"/>
    <n v="0"/>
    <n v="0"/>
    <n v="0"/>
    <n v="494000"/>
    <n v="0"/>
    <n v="0"/>
    <s v="0842227234"/>
    <s v=""/>
    <s v=""/>
    <x v="0"/>
    <s v=""/>
    <s v="CHECKOUT"/>
    <s v="807"/>
    <m/>
    <n v="494000"/>
    <n v="1"/>
  </r>
  <r>
    <s v="651"/>
    <s v="STD-PNL"/>
    <s v="101"/>
    <s v="Smethurst Richard"/>
    <s v="27/09/24 18:11"/>
    <s v="28/09/24 11:00"/>
    <n v="712080"/>
    <n v="0"/>
    <n v="712080"/>
    <n v="0"/>
    <n v="0"/>
    <n v="0"/>
    <n v="712080"/>
    <n v="0"/>
    <n v="0"/>
    <s v="+61 2035640799"/>
    <s v="rsmeth.730881@guest.booking.com"/>
    <s v=""/>
    <x v="2"/>
    <s v=""/>
    <s v="CHECKOUT"/>
    <s v="776"/>
    <s v="4432070727_LDCB1F"/>
    <n v="712080"/>
    <n v="1"/>
  </r>
  <r>
    <s v="653"/>
    <s v="SUP-PNL"/>
    <s v="302"/>
    <s v="Murphy craig anthony"/>
    <s v="27/09/24 18:22"/>
    <s v="28/09/24 11:00"/>
    <n v="712080"/>
    <n v="0"/>
    <n v="712080"/>
    <n v="0"/>
    <n v="0"/>
    <n v="0"/>
    <n v="0"/>
    <n v="712080"/>
    <n v="0"/>
    <s v="+61 428 139 111"/>
    <s v="cmurph.234949@guest.booking.com"/>
    <s v=""/>
    <x v="2"/>
    <s v=""/>
    <s v="CHECKOUT"/>
    <s v="778"/>
    <s v="4414163633_LDCB1F"/>
    <n v="712080"/>
    <n v="1"/>
  </r>
  <r>
    <s v="653"/>
    <s v="SUP-PNL"/>
    <s v="202"/>
    <s v="craig anthony Murphy"/>
    <s v="27/09/24 18:22"/>
    <s v="28/09/24 11:00"/>
    <n v="712080"/>
    <n v="0"/>
    <n v="712080"/>
    <n v="0"/>
    <n v="0"/>
    <n v="0"/>
    <n v="0"/>
    <n v="712080"/>
    <n v="0"/>
    <m/>
    <m/>
    <m/>
    <x v="2"/>
    <s v=""/>
    <s v="CHECKOUT"/>
    <s v="779"/>
    <s v="4414163633_LDCB1F"/>
    <n v="712080"/>
    <n v="1"/>
  </r>
  <r>
    <s v="673"/>
    <s v="SUP-PNL"/>
    <s v="402"/>
    <s v="Robinson Ray"/>
    <s v="26/09/24 17:06"/>
    <s v="28/09/24 11:00"/>
    <n v="1082142"/>
    <n v="56000"/>
    <n v="1138142"/>
    <n v="0"/>
    <n v="0"/>
    <n v="0"/>
    <n v="0"/>
    <n v="1138142"/>
    <n v="0"/>
    <s v="8605497289"/>
    <s v="jcn0ism1tl@m.expediapartnercentral.com"/>
    <s v=""/>
    <x v="2"/>
    <s v=""/>
    <s v="CHECKOUT"/>
    <s v="801"/>
    <s v="328496991_LDCB1F"/>
    <n v="541071"/>
    <n v="2"/>
  </r>
  <r>
    <s v="685"/>
    <s v="STD-PNL"/>
    <s v="401"/>
    <s v="Vi Gam"/>
    <s v="27/09/24 20:35"/>
    <s v="28/09/24 11:00"/>
    <n v="608828"/>
    <n v="0"/>
    <n v="608828"/>
    <n v="0"/>
    <n v="0"/>
    <n v="0"/>
    <n v="0"/>
    <n v="608828"/>
    <n v="0"/>
    <s v="0352425117"/>
    <s v="gvi.822492@guest.booking.com"/>
    <s v=""/>
    <x v="2"/>
    <s v=""/>
    <s v="CHECKOUT"/>
    <s v="813"/>
    <s v="4901582522_LDCB1F"/>
    <n v="608828"/>
    <n v="1"/>
  </r>
  <r>
    <s v="689"/>
    <s v="DELUXE-PNL"/>
    <s v="303"/>
    <s v="NGUYỄN THUỴ ANH VÂN"/>
    <s v="28/09/24 03:13"/>
    <s v="28/09/24 11:00"/>
    <n v="630000"/>
    <n v="0"/>
    <n v="630000"/>
    <n v="0"/>
    <n v="0"/>
    <n v="0"/>
    <n v="630000"/>
    <n v="0"/>
    <n v="0"/>
    <m/>
    <m/>
    <m/>
    <x v="1"/>
    <s v=""/>
    <s v="CHECKOUT"/>
    <s v="817"/>
    <m/>
    <n v="630000"/>
    <n v="1"/>
  </r>
  <r>
    <s v="668"/>
    <s v="STD-PNL"/>
    <s v="601"/>
    <s v=" Nguyen Van Hau"/>
    <s v="28/09/24 16:22"/>
    <s v="29/09/24 08:12"/>
    <n v="584000"/>
    <n v="0"/>
    <n v="525600"/>
    <n v="0"/>
    <n v="0"/>
    <n v="0"/>
    <n v="525600"/>
    <n v="0"/>
    <n v="0"/>
    <s v="+84921447927"/>
    <s v="Hau.92nguyen@gmail.com"/>
    <s v="Q00366446"/>
    <x v="1"/>
    <s v=""/>
    <s v="CHECKOUT"/>
    <s v="796"/>
    <s v="28849814405"/>
    <n v="584000"/>
    <n v="1"/>
  </r>
  <r>
    <s v="676"/>
    <s v="STD-PNL"/>
    <s v="501"/>
    <s v="lucien"/>
    <s v="27/09/24 13:34"/>
    <s v="29/09/24 08:12"/>
    <n v="1160000"/>
    <n v="0"/>
    <n v="1160000"/>
    <n v="0"/>
    <n v="1160000"/>
    <n v="0"/>
    <n v="0"/>
    <n v="0"/>
    <n v="0"/>
    <s v="0586029719"/>
    <s v=""/>
    <s v=""/>
    <x v="1"/>
    <s v=""/>
    <s v="CHECKOUT"/>
    <s v="804"/>
    <m/>
    <n v="580000"/>
    <n v="2"/>
  </r>
  <r>
    <s v="690"/>
    <s v="DELUXE-PNL"/>
    <s v="303"/>
    <s v="Ly Lê Hương"/>
    <s v="28/09/24 14:15"/>
    <s v="29/09/24 08:12"/>
    <n v="1139760"/>
    <n v="0"/>
    <n v="1139760"/>
    <n v="0"/>
    <n v="0"/>
    <n v="0"/>
    <n v="1139760"/>
    <n v="0"/>
    <n v="0"/>
    <s v="+84 888 737 271"/>
    <s v="lly.549176@guest.booking.com"/>
    <s v=""/>
    <x v="2"/>
    <s v=""/>
    <s v="CHECKOUT"/>
    <s v="818"/>
    <s v="4904054071_LDCB1F"/>
    <n v="1139760"/>
    <n v="1"/>
  </r>
  <r>
    <s v="665"/>
    <s v="STD-PNL"/>
    <s v="201"/>
    <s v="MacKinnon Greg"/>
    <s v="27/09/24 12:01"/>
    <s v="29/09/24 09:44"/>
    <n v="1217656"/>
    <n v="0"/>
    <n v="1217656"/>
    <n v="0"/>
    <n v="1217656"/>
    <n v="0"/>
    <n v="0"/>
    <n v="0"/>
    <n v="0"/>
    <s v="+61457269284"/>
    <s v="gmacki.914548@guest.booking.com"/>
    <s v=""/>
    <x v="2"/>
    <s v=""/>
    <s v="CHECKOUT"/>
    <s v="793"/>
    <s v="4896851865_LDCB1F"/>
    <n v="608828"/>
    <n v="2"/>
  </r>
  <r>
    <s v="692"/>
    <s v="DELUXE-PNL"/>
    <s v="503"/>
    <s v="Phạm Tuyết Lụa"/>
    <s v="28/09/24 14:15"/>
    <s v="29/09/24 10:17"/>
    <n v="720000"/>
    <n v="0"/>
    <n v="720000"/>
    <n v="0"/>
    <n v="0"/>
    <n v="0"/>
    <n v="720000"/>
    <n v="0"/>
    <n v="0"/>
    <s v=""/>
    <s v=""/>
    <s v=""/>
    <x v="1"/>
    <s v=""/>
    <s v="CHECKOUT"/>
    <s v="820"/>
    <m/>
    <n v="720000"/>
    <n v="1"/>
  </r>
  <r>
    <s v="681"/>
    <s v="DELUXE-PNL"/>
    <s v="603"/>
    <s v="Mason Lee"/>
    <s v="27/09/24 15:29"/>
    <s v="29/09/24 11:00"/>
    <n v="1600000"/>
    <n v="0"/>
    <n v="1600000"/>
    <n v="0"/>
    <n v="1600000"/>
    <n v="0"/>
    <n v="0"/>
    <n v="0"/>
    <n v="0"/>
    <s v=""/>
    <s v=""/>
    <s v=""/>
    <x v="1"/>
    <s v=""/>
    <s v="CHECKOUT"/>
    <s v="809"/>
    <m/>
    <n v="800000"/>
    <n v="2"/>
  </r>
  <r>
    <s v="683"/>
    <s v="SUP-PNL"/>
    <s v="102"/>
    <s v="duyên lê"/>
    <s v="27/09/24 16:43"/>
    <s v="29/09/24 11:00"/>
    <n v="1168000"/>
    <n v="0"/>
    <n v="1168000"/>
    <n v="0"/>
    <n v="0"/>
    <n v="0"/>
    <n v="1168000"/>
    <n v="0"/>
    <n v="0"/>
    <m/>
    <m/>
    <m/>
    <x v="1"/>
    <s v=""/>
    <s v="CHECKOUT"/>
    <s v="811"/>
    <m/>
    <n v="584000"/>
    <n v="2"/>
  </r>
  <r>
    <s v="686"/>
    <s v="STD-PNL"/>
    <s v="401"/>
    <s v="GO GO"/>
    <s v="28/09/24 18:23"/>
    <s v="29/09/24 11:00"/>
    <n v="502357"/>
    <n v="0"/>
    <n v="502357"/>
    <n v="0"/>
    <n v="0"/>
    <n v="0"/>
    <n v="0"/>
    <n v="502357"/>
    <n v="0"/>
    <s v="442039293737"/>
    <s v="rh7pjlivpd@m.expediapartnercentral.com"/>
    <s v=""/>
    <x v="2"/>
    <s v=""/>
    <s v="CHECKOUT"/>
    <s v="814"/>
    <s v="329305984_LDCB1F"/>
    <n v="502357"/>
    <n v="1"/>
  </r>
  <r>
    <s v="691"/>
    <s v="SUP-PNL"/>
    <s v="202"/>
    <s v="Anh Minh"/>
    <s v="28/09/24 14:13"/>
    <s v="29/09/24 11:00"/>
    <n v="606528"/>
    <n v="0"/>
    <n v="606528"/>
    <n v="0"/>
    <n v="0"/>
    <n v="0"/>
    <n v="0"/>
    <n v="606528"/>
    <n v="0"/>
    <s v=""/>
    <s v=""/>
    <s v=""/>
    <x v="2"/>
    <s v=""/>
    <s v="CHECKOUT"/>
    <s v="819"/>
    <s v="1383385300_LDCB1F"/>
    <n v="606528"/>
    <n v="1"/>
  </r>
  <r>
    <s v="693"/>
    <s v="SUP-Q-PNL"/>
    <s v="602"/>
    <s v="Chen Yu Kun"/>
    <s v="28/09/24 17:27"/>
    <s v="29/09/24 11:00"/>
    <n v="659308"/>
    <n v="0"/>
    <n v="659308"/>
    <n v="0"/>
    <n v="0"/>
    <n v="0"/>
    <n v="0"/>
    <n v="659308"/>
    <n v="0"/>
    <s v="+86 137 1181 1113"/>
    <s v=""/>
    <s v=""/>
    <x v="5"/>
    <s v=""/>
    <s v="CHECKOUT"/>
    <s v="821"/>
    <m/>
    <n v="659308"/>
    <n v="1"/>
  </r>
  <r>
    <s v="670"/>
    <s v="SUP-Q-PNL"/>
    <s v="502"/>
    <s v="Lương Thị Hà"/>
    <s v="27/09/24 21:49"/>
    <s v="29/09/24 11:17"/>
    <n v="1578528"/>
    <n v="0"/>
    <n v="1578528"/>
    <n v="0"/>
    <n v="1578528"/>
    <n v="0"/>
    <n v="0"/>
    <n v="0"/>
    <n v="0"/>
    <s v="+84 916 499 868"/>
    <s v="tluong.754989@guest.booking.com"/>
    <s v=""/>
    <x v="2"/>
    <s v=""/>
    <s v="CHECKOUT"/>
    <s v="798"/>
    <s v="4757960334_LDCB1F"/>
    <n v="789264"/>
    <n v="2"/>
  </r>
  <r>
    <s v="682"/>
    <s v="DELUXE-PNL"/>
    <s v="203"/>
    <s v="Ngocc Uyen"/>
    <s v="27/09/24 18:48"/>
    <s v="30/09/24 07:35"/>
    <n v="2037390"/>
    <n v="0"/>
    <n v="2037390"/>
    <n v="0"/>
    <n v="300000"/>
    <n v="0"/>
    <n v="1737390"/>
    <n v="0"/>
    <n v="0"/>
    <s v="+84935353044"/>
    <s v=""/>
    <s v=""/>
    <x v="1"/>
    <s v=""/>
    <s v="CHECKOUT"/>
    <s v="810"/>
    <m/>
    <n v="679130"/>
    <n v="3"/>
  </r>
  <r>
    <s v="678"/>
    <s v="SUP-PNL"/>
    <s v="402"/>
    <s v="Solans Ruiz gabriel"/>
    <s v="28/09/24 14:28"/>
    <s v="30/09/24 07:36"/>
    <n v="1183248"/>
    <n v="0"/>
    <n v="1183248"/>
    <n v="0"/>
    <n v="0"/>
    <n v="0"/>
    <n v="0"/>
    <n v="1183248"/>
    <n v="0"/>
    <s v="+34 629 13 07 33"/>
    <s v="gruiz.127266@guest.booking.com"/>
    <s v=""/>
    <x v="2"/>
    <s v=""/>
    <s v="CHECKOUT"/>
    <s v="806"/>
    <s v="4874878962_LDCB1F"/>
    <n v="591624"/>
    <n v="2"/>
  </r>
  <r>
    <s v="667"/>
    <s v="STD-PNL"/>
    <s v="301"/>
    <s v="SHIRAKAWA AKI"/>
    <s v="26/09/24 12:31"/>
    <s v="30/09/24 10:06"/>
    <n v="2248170"/>
    <n v="0"/>
    <n v="2248170"/>
    <n v="0"/>
    <n v="0"/>
    <n v="0"/>
    <n v="0"/>
    <n v="2248170"/>
    <n v="0"/>
    <s v="+84 203 5640 799"/>
    <s v="ashira.331084@guest.booking.com"/>
    <s v=""/>
    <x v="2"/>
    <s v=""/>
    <s v="CHECKOUT"/>
    <s v="795"/>
    <s v="4431104256_LDCB1F"/>
    <n v="562042.5"/>
    <n v="4"/>
  </r>
  <r>
    <s v="680"/>
    <s v="SUP-PNL"/>
    <s v="302"/>
    <s v="Huy-Loan"/>
    <s v="28/09/24 14:15"/>
    <s v="30/09/24 11:00"/>
    <n v="1132000"/>
    <n v="0"/>
    <n v="1132000"/>
    <n v="0"/>
    <n v="0"/>
    <n v="0"/>
    <n v="1132000"/>
    <n v="0"/>
    <n v="0"/>
    <s v="0903775152"/>
    <s v=""/>
    <s v=""/>
    <x v="1"/>
    <s v=""/>
    <s v="CHECKOUT"/>
    <s v="808"/>
    <m/>
    <n v="566000"/>
    <n v="2"/>
  </r>
  <r>
    <s v="671"/>
    <s v="DELUXE-PNL"/>
    <s v="103"/>
    <s v="Halliwell Bruce"/>
    <s v="27/09/24 13:25"/>
    <s v="30/09/24 11:24"/>
    <n v="1738845"/>
    <n v="0"/>
    <n v="1738845"/>
    <n v="0"/>
    <n v="0"/>
    <n v="0"/>
    <n v="0"/>
    <n v="1738845"/>
    <n v="0"/>
    <s v="84862681774"/>
    <s v=""/>
    <s v=""/>
    <x v="2"/>
    <s v=""/>
    <s v="CHECKOUT"/>
    <s v="799"/>
    <s v="HMATMKA2Y9_LDCB1F"/>
    <n v="579615"/>
    <n v="3"/>
  </r>
  <r>
    <s v="499"/>
    <s v="DELUXE-PNL"/>
    <s v="403"/>
    <s v="Cahill Robert"/>
    <s v="25/09/24 17:59"/>
    <s v="30/09/24 12:26"/>
    <n v="3658066"/>
    <n v="0"/>
    <n v="3658066"/>
    <n v="0"/>
    <n v="0"/>
    <n v="0"/>
    <n v="0"/>
    <n v="3658066"/>
    <n v="0"/>
    <s v="8675582628521"/>
    <s v="5px07abii7@m.expediapartnercentral.com"/>
    <s v=""/>
    <x v="2"/>
    <s v=""/>
    <s v="CHECKOUT"/>
    <s v="598"/>
    <s v="306202227_LDCB1F"/>
    <n v="731613.2"/>
    <n v="5"/>
  </r>
  <r>
    <s v="548"/>
    <s v="MB-PNL"/>
    <s v="MB-PNL"/>
    <s v="MB-53PNL"/>
    <s v="01/09/24 17:26"/>
    <s v="01/10/24 00:09"/>
    <n v="27555000"/>
    <n v="1272000"/>
    <n v="28827000"/>
    <n v="0"/>
    <n v="0"/>
    <n v="0"/>
    <n v="28827000"/>
    <n v="0"/>
    <n v="0"/>
    <s v=""/>
    <s v=""/>
    <s v=""/>
    <x v="0"/>
    <s v=""/>
    <s v="CHECKOUT"/>
    <s v="657"/>
    <m/>
    <n v="918500"/>
    <n v="30"/>
  </r>
  <r>
    <s v="699"/>
    <s v="SUP-Q-PNL"/>
    <s v="602"/>
    <s v="My Phung"/>
    <s v="29/09/24 14:27"/>
    <s v="01/10/24 11:00"/>
    <n v="988000"/>
    <n v="0"/>
    <n v="988000"/>
    <n v="0"/>
    <n v="0"/>
    <n v="0"/>
    <n v="988000"/>
    <n v="0"/>
    <n v="0"/>
    <m/>
    <m/>
    <m/>
    <x v="1"/>
    <s v=""/>
    <s v="CHECKOUT"/>
    <s v="827"/>
    <m/>
    <n v="494000"/>
    <n v="2"/>
  </r>
  <r>
    <s v="701"/>
    <s v="DELUXE-PNL"/>
    <s v="103"/>
    <s v="Halliwell Bruce"/>
    <s v="30/09/24 11:44"/>
    <s v="01/10/24 11:00"/>
    <n v="650000"/>
    <n v="0"/>
    <n v="650000"/>
    <n v="0"/>
    <n v="650000"/>
    <n v="0"/>
    <n v="0"/>
    <n v="0"/>
    <n v="0"/>
    <s v=""/>
    <s v=""/>
    <s v=""/>
    <x v="1"/>
    <s v=""/>
    <s v="CHECKOUT"/>
    <s v="829"/>
    <m/>
    <n v="650000"/>
    <n v="1"/>
  </r>
  <r>
    <s v="705"/>
    <s v="STD-PNL"/>
    <s v="101"/>
    <s v="Thúy"/>
    <s v="01/10/24 15:33"/>
    <s v="02/10/24 08:27"/>
    <n v="494000"/>
    <n v="0"/>
    <n v="494000"/>
    <n v="0"/>
    <n v="0"/>
    <n v="0"/>
    <n v="494000"/>
    <n v="0"/>
    <n v="0"/>
    <s v=""/>
    <s v=""/>
    <s v="056191010582"/>
    <x v="1"/>
    <s v=""/>
    <s v="CHECKOUT"/>
    <s v="833"/>
    <m/>
    <n v="494000"/>
    <n v="1"/>
  </r>
  <r>
    <s v="706"/>
    <s v="STD-PNL"/>
    <s v="401"/>
    <s v="Nguyễn Thị Hoài Thương"/>
    <s v="01/10/24 18:46"/>
    <s v="02/10/24 08:27"/>
    <n v="494000"/>
    <n v="0"/>
    <n v="494000"/>
    <n v="0"/>
    <n v="0"/>
    <n v="0"/>
    <n v="494000"/>
    <n v="0"/>
    <n v="0"/>
    <s v=""/>
    <s v=""/>
    <s v=""/>
    <x v="1"/>
    <s v=""/>
    <s v="CHECKOUT"/>
    <s v="834"/>
    <m/>
    <n v="494000"/>
    <n v="1"/>
  </r>
  <r>
    <s v="704"/>
    <s v="DELUXE-PNL"/>
    <s v="203"/>
    <s v="Hậu"/>
    <s v="01/10/24 18:37"/>
    <s v="02/10/24 08:28"/>
    <n v="760000"/>
    <n v="0"/>
    <n v="760000"/>
    <n v="0"/>
    <n v="0"/>
    <n v="0"/>
    <n v="760000"/>
    <n v="0"/>
    <n v="0"/>
    <s v=""/>
    <s v=""/>
    <s v=""/>
    <x v="1"/>
    <s v=""/>
    <s v="CHECKOUT"/>
    <s v="832"/>
    <m/>
    <n v="760000"/>
    <n v="1"/>
  </r>
  <r>
    <s v="700"/>
    <s v="STD-PNL"/>
    <s v="501"/>
    <s v="Dương Thiên Vũ"/>
    <s v="29/09/24 13:52"/>
    <s v="02/10/24 09:13"/>
    <n v="1437000"/>
    <n v="0"/>
    <n v="1437000"/>
    <n v="0"/>
    <n v="0"/>
    <n v="0"/>
    <n v="1437000"/>
    <n v="0"/>
    <n v="0"/>
    <m/>
    <m/>
    <m/>
    <x v="1"/>
    <s v=""/>
    <s v="CHECKOUT"/>
    <s v="828"/>
    <m/>
    <n v="479000"/>
    <n v="3"/>
  </r>
  <r>
    <s v="707"/>
    <s v="STD-PNL"/>
    <s v="401"/>
    <s v="Minh"/>
    <s v="02/10/24 12:42"/>
    <s v="02/10/24 15:14"/>
    <n v="410000"/>
    <n v="40000"/>
    <n v="450000"/>
    <n v="0"/>
    <n v="450000"/>
    <n v="0"/>
    <n v="0"/>
    <n v="0"/>
    <n v="0"/>
    <m/>
    <m/>
    <m/>
    <x v="1"/>
    <s v=""/>
    <s v="CHECKOUT"/>
    <s v="835"/>
    <m/>
    <n v="410000"/>
    <n v="1"/>
  </r>
  <r>
    <s v="709"/>
    <s v="STD-PNL"/>
    <s v="301"/>
    <s v="TRẦN LÊ LỰU"/>
    <s v="02/10/24 20:08"/>
    <s v="02/10/24 20:47"/>
    <n v="350000"/>
    <n v="0"/>
    <n v="350000"/>
    <n v="0"/>
    <n v="350000"/>
    <n v="0"/>
    <n v="0"/>
    <n v="0"/>
    <n v="0"/>
    <s v=""/>
    <s v=""/>
    <s v=""/>
    <x v="1"/>
    <s v=""/>
    <s v="CHECKOUT"/>
    <s v="837"/>
    <m/>
    <n v="350000"/>
    <n v="1"/>
  </r>
  <r>
    <s v="710"/>
    <s v="SUP-PNL"/>
    <s v="202"/>
    <s v="TRẦN QUỐC BẢO"/>
    <s v="03/10/24 08:51"/>
    <s v="03/10/24 09:19"/>
    <n v="525000"/>
    <n v="0"/>
    <n v="525000"/>
    <n v="0"/>
    <n v="525000"/>
    <n v="0"/>
    <n v="0"/>
    <n v="0"/>
    <n v="0"/>
    <s v="0586534570"/>
    <m/>
    <m/>
    <x v="1"/>
    <s v=""/>
    <s v="CHECKOUT"/>
    <s v="838"/>
    <m/>
    <n v="525000"/>
    <n v="1"/>
  </r>
  <r>
    <s v="697"/>
    <s v="SUP-PNL"/>
    <s v="402"/>
    <s v="Win Win Hla"/>
    <s v="01/10/24 17:39"/>
    <s v="03/10/24 11:00"/>
    <n v="1120000"/>
    <n v="0"/>
    <n v="1120000"/>
    <n v="0"/>
    <n v="1120000"/>
    <n v="0"/>
    <n v="0"/>
    <n v="0"/>
    <n v="0"/>
    <s v=""/>
    <s v=""/>
    <s v="MH099884"/>
    <x v="1"/>
    <s v=""/>
    <s v="CHECKOUT"/>
    <s v="825"/>
    <m/>
    <n v="560000"/>
    <n v="2"/>
  </r>
  <r>
    <s v="713"/>
    <s v="DELUXE-PNL"/>
    <s v="103"/>
    <s v="Sơn Thị Lệ Hoa"/>
    <s v="03/10/24 17:11"/>
    <s v="04/10/24 12:00"/>
    <n v="700000"/>
    <n v="0"/>
    <n v="700000"/>
    <n v="0"/>
    <n v="700000"/>
    <n v="0"/>
    <n v="0"/>
    <n v="0"/>
    <n v="0"/>
    <m/>
    <m/>
    <m/>
    <x v="1"/>
    <s v=""/>
    <s v="CHECKOUT"/>
    <s v="842"/>
    <m/>
    <n v="700000"/>
    <n v="1"/>
  </r>
  <r>
    <s v="718"/>
    <s v="STD-PNL"/>
    <s v="101"/>
    <s v="Kim"/>
    <s v="04/10/24 11:17"/>
    <s v="04/10/24 12:31"/>
    <n v="470000"/>
    <n v="0"/>
    <n v="470000"/>
    <n v="0"/>
    <n v="0"/>
    <n v="0"/>
    <n v="470000"/>
    <n v="0"/>
    <n v="0"/>
    <m/>
    <m/>
    <m/>
    <x v="1"/>
    <s v=""/>
    <s v="CHECKOUT"/>
    <s v="847"/>
    <m/>
    <n v="470000"/>
    <n v="1"/>
  </r>
  <r>
    <s v="717"/>
    <s v="STD-PNL"/>
    <s v="301"/>
    <s v="Thảo Quyên"/>
    <s v="04/10/24 12:28"/>
    <s v="04/10/24 17:16"/>
    <n v="529000"/>
    <n v="0"/>
    <n v="529000"/>
    <n v="0"/>
    <n v="0"/>
    <n v="0"/>
    <n v="529000"/>
    <n v="0"/>
    <n v="0"/>
    <s v="0938143339"/>
    <s v="quyencntuk@gmail.com"/>
    <s v=""/>
    <x v="1"/>
    <s v=""/>
    <s v="CHECKOUT"/>
    <s v="846"/>
    <m/>
    <n v="529000"/>
    <n v="1"/>
  </r>
  <r>
    <s v="716"/>
    <s v="SUP-PNL"/>
    <s v="202"/>
    <s v="Liên"/>
    <s v="04/10/24 19:39"/>
    <s v="06/10/24 08:02"/>
    <n v="1066000"/>
    <n v="0"/>
    <n v="1066000"/>
    <n v="0"/>
    <n v="532000"/>
    <n v="0"/>
    <n v="534000"/>
    <n v="0"/>
    <n v="0"/>
    <s v="0914660204"/>
    <s v="Baotranphamvu@gmail.com"/>
    <s v=""/>
    <x v="1"/>
    <s v=""/>
    <s v="CHECKOUT"/>
    <s v="845"/>
    <m/>
    <n v="533000"/>
    <n v="2"/>
  </r>
  <r>
    <s v="721"/>
    <s v="STD-PNL"/>
    <s v="301"/>
    <s v="Twist Sam"/>
    <s v="05/10/24 22:40"/>
    <s v="06/10/24 11:34"/>
    <n v="640872"/>
    <n v="0"/>
    <n v="640872"/>
    <n v="0"/>
    <n v="0"/>
    <n v="0"/>
    <n v="0"/>
    <n v="640872"/>
    <n v="0"/>
    <s v="+84 203 5640 799"/>
    <s v="stwist.429020@guest.booking.com"/>
    <s v=""/>
    <x v="2"/>
    <s v=""/>
    <s v="CHECKOUT"/>
    <s v="852"/>
    <s v="4948155750_LDCB1F"/>
    <n v="640872"/>
    <n v="1"/>
  </r>
  <r>
    <s v="715"/>
    <s v="STD-PNL"/>
    <s v="201"/>
    <s v="Hoàng Thị Anh"/>
    <s v="04/10/24 14:00"/>
    <s v="07/10/24 08:27"/>
    <n v="1752000"/>
    <n v="0"/>
    <n v="1752000"/>
    <n v="0"/>
    <n v="0"/>
    <n v="0"/>
    <n v="1752000"/>
    <n v="0"/>
    <n v="0"/>
    <s v="0365170622"/>
    <s v=""/>
    <s v="038197002282"/>
    <x v="1"/>
    <s v=""/>
    <s v="CHECKOUT"/>
    <s v="844"/>
    <m/>
    <n v="584000"/>
    <n v="3"/>
  </r>
  <r>
    <s v="625"/>
    <s v="DELUXE-PNL"/>
    <s v="203"/>
    <s v="심 재기"/>
    <s v="05/10/24 23:12"/>
    <s v="07/10/24 11:00"/>
    <n v="1528300"/>
    <n v="0"/>
    <n v="1528300"/>
    <n v="0"/>
    <n v="0"/>
    <n v="0"/>
    <n v="0"/>
    <n v="1528300"/>
    <n v="0"/>
    <s v="821040545427"/>
    <s v=""/>
    <s v=""/>
    <x v="2"/>
    <s v=""/>
    <s v="CHECKOUT"/>
    <s v="747"/>
    <s v="HMXEATCNZX_LDCB1F"/>
    <n v="764150"/>
    <n v="2"/>
  </r>
  <r>
    <s v="722"/>
    <s v="STD-PNL"/>
    <s v="501"/>
    <s v="Hoàng Thanh Ngân Nguyễn"/>
    <s v="06/10/24 14:20"/>
    <s v="07/10/24 12:41"/>
    <n v="503806"/>
    <n v="120000"/>
    <n v="623806"/>
    <n v="0"/>
    <n v="0"/>
    <n v="0"/>
    <n v="120000"/>
    <n v="503806"/>
    <n v="0"/>
    <s v="0915123566"/>
    <s v="thanhngannguyenhoang18@gmail.com"/>
    <s v=""/>
    <x v="2"/>
    <s v=""/>
    <s v="CHECKOUT"/>
    <s v="853"/>
    <s v="334914404_LDCB1F"/>
    <n v="503806"/>
    <n v="1"/>
  </r>
  <r>
    <s v="449"/>
    <s v="SUP-PNL"/>
    <s v="302"/>
    <s v="LAM BAN"/>
    <s v="06/10/24 14:20"/>
    <s v="07/10/24 14:02"/>
    <n v="1167840"/>
    <n v="0"/>
    <n v="1167840"/>
    <n v="0"/>
    <n v="0"/>
    <n v="0"/>
    <n v="0"/>
    <n v="1167840"/>
    <n v="0"/>
    <s v="19187070663"/>
    <s v="nguyenduongyvp@gmail.com"/>
    <s v=""/>
    <x v="2"/>
    <s v=""/>
    <s v="CHECKOUT"/>
    <s v="543"/>
    <s v="771185210_LDCB1F"/>
    <n v="1167840"/>
    <n v="1"/>
  </r>
  <r>
    <s v="719"/>
    <s v="STD-PNL"/>
    <s v="401"/>
    <s v="Hằng Nguyễn"/>
    <s v="04/10/24 16:08"/>
    <s v="08/10/24 11:00"/>
    <n v="1908000"/>
    <n v="0"/>
    <n v="1908000"/>
    <n v="0"/>
    <n v="0"/>
    <n v="0"/>
    <n v="1908000"/>
    <n v="0"/>
    <n v="0"/>
    <s v="0348514486"/>
    <s v="Nguyenhanghd293@gmail.com"/>
    <s v=""/>
    <x v="1"/>
    <s v=""/>
    <s v="CHECKOUT"/>
    <s v="848"/>
    <m/>
    <n v="477000"/>
    <n v="4"/>
  </r>
  <r>
    <s v="728"/>
    <s v="STD-PNL"/>
    <s v="501"/>
    <s v="Dyer Patrick"/>
    <s v="08/10/24 08:46"/>
    <s v="08/10/24 12:37"/>
    <n v="398650"/>
    <n v="0"/>
    <n v="398650"/>
    <n v="0"/>
    <n v="0"/>
    <n v="0"/>
    <n v="0"/>
    <n v="398650"/>
    <n v="0"/>
    <s v="85599908330"/>
    <s v=""/>
    <s v=""/>
    <x v="2"/>
    <s v=""/>
    <s v="CHECKOUT"/>
    <s v="859"/>
    <s v="HMDADEHN4B_LDCB1F"/>
    <n v="39865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FA90BB-4839-47F1-BF31-8A4F5BC32A63}" name="PivotTable2" cacheId="0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>
  <location ref="N80:O85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axis="axisRow" showAll="0">
      <items count="7">
        <item h="1" x="0"/>
        <item x="1"/>
        <item x="3"/>
        <item h="1" x="4"/>
        <item x="2"/>
        <item x="5"/>
        <item t="default"/>
      </items>
    </pivotField>
    <pivotField showAll="0"/>
    <pivotField showAll="0"/>
    <pivotField showAll="0"/>
    <pivotField showAll="0"/>
    <pivotField dataField="1" numFmtId="3" showAll="0"/>
    <pivotField numFmtId="3" showAll="0"/>
  </pivotFields>
  <rowFields count="1">
    <field x="18"/>
  </rowFields>
  <rowItems count="5"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Trung bình của giá tiền phòng" fld="23" subtotal="average" baseField="18" baseItem="1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52EDEA-5F7C-472D-8F38-BD658A949FD4}" name="Table4" displayName="Table4" ref="A3:Y499" totalsRowShown="0">
  <autoFilter ref="A3:Y499" xr:uid="{4652EDEA-5F7C-472D-8F38-BD658A949FD4}"/>
  <tableColumns count="25">
    <tableColumn id="1" xr3:uid="{5EFDC1B2-62C5-4587-8280-9E9CB9D9EB79}" name="Mã đặt phòng"/>
    <tableColumn id="2" xr3:uid="{BFA82D2A-91A0-48F2-B722-52D852DD098E}" name="Loại phòng"/>
    <tableColumn id="3" xr3:uid="{BFBF3850-8D78-43D9-B970-5FCD87C1D294}" name="Tên phòng"/>
    <tableColumn id="4" xr3:uid="{35432AA3-B399-4905-8DF7-F4B08773AB7E}" name="Tên khách"/>
    <tableColumn id="5" xr3:uid="{2DD6D7EE-7BD2-452D-8A7A-DDCA9DFF33D7}" name="Ngày đến"/>
    <tableColumn id="6" xr3:uid="{E2461945-0B1D-4101-8E9A-0522376DC1C2}" name="Ngày đi"/>
    <tableColumn id="7" xr3:uid="{52373A7F-44C8-46F7-87DA-35D2EEA680B4}" name="Tiền phòng"/>
    <tableColumn id="8" xr3:uid="{D935F48C-2ABD-4B76-A04D-410DBCE48072}" name="Dịch vụ"/>
    <tableColumn id="9" xr3:uid="{D14838D1-2547-4B9C-A7FE-FDD21D573F97}" name="Tổng doanh thu"/>
    <tableColumn id="10" xr3:uid="{C76A3038-6DFE-46A4-A136-3D422555BE23}" name="Nợ trước"/>
    <tableColumn id="11" xr3:uid="{71FA6104-7996-4869-A5F7-8A134F948DCF}" name="Tiền mặt"/>
    <tableColumn id="12" xr3:uid="{62826536-166C-4699-8B49-92F72EB4B4DC}" name="Thẻ tín dụng"/>
    <tableColumn id="13" xr3:uid="{4A00A729-AF55-4781-B3EA-AE429A735882}" name="Chuyển khoản"/>
    <tableColumn id="14" xr3:uid="{3B432539-6E15-4BA7-BB90-4BA5D81DB76E}" name="Công nợ"/>
    <tableColumn id="15" xr3:uid="{3DB9EF22-D5DB-483E-A650-3911EEFA8C0F}" name="Còn thiếu"/>
    <tableColumn id="16" xr3:uid="{964144F7-FAC3-44F9-A497-6075C01C09D2}" name="SĐT"/>
    <tableColumn id="17" xr3:uid="{3D5E933B-4ADF-4E41-BAD2-6CE3DA85518A}" name="Email"/>
    <tableColumn id="18" xr3:uid="{4A858771-6BE9-4C34-A855-4D98994BDAFE}" name="CMND/Hộ chiếu"/>
    <tableColumn id="19" xr3:uid="{5037AE9C-F2B6-4BDF-9268-7842F7C01152}" name="Nguồn"/>
    <tableColumn id="20" xr3:uid="{F70251D0-5C66-48BE-8EE3-1D721010D40B}" name="Thị trường"/>
    <tableColumn id="21" xr3:uid="{9635DB69-07D0-442A-8146-B90C4F9BC1B2}" name="Trạng thái"/>
    <tableColumn id="22" xr3:uid="{79658A28-9D83-46B1-AE9E-7DE3103EB289}" name="Số hóa đơn"/>
    <tableColumn id="23" xr3:uid="{37CC182A-C266-4496-9C8C-0054774700E3}" name="Mã CMS"/>
    <tableColumn id="24" xr3:uid="{865161D2-73A1-494C-8BCA-1BB9CAB9F6B7}" name="Giá trung bình"/>
    <tableColumn id="25" xr3:uid="{9B240165-880F-40FB-9BB2-497107194F71}" name="Số đê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8AD0-C1D6-4D2A-A09A-73F683488256}">
  <dimension ref="A1:Z937"/>
  <sheetViews>
    <sheetView zoomScale="46" workbookViewId="0">
      <pane ySplit="1" topLeftCell="A2" activePane="bottomLeft" state="frozen"/>
      <selection pane="bottomLeft" activeCell="Q735" sqref="Q735"/>
    </sheetView>
  </sheetViews>
  <sheetFormatPr defaultColWidth="14.453125" defaultRowHeight="15" customHeight="1" x14ac:dyDescent="0.35"/>
  <cols>
    <col min="1" max="1" width="2.81640625" customWidth="1"/>
    <col min="2" max="2" width="12.7265625" customWidth="1"/>
    <col min="3" max="3" width="17.08984375" customWidth="1"/>
    <col min="4" max="4" width="10.08984375" customWidth="1"/>
    <col min="5" max="5" width="21.453125" customWidth="1"/>
    <col min="6" max="9" width="17.08984375" customWidth="1"/>
    <col min="10" max="10" width="20" customWidth="1"/>
    <col min="11" max="13" width="17.08984375" customWidth="1"/>
    <col min="14" max="14" width="18.54296875" customWidth="1"/>
    <col min="15" max="16" width="17.08984375" customWidth="1"/>
    <col min="17" max="18" width="12.81640625" customWidth="1"/>
    <col min="19" max="19" width="20.7265625" customWidth="1"/>
    <col min="20" max="21" width="14.26953125" customWidth="1"/>
    <col min="22" max="22" width="15.7265625" customWidth="1"/>
    <col min="23" max="23" width="17.08984375" customWidth="1"/>
    <col min="24" max="24" width="28.54296875" customWidth="1"/>
    <col min="25" max="25" width="13.453125" customWidth="1"/>
    <col min="26" max="26" width="12.81640625" customWidth="1"/>
  </cols>
  <sheetData>
    <row r="1" spans="1:26" ht="14.5" x14ac:dyDescent="0.35">
      <c r="A1" s="109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14.5" x14ac:dyDescent="0.35">
      <c r="A2" s="109" t="s">
        <v>1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14.5" x14ac:dyDescent="0.35">
      <c r="A3" s="109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27.5" x14ac:dyDescent="0.55000000000000004">
      <c r="A4" s="110" t="s">
        <v>2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1:26" ht="14.5" x14ac:dyDescent="0.35">
      <c r="A5" s="111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spans="1:26" ht="14.5" x14ac:dyDescent="0.35">
      <c r="A6" s="1"/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</row>
    <row r="7" spans="1:26" ht="14.5" x14ac:dyDescent="0.35">
      <c r="A7" s="2"/>
      <c r="B7" s="3" t="s">
        <v>28</v>
      </c>
      <c r="C7" s="3" t="s">
        <v>29</v>
      </c>
      <c r="D7" s="3" t="s">
        <v>30</v>
      </c>
      <c r="E7" s="3" t="s">
        <v>31</v>
      </c>
      <c r="F7" s="4" t="s">
        <v>32</v>
      </c>
      <c r="G7" s="4" t="s">
        <v>33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3" t="s">
        <v>34</v>
      </c>
      <c r="R7" s="3" t="s">
        <v>34</v>
      </c>
      <c r="S7" s="3" t="s">
        <v>34</v>
      </c>
      <c r="T7" s="3" t="s">
        <v>34</v>
      </c>
      <c r="U7" s="3" t="s">
        <v>34</v>
      </c>
      <c r="V7" s="3" t="s">
        <v>35</v>
      </c>
      <c r="W7" s="3" t="s">
        <v>28</v>
      </c>
      <c r="X7" s="3"/>
      <c r="Y7" s="5">
        <v>0</v>
      </c>
      <c r="Z7" s="5">
        <v>1</v>
      </c>
    </row>
    <row r="8" spans="1:26" ht="14.5" x14ac:dyDescent="0.35">
      <c r="A8" s="2"/>
      <c r="B8" s="3" t="s">
        <v>36</v>
      </c>
      <c r="C8" s="3" t="s">
        <v>29</v>
      </c>
      <c r="D8" s="3" t="s">
        <v>37</v>
      </c>
      <c r="E8" s="3" t="s">
        <v>38</v>
      </c>
      <c r="F8" s="4" t="s">
        <v>39</v>
      </c>
      <c r="G8" s="4" t="s">
        <v>40</v>
      </c>
      <c r="H8" s="5">
        <v>449000</v>
      </c>
      <c r="I8" s="5">
        <v>0</v>
      </c>
      <c r="J8" s="5">
        <v>449000</v>
      </c>
      <c r="K8" s="5">
        <v>0</v>
      </c>
      <c r="L8" s="5">
        <v>449000</v>
      </c>
      <c r="M8" s="5">
        <v>0</v>
      </c>
      <c r="N8" s="5">
        <v>0</v>
      </c>
      <c r="O8" s="5">
        <v>0</v>
      </c>
      <c r="P8" s="5">
        <v>0</v>
      </c>
      <c r="Q8" s="3" t="s">
        <v>34</v>
      </c>
      <c r="R8" s="3" t="s">
        <v>34</v>
      </c>
      <c r="S8" s="3" t="s">
        <v>34</v>
      </c>
      <c r="T8" s="3" t="s">
        <v>41</v>
      </c>
      <c r="U8" s="3" t="s">
        <v>34</v>
      </c>
      <c r="V8" s="3" t="s">
        <v>35</v>
      </c>
      <c r="W8" s="3" t="s">
        <v>36</v>
      </c>
      <c r="X8" s="3"/>
      <c r="Y8" s="5">
        <v>449000</v>
      </c>
      <c r="Z8" s="5">
        <v>1</v>
      </c>
    </row>
    <row r="9" spans="1:26" ht="14.5" x14ac:dyDescent="0.35">
      <c r="A9" s="2"/>
      <c r="B9" s="3" t="s">
        <v>42</v>
      </c>
      <c r="C9" s="3" t="s">
        <v>29</v>
      </c>
      <c r="D9" s="3" t="s">
        <v>43</v>
      </c>
      <c r="E9" s="3" t="s">
        <v>44</v>
      </c>
      <c r="F9" s="4" t="s">
        <v>45</v>
      </c>
      <c r="G9" s="4" t="s">
        <v>46</v>
      </c>
      <c r="H9" s="5">
        <v>784534</v>
      </c>
      <c r="I9" s="5">
        <v>0</v>
      </c>
      <c r="J9" s="5">
        <v>784534</v>
      </c>
      <c r="K9" s="5">
        <v>0</v>
      </c>
      <c r="L9" s="5">
        <v>0</v>
      </c>
      <c r="M9" s="5">
        <v>0</v>
      </c>
      <c r="N9" s="5">
        <v>0</v>
      </c>
      <c r="O9" s="5">
        <v>784534</v>
      </c>
      <c r="P9" s="5">
        <v>0</v>
      </c>
      <c r="Q9" s="3" t="s">
        <v>47</v>
      </c>
      <c r="R9" s="3" t="s">
        <v>34</v>
      </c>
      <c r="S9" s="3" t="s">
        <v>34</v>
      </c>
      <c r="T9" s="3" t="s">
        <v>48</v>
      </c>
      <c r="U9" s="3" t="s">
        <v>34</v>
      </c>
      <c r="V9" s="3" t="s">
        <v>35</v>
      </c>
      <c r="W9" s="3" t="s">
        <v>42</v>
      </c>
      <c r="X9" s="3" t="s">
        <v>49</v>
      </c>
      <c r="Y9" s="5">
        <v>784534</v>
      </c>
      <c r="Z9" s="5">
        <v>1</v>
      </c>
    </row>
    <row r="10" spans="1:26" ht="14.5" x14ac:dyDescent="0.35">
      <c r="A10" s="2"/>
      <c r="B10" s="3" t="s">
        <v>50</v>
      </c>
      <c r="C10" s="3" t="s">
        <v>29</v>
      </c>
      <c r="D10" s="3" t="s">
        <v>43</v>
      </c>
      <c r="E10" s="3" t="s">
        <v>51</v>
      </c>
      <c r="F10" s="4" t="s">
        <v>52</v>
      </c>
      <c r="G10" s="4" t="s">
        <v>52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3"/>
      <c r="R10" s="3"/>
      <c r="S10" s="3"/>
      <c r="T10" s="3" t="s">
        <v>53</v>
      </c>
      <c r="U10" s="3" t="s">
        <v>34</v>
      </c>
      <c r="V10" s="3" t="s">
        <v>35</v>
      </c>
      <c r="W10" s="3" t="s">
        <v>50</v>
      </c>
      <c r="X10" s="3"/>
      <c r="Y10" s="5">
        <v>0</v>
      </c>
      <c r="Z10" s="5">
        <v>1</v>
      </c>
    </row>
    <row r="11" spans="1:26" ht="14.5" x14ac:dyDescent="0.35">
      <c r="A11" s="2"/>
      <c r="B11" s="3" t="s">
        <v>54</v>
      </c>
      <c r="C11" s="3" t="s">
        <v>29</v>
      </c>
      <c r="D11" s="3" t="s">
        <v>37</v>
      </c>
      <c r="E11" s="3" t="s">
        <v>55</v>
      </c>
      <c r="F11" s="4" t="s">
        <v>56</v>
      </c>
      <c r="G11" s="4" t="s">
        <v>57</v>
      </c>
      <c r="H11" s="5">
        <v>449000</v>
      </c>
      <c r="I11" s="5">
        <v>0</v>
      </c>
      <c r="J11" s="5">
        <v>449000</v>
      </c>
      <c r="K11" s="5">
        <v>0</v>
      </c>
      <c r="L11" s="5">
        <v>0</v>
      </c>
      <c r="M11" s="5">
        <v>0</v>
      </c>
      <c r="N11" s="5">
        <v>449000</v>
      </c>
      <c r="O11" s="5">
        <v>0</v>
      </c>
      <c r="P11" s="5">
        <v>0</v>
      </c>
      <c r="Q11" s="3"/>
      <c r="R11" s="3"/>
      <c r="S11" s="3"/>
      <c r="T11" s="3" t="s">
        <v>41</v>
      </c>
      <c r="U11" s="3" t="s">
        <v>34</v>
      </c>
      <c r="V11" s="3" t="s">
        <v>35</v>
      </c>
      <c r="W11" s="3" t="s">
        <v>54</v>
      </c>
      <c r="X11" s="3"/>
      <c r="Y11" s="5">
        <v>449000</v>
      </c>
      <c r="Z11" s="5">
        <v>1</v>
      </c>
    </row>
    <row r="12" spans="1:26" ht="14.5" x14ac:dyDescent="0.35">
      <c r="A12" s="2"/>
      <c r="B12" s="3" t="s">
        <v>58</v>
      </c>
      <c r="C12" s="3" t="s">
        <v>59</v>
      </c>
      <c r="D12" s="3" t="s">
        <v>60</v>
      </c>
      <c r="E12" s="3" t="s">
        <v>61</v>
      </c>
      <c r="F12" s="4" t="s">
        <v>56</v>
      </c>
      <c r="G12" s="4" t="s">
        <v>62</v>
      </c>
      <c r="H12" s="5">
        <v>469000</v>
      </c>
      <c r="I12" s="5">
        <v>19000</v>
      </c>
      <c r="J12" s="5">
        <v>488000</v>
      </c>
      <c r="K12" s="5">
        <v>0</v>
      </c>
      <c r="L12" s="5">
        <v>19000</v>
      </c>
      <c r="M12" s="5">
        <v>0</v>
      </c>
      <c r="N12" s="5">
        <v>469000</v>
      </c>
      <c r="O12" s="5">
        <v>0</v>
      </c>
      <c r="P12" s="5">
        <v>0</v>
      </c>
      <c r="Q12" s="3" t="s">
        <v>34</v>
      </c>
      <c r="R12" s="3" t="s">
        <v>34</v>
      </c>
      <c r="S12" s="3" t="s">
        <v>34</v>
      </c>
      <c r="T12" s="3" t="s">
        <v>41</v>
      </c>
      <c r="U12" s="3" t="s">
        <v>34</v>
      </c>
      <c r="V12" s="3" t="s">
        <v>35</v>
      </c>
      <c r="W12" s="3" t="s">
        <v>58</v>
      </c>
      <c r="X12" s="3"/>
      <c r="Y12" s="5">
        <v>469000</v>
      </c>
      <c r="Z12" s="5">
        <v>1</v>
      </c>
    </row>
    <row r="13" spans="1:26" ht="14.5" x14ac:dyDescent="0.35">
      <c r="A13" s="2"/>
      <c r="B13" s="3" t="s">
        <v>63</v>
      </c>
      <c r="C13" s="3" t="s">
        <v>64</v>
      </c>
      <c r="D13" s="3" t="s">
        <v>65</v>
      </c>
      <c r="E13" s="3" t="s">
        <v>66</v>
      </c>
      <c r="F13" s="4" t="s">
        <v>67</v>
      </c>
      <c r="G13" s="4" t="s">
        <v>68</v>
      </c>
      <c r="H13" s="5">
        <v>585000</v>
      </c>
      <c r="I13" s="5">
        <v>0</v>
      </c>
      <c r="J13" s="5">
        <v>585000</v>
      </c>
      <c r="K13" s="5">
        <v>0</v>
      </c>
      <c r="L13" s="5">
        <v>0</v>
      </c>
      <c r="M13" s="5">
        <v>0</v>
      </c>
      <c r="N13" s="5">
        <v>585000</v>
      </c>
      <c r="O13" s="5">
        <v>0</v>
      </c>
      <c r="P13" s="5">
        <v>0</v>
      </c>
      <c r="Q13" s="3" t="s">
        <v>69</v>
      </c>
      <c r="R13" s="3" t="s">
        <v>34</v>
      </c>
      <c r="S13" s="3" t="s">
        <v>34</v>
      </c>
      <c r="T13" s="3" t="s">
        <v>53</v>
      </c>
      <c r="U13" s="3" t="s">
        <v>34</v>
      </c>
      <c r="V13" s="3" t="s">
        <v>35</v>
      </c>
      <c r="W13" s="3" t="s">
        <v>63</v>
      </c>
      <c r="X13" s="3"/>
      <c r="Y13" s="5">
        <v>585000</v>
      </c>
      <c r="Z13" s="5">
        <v>1</v>
      </c>
    </row>
    <row r="14" spans="1:26" ht="14.5" x14ac:dyDescent="0.35">
      <c r="A14" s="2"/>
      <c r="B14" s="3" t="s">
        <v>70</v>
      </c>
      <c r="C14" s="3" t="s">
        <v>71</v>
      </c>
      <c r="D14" s="3" t="s">
        <v>72</v>
      </c>
      <c r="E14" s="3" t="s">
        <v>73</v>
      </c>
      <c r="F14" s="4" t="s">
        <v>74</v>
      </c>
      <c r="G14" s="4" t="s">
        <v>68</v>
      </c>
      <c r="H14" s="5">
        <v>1530000</v>
      </c>
      <c r="I14" s="5">
        <v>0</v>
      </c>
      <c r="J14" s="5">
        <v>1530000</v>
      </c>
      <c r="K14" s="5">
        <v>0</v>
      </c>
      <c r="L14" s="5">
        <v>0</v>
      </c>
      <c r="M14" s="5">
        <v>0</v>
      </c>
      <c r="N14" s="5">
        <v>0</v>
      </c>
      <c r="O14" s="5">
        <v>1530000</v>
      </c>
      <c r="P14" s="5">
        <v>0</v>
      </c>
      <c r="Q14" s="3" t="s">
        <v>34</v>
      </c>
      <c r="R14" s="3" t="s">
        <v>34</v>
      </c>
      <c r="S14" s="3" t="s">
        <v>34</v>
      </c>
      <c r="T14" s="3" t="s">
        <v>41</v>
      </c>
      <c r="U14" s="3" t="s">
        <v>34</v>
      </c>
      <c r="V14" s="3" t="s">
        <v>35</v>
      </c>
      <c r="W14" s="3" t="s">
        <v>70</v>
      </c>
      <c r="X14" s="3"/>
      <c r="Y14" s="5">
        <v>765000</v>
      </c>
      <c r="Z14" s="5">
        <v>2</v>
      </c>
    </row>
    <row r="15" spans="1:26" ht="14.5" x14ac:dyDescent="0.35">
      <c r="A15" s="2"/>
      <c r="B15" s="3" t="s">
        <v>75</v>
      </c>
      <c r="C15" s="3" t="s">
        <v>64</v>
      </c>
      <c r="D15" s="3" t="s">
        <v>76</v>
      </c>
      <c r="E15" s="3" t="s">
        <v>77</v>
      </c>
      <c r="F15" s="4" t="s">
        <v>78</v>
      </c>
      <c r="G15" s="4" t="s">
        <v>79</v>
      </c>
      <c r="H15" s="5">
        <v>463075</v>
      </c>
      <c r="I15" s="5">
        <v>0</v>
      </c>
      <c r="J15" s="5">
        <v>463075</v>
      </c>
      <c r="K15" s="5">
        <v>0</v>
      </c>
      <c r="L15" s="5">
        <v>0</v>
      </c>
      <c r="M15" s="5">
        <v>0</v>
      </c>
      <c r="N15" s="5">
        <v>0</v>
      </c>
      <c r="O15" s="5">
        <v>463075</v>
      </c>
      <c r="P15" s="5">
        <v>0</v>
      </c>
      <c r="Q15" s="3" t="s">
        <v>80</v>
      </c>
      <c r="R15" s="3" t="s">
        <v>34</v>
      </c>
      <c r="S15" s="3" t="s">
        <v>34</v>
      </c>
      <c r="T15" s="3" t="s">
        <v>48</v>
      </c>
      <c r="U15" s="3" t="s">
        <v>34</v>
      </c>
      <c r="V15" s="3" t="s">
        <v>35</v>
      </c>
      <c r="W15" s="3" t="s">
        <v>75</v>
      </c>
      <c r="X15" s="3" t="s">
        <v>81</v>
      </c>
      <c r="Y15" s="5">
        <v>463075</v>
      </c>
      <c r="Z15" s="5">
        <v>1</v>
      </c>
    </row>
    <row r="16" spans="1:26" ht="14.5" x14ac:dyDescent="0.35">
      <c r="A16" s="2"/>
      <c r="B16" s="3" t="s">
        <v>82</v>
      </c>
      <c r="C16" s="3" t="s">
        <v>64</v>
      </c>
      <c r="D16" s="3" t="s">
        <v>83</v>
      </c>
      <c r="E16" s="3" t="s">
        <v>84</v>
      </c>
      <c r="F16" s="4" t="s">
        <v>85</v>
      </c>
      <c r="G16" s="4" t="s">
        <v>86</v>
      </c>
      <c r="H16" s="5">
        <v>580000</v>
      </c>
      <c r="I16" s="5">
        <v>0</v>
      </c>
      <c r="J16" s="5">
        <v>580000</v>
      </c>
      <c r="K16" s="5">
        <v>0</v>
      </c>
      <c r="L16" s="5">
        <v>580000</v>
      </c>
      <c r="M16" s="5">
        <v>0</v>
      </c>
      <c r="N16" s="5">
        <v>0</v>
      </c>
      <c r="O16" s="5">
        <v>0</v>
      </c>
      <c r="P16" s="5">
        <v>0</v>
      </c>
      <c r="Q16" s="3" t="s">
        <v>87</v>
      </c>
      <c r="R16" s="3" t="s">
        <v>34</v>
      </c>
      <c r="S16" s="3" t="s">
        <v>34</v>
      </c>
      <c r="T16" s="3" t="s">
        <v>41</v>
      </c>
      <c r="U16" s="3" t="s">
        <v>34</v>
      </c>
      <c r="V16" s="3" t="s">
        <v>35</v>
      </c>
      <c r="W16" s="3" t="s">
        <v>82</v>
      </c>
      <c r="X16" s="3"/>
      <c r="Y16" s="5">
        <v>580000</v>
      </c>
      <c r="Z16" s="5">
        <v>1</v>
      </c>
    </row>
    <row r="17" spans="1:26" ht="14.5" x14ac:dyDescent="0.35">
      <c r="A17" s="2"/>
      <c r="B17" s="3" t="s">
        <v>88</v>
      </c>
      <c r="C17" s="3" t="s">
        <v>64</v>
      </c>
      <c r="D17" s="3" t="s">
        <v>89</v>
      </c>
      <c r="E17" s="3" t="s">
        <v>90</v>
      </c>
      <c r="F17" s="4" t="s">
        <v>91</v>
      </c>
      <c r="G17" s="4" t="s">
        <v>92</v>
      </c>
      <c r="H17" s="5">
        <v>585000</v>
      </c>
      <c r="I17" s="5">
        <v>0</v>
      </c>
      <c r="J17" s="5">
        <v>585000</v>
      </c>
      <c r="K17" s="5">
        <v>0</v>
      </c>
      <c r="L17" s="5">
        <v>0</v>
      </c>
      <c r="M17" s="5">
        <v>0</v>
      </c>
      <c r="N17" s="5">
        <v>585000</v>
      </c>
      <c r="O17" s="5">
        <v>0</v>
      </c>
      <c r="P17" s="5">
        <v>0</v>
      </c>
      <c r="Q17" s="3" t="s">
        <v>93</v>
      </c>
      <c r="R17" s="3" t="s">
        <v>34</v>
      </c>
      <c r="S17" s="3" t="s">
        <v>34</v>
      </c>
      <c r="T17" s="3" t="s">
        <v>53</v>
      </c>
      <c r="U17" s="3" t="s">
        <v>34</v>
      </c>
      <c r="V17" s="3" t="s">
        <v>35</v>
      </c>
      <c r="W17" s="3" t="s">
        <v>88</v>
      </c>
      <c r="X17" s="3"/>
      <c r="Y17" s="5">
        <v>585000</v>
      </c>
      <c r="Z17" s="5">
        <v>1</v>
      </c>
    </row>
    <row r="18" spans="1:26" ht="14.5" x14ac:dyDescent="0.35">
      <c r="A18" s="2"/>
      <c r="B18" s="3" t="s">
        <v>94</v>
      </c>
      <c r="C18" s="3" t="s">
        <v>71</v>
      </c>
      <c r="D18" s="3" t="s">
        <v>95</v>
      </c>
      <c r="E18" s="3" t="s">
        <v>96</v>
      </c>
      <c r="F18" s="4" t="s">
        <v>97</v>
      </c>
      <c r="G18" s="4" t="s">
        <v>92</v>
      </c>
      <c r="H18" s="5">
        <v>700000</v>
      </c>
      <c r="I18" s="5">
        <v>0</v>
      </c>
      <c r="J18" s="5">
        <v>700000</v>
      </c>
      <c r="K18" s="5">
        <v>0</v>
      </c>
      <c r="L18" s="5">
        <v>0</v>
      </c>
      <c r="M18" s="5">
        <v>0</v>
      </c>
      <c r="N18" s="5">
        <v>0</v>
      </c>
      <c r="O18" s="5">
        <v>700000</v>
      </c>
      <c r="P18" s="5">
        <v>0</v>
      </c>
      <c r="Q18" s="3" t="s">
        <v>34</v>
      </c>
      <c r="R18" s="3" t="s">
        <v>34</v>
      </c>
      <c r="S18" s="3" t="s">
        <v>34</v>
      </c>
      <c r="T18" s="3" t="s">
        <v>41</v>
      </c>
      <c r="U18" s="3" t="s">
        <v>34</v>
      </c>
      <c r="V18" s="3" t="s">
        <v>35</v>
      </c>
      <c r="W18" s="3" t="s">
        <v>94</v>
      </c>
      <c r="X18" s="3"/>
      <c r="Y18" s="5">
        <v>700000</v>
      </c>
      <c r="Z18" s="5">
        <v>1</v>
      </c>
    </row>
    <row r="19" spans="1:26" ht="14.5" x14ac:dyDescent="0.35">
      <c r="A19" s="2"/>
      <c r="B19" s="3" t="s">
        <v>98</v>
      </c>
      <c r="C19" s="3" t="s">
        <v>64</v>
      </c>
      <c r="D19" s="3" t="s">
        <v>99</v>
      </c>
      <c r="E19" s="3" t="s">
        <v>100</v>
      </c>
      <c r="F19" s="4" t="s">
        <v>101</v>
      </c>
      <c r="G19" s="4" t="s">
        <v>102</v>
      </c>
      <c r="H19" s="5">
        <v>825000</v>
      </c>
      <c r="I19" s="5">
        <v>0</v>
      </c>
      <c r="J19" s="5">
        <v>825000</v>
      </c>
      <c r="K19" s="5">
        <v>0</v>
      </c>
      <c r="L19" s="5">
        <v>240000</v>
      </c>
      <c r="M19" s="5">
        <v>0</v>
      </c>
      <c r="N19" s="5">
        <v>585000</v>
      </c>
      <c r="O19" s="5">
        <v>0</v>
      </c>
      <c r="P19" s="5">
        <v>0</v>
      </c>
      <c r="Q19" s="3" t="s">
        <v>103</v>
      </c>
      <c r="R19" s="3" t="s">
        <v>34</v>
      </c>
      <c r="S19" s="3" t="s">
        <v>34</v>
      </c>
      <c r="T19" s="3" t="s">
        <v>41</v>
      </c>
      <c r="U19" s="3" t="s">
        <v>34</v>
      </c>
      <c r="V19" s="3" t="s">
        <v>35</v>
      </c>
      <c r="W19" s="3" t="s">
        <v>98</v>
      </c>
      <c r="X19" s="3"/>
      <c r="Y19" s="5">
        <v>825000</v>
      </c>
      <c r="Z19" s="5">
        <v>1</v>
      </c>
    </row>
    <row r="20" spans="1:26" ht="15.75" customHeight="1" x14ac:dyDescent="0.35">
      <c r="A20" s="2"/>
      <c r="B20" s="3" t="s">
        <v>104</v>
      </c>
      <c r="C20" s="3" t="s">
        <v>64</v>
      </c>
      <c r="D20" s="3" t="s">
        <v>65</v>
      </c>
      <c r="E20" s="3" t="s">
        <v>105</v>
      </c>
      <c r="F20" s="4" t="s">
        <v>106</v>
      </c>
      <c r="G20" s="4" t="s">
        <v>107</v>
      </c>
      <c r="H20" s="5">
        <v>575000</v>
      </c>
      <c r="I20" s="5">
        <v>0</v>
      </c>
      <c r="J20" s="5">
        <v>575000</v>
      </c>
      <c r="K20" s="5">
        <v>0</v>
      </c>
      <c r="L20" s="5">
        <v>0</v>
      </c>
      <c r="M20" s="5">
        <v>0</v>
      </c>
      <c r="N20" s="5">
        <v>0</v>
      </c>
      <c r="O20" s="5">
        <v>575000</v>
      </c>
      <c r="P20" s="5">
        <v>0</v>
      </c>
      <c r="Q20" s="3" t="s">
        <v>108</v>
      </c>
      <c r="R20" s="3"/>
      <c r="S20" s="3"/>
      <c r="T20" s="3" t="s">
        <v>53</v>
      </c>
      <c r="U20" s="3" t="s">
        <v>34</v>
      </c>
      <c r="V20" s="3" t="s">
        <v>35</v>
      </c>
      <c r="W20" s="3" t="s">
        <v>104</v>
      </c>
      <c r="X20" s="3"/>
      <c r="Y20" s="5">
        <v>575000</v>
      </c>
      <c r="Z20" s="5">
        <v>1</v>
      </c>
    </row>
    <row r="21" spans="1:26" ht="15.75" customHeight="1" x14ac:dyDescent="0.35">
      <c r="A21" s="2"/>
      <c r="B21" s="3" t="s">
        <v>109</v>
      </c>
      <c r="C21" s="3" t="s">
        <v>29</v>
      </c>
      <c r="D21" s="3" t="s">
        <v>110</v>
      </c>
      <c r="E21" s="3" t="s">
        <v>111</v>
      </c>
      <c r="F21" s="4" t="s">
        <v>112</v>
      </c>
      <c r="G21" s="4" t="s">
        <v>113</v>
      </c>
      <c r="H21" s="5">
        <v>585000</v>
      </c>
      <c r="I21" s="5">
        <v>0</v>
      </c>
      <c r="J21" s="5">
        <v>555000</v>
      </c>
      <c r="K21" s="5">
        <v>0</v>
      </c>
      <c r="L21" s="5">
        <v>0</v>
      </c>
      <c r="M21" s="5">
        <v>0</v>
      </c>
      <c r="N21" s="5">
        <v>555000</v>
      </c>
      <c r="O21" s="5">
        <v>0</v>
      </c>
      <c r="P21" s="5">
        <v>0</v>
      </c>
      <c r="Q21" s="3" t="s">
        <v>34</v>
      </c>
      <c r="R21" s="3" t="s">
        <v>34</v>
      </c>
      <c r="S21" s="3" t="s">
        <v>114</v>
      </c>
      <c r="T21" s="3" t="s">
        <v>41</v>
      </c>
      <c r="U21" s="3" t="s">
        <v>34</v>
      </c>
      <c r="V21" s="3" t="s">
        <v>35</v>
      </c>
      <c r="W21" s="3" t="s">
        <v>115</v>
      </c>
      <c r="X21" s="3"/>
      <c r="Y21" s="5">
        <v>585000</v>
      </c>
      <c r="Z21" s="5">
        <v>1</v>
      </c>
    </row>
    <row r="22" spans="1:26" ht="15.75" customHeight="1" x14ac:dyDescent="0.35">
      <c r="A22" s="2"/>
      <c r="B22" s="3" t="s">
        <v>116</v>
      </c>
      <c r="C22" s="3" t="s">
        <v>71</v>
      </c>
      <c r="D22" s="3" t="s">
        <v>95</v>
      </c>
      <c r="E22" s="3" t="s">
        <v>117</v>
      </c>
      <c r="F22" s="4" t="s">
        <v>118</v>
      </c>
      <c r="G22" s="4" t="s">
        <v>113</v>
      </c>
      <c r="H22" s="5">
        <v>804667</v>
      </c>
      <c r="I22" s="5">
        <v>0</v>
      </c>
      <c r="J22" s="5">
        <v>804667</v>
      </c>
      <c r="K22" s="5">
        <v>0</v>
      </c>
      <c r="L22" s="5">
        <v>0</v>
      </c>
      <c r="M22" s="5">
        <v>0</v>
      </c>
      <c r="N22" s="5">
        <v>0</v>
      </c>
      <c r="O22" s="5">
        <v>804667</v>
      </c>
      <c r="P22" s="5">
        <v>0</v>
      </c>
      <c r="Q22" s="3" t="s">
        <v>34</v>
      </c>
      <c r="R22" s="3" t="s">
        <v>34</v>
      </c>
      <c r="S22" s="3" t="s">
        <v>34</v>
      </c>
      <c r="T22" s="3" t="s">
        <v>119</v>
      </c>
      <c r="U22" s="3" t="s">
        <v>34</v>
      </c>
      <c r="V22" s="3" t="s">
        <v>35</v>
      </c>
      <c r="W22" s="3" t="s">
        <v>120</v>
      </c>
      <c r="X22" s="3"/>
      <c r="Y22" s="5">
        <v>804667</v>
      </c>
      <c r="Z22" s="5">
        <v>1</v>
      </c>
    </row>
    <row r="23" spans="1:26" ht="15.75" customHeight="1" x14ac:dyDescent="0.35">
      <c r="A23" s="2"/>
      <c r="B23" s="3" t="s">
        <v>121</v>
      </c>
      <c r="C23" s="3" t="s">
        <v>59</v>
      </c>
      <c r="D23" s="3" t="s">
        <v>122</v>
      </c>
      <c r="E23" s="3" t="s">
        <v>123</v>
      </c>
      <c r="F23" s="4" t="s">
        <v>124</v>
      </c>
      <c r="G23" s="4" t="s">
        <v>125</v>
      </c>
      <c r="H23" s="5">
        <v>2042000</v>
      </c>
      <c r="I23" s="5">
        <v>200000</v>
      </c>
      <c r="J23" s="5">
        <v>2242000</v>
      </c>
      <c r="K23" s="5">
        <v>0</v>
      </c>
      <c r="L23" s="5">
        <v>1570000</v>
      </c>
      <c r="M23" s="5">
        <v>0</v>
      </c>
      <c r="N23" s="5">
        <v>672000</v>
      </c>
      <c r="O23" s="5">
        <v>0</v>
      </c>
      <c r="P23" s="5">
        <v>0</v>
      </c>
      <c r="Q23" s="3" t="s">
        <v>126</v>
      </c>
      <c r="R23" s="3" t="s">
        <v>34</v>
      </c>
      <c r="S23" s="3" t="s">
        <v>34</v>
      </c>
      <c r="T23" s="3" t="s">
        <v>41</v>
      </c>
      <c r="U23" s="3" t="s">
        <v>34</v>
      </c>
      <c r="V23" s="3" t="s">
        <v>35</v>
      </c>
      <c r="W23" s="3" t="s">
        <v>121</v>
      </c>
      <c r="X23" s="3"/>
      <c r="Y23" s="5">
        <v>1021000</v>
      </c>
      <c r="Z23" s="5">
        <v>2</v>
      </c>
    </row>
    <row r="24" spans="1:26" ht="15.75" customHeight="1" x14ac:dyDescent="0.35">
      <c r="A24" s="2"/>
      <c r="B24" s="3" t="s">
        <v>127</v>
      </c>
      <c r="C24" s="3" t="s">
        <v>64</v>
      </c>
      <c r="D24" s="3" t="s">
        <v>65</v>
      </c>
      <c r="E24" s="3" t="s">
        <v>128</v>
      </c>
      <c r="F24" s="4" t="s">
        <v>129</v>
      </c>
      <c r="G24" s="4" t="s">
        <v>130</v>
      </c>
      <c r="H24" s="5">
        <v>529000</v>
      </c>
      <c r="I24" s="5">
        <v>0</v>
      </c>
      <c r="J24" s="5">
        <v>529000</v>
      </c>
      <c r="K24" s="5">
        <v>0</v>
      </c>
      <c r="L24" s="5">
        <v>0</v>
      </c>
      <c r="M24" s="5">
        <v>0</v>
      </c>
      <c r="N24" s="5">
        <v>529000</v>
      </c>
      <c r="O24" s="5">
        <v>0</v>
      </c>
      <c r="P24" s="5">
        <v>0</v>
      </c>
      <c r="Q24" s="3" t="s">
        <v>131</v>
      </c>
      <c r="R24" s="3" t="s">
        <v>34</v>
      </c>
      <c r="S24" s="3" t="s">
        <v>34</v>
      </c>
      <c r="T24" s="3" t="s">
        <v>53</v>
      </c>
      <c r="U24" s="3" t="s">
        <v>34</v>
      </c>
      <c r="V24" s="3" t="s">
        <v>35</v>
      </c>
      <c r="W24" s="3" t="s">
        <v>132</v>
      </c>
      <c r="X24" s="3"/>
      <c r="Y24" s="5">
        <v>529000</v>
      </c>
      <c r="Z24" s="5">
        <v>1</v>
      </c>
    </row>
    <row r="25" spans="1:26" ht="15.75" customHeight="1" x14ac:dyDescent="0.35">
      <c r="A25" s="2"/>
      <c r="B25" s="3" t="s">
        <v>133</v>
      </c>
      <c r="C25" s="3" t="s">
        <v>29</v>
      </c>
      <c r="D25" s="3" t="s">
        <v>37</v>
      </c>
      <c r="E25" s="3" t="s">
        <v>134</v>
      </c>
      <c r="F25" s="4" t="s">
        <v>135</v>
      </c>
      <c r="G25" s="4" t="s">
        <v>136</v>
      </c>
      <c r="H25" s="5">
        <v>899000</v>
      </c>
      <c r="I25" s="5">
        <v>0</v>
      </c>
      <c r="J25" s="5">
        <v>809100</v>
      </c>
      <c r="K25" s="5">
        <v>0</v>
      </c>
      <c r="L25" s="5">
        <v>0</v>
      </c>
      <c r="M25" s="5">
        <v>0</v>
      </c>
      <c r="N25" s="5">
        <v>809100</v>
      </c>
      <c r="O25" s="5">
        <v>0</v>
      </c>
      <c r="P25" s="5">
        <v>0</v>
      </c>
      <c r="Q25" s="3" t="s">
        <v>137</v>
      </c>
      <c r="R25" s="3" t="s">
        <v>138</v>
      </c>
      <c r="S25" s="3" t="s">
        <v>34</v>
      </c>
      <c r="T25" s="3" t="s">
        <v>48</v>
      </c>
      <c r="U25" s="3" t="s">
        <v>34</v>
      </c>
      <c r="V25" s="3" t="s">
        <v>35</v>
      </c>
      <c r="W25" s="3" t="s">
        <v>139</v>
      </c>
      <c r="X25" s="3" t="s">
        <v>140</v>
      </c>
      <c r="Y25" s="5">
        <v>899000</v>
      </c>
      <c r="Z25" s="5">
        <v>1</v>
      </c>
    </row>
    <row r="26" spans="1:26" ht="15.75" customHeight="1" x14ac:dyDescent="0.35">
      <c r="A26" s="2"/>
      <c r="B26" s="3" t="s">
        <v>109</v>
      </c>
      <c r="C26" s="3" t="s">
        <v>64</v>
      </c>
      <c r="D26" s="3" t="s">
        <v>89</v>
      </c>
      <c r="E26" s="3" t="s">
        <v>141</v>
      </c>
      <c r="F26" s="4" t="s">
        <v>112</v>
      </c>
      <c r="G26" s="4" t="s">
        <v>142</v>
      </c>
      <c r="H26" s="5">
        <v>990000</v>
      </c>
      <c r="I26" s="5">
        <v>0</v>
      </c>
      <c r="J26" s="5">
        <v>990000</v>
      </c>
      <c r="K26" s="5">
        <v>0</v>
      </c>
      <c r="L26" s="5">
        <v>0</v>
      </c>
      <c r="M26" s="5">
        <v>0</v>
      </c>
      <c r="N26" s="5">
        <v>990000</v>
      </c>
      <c r="O26" s="5">
        <v>0</v>
      </c>
      <c r="P26" s="5">
        <v>0</v>
      </c>
      <c r="Q26" s="3" t="s">
        <v>143</v>
      </c>
      <c r="R26" s="3" t="s">
        <v>34</v>
      </c>
      <c r="S26" s="3" t="s">
        <v>144</v>
      </c>
      <c r="T26" s="3" t="s">
        <v>41</v>
      </c>
      <c r="U26" s="3" t="s">
        <v>34</v>
      </c>
      <c r="V26" s="3" t="s">
        <v>35</v>
      </c>
      <c r="W26" s="3" t="s">
        <v>109</v>
      </c>
      <c r="X26" s="3"/>
      <c r="Y26" s="5">
        <v>495000</v>
      </c>
      <c r="Z26" s="5">
        <v>2</v>
      </c>
    </row>
    <row r="27" spans="1:26" ht="15.75" customHeight="1" x14ac:dyDescent="0.35">
      <c r="A27" s="2"/>
      <c r="B27" s="3" t="s">
        <v>145</v>
      </c>
      <c r="C27" s="3" t="s">
        <v>64</v>
      </c>
      <c r="D27" s="3" t="s">
        <v>65</v>
      </c>
      <c r="E27" s="3" t="s">
        <v>146</v>
      </c>
      <c r="F27" s="4" t="s">
        <v>147</v>
      </c>
      <c r="G27" s="4" t="s">
        <v>148</v>
      </c>
      <c r="H27" s="5">
        <v>494000</v>
      </c>
      <c r="I27" s="5">
        <v>19000</v>
      </c>
      <c r="J27" s="5">
        <v>513000</v>
      </c>
      <c r="K27" s="5">
        <v>0</v>
      </c>
      <c r="L27" s="5">
        <v>19000</v>
      </c>
      <c r="M27" s="5">
        <v>0</v>
      </c>
      <c r="N27" s="5">
        <v>494000</v>
      </c>
      <c r="O27" s="5">
        <v>0</v>
      </c>
      <c r="P27" s="5">
        <v>0</v>
      </c>
      <c r="Q27" s="3" t="s">
        <v>149</v>
      </c>
      <c r="R27" s="3" t="s">
        <v>34</v>
      </c>
      <c r="S27" s="3" t="s">
        <v>34</v>
      </c>
      <c r="T27" s="3" t="s">
        <v>53</v>
      </c>
      <c r="U27" s="3" t="s">
        <v>34</v>
      </c>
      <c r="V27" s="3" t="s">
        <v>35</v>
      </c>
      <c r="W27" s="3" t="s">
        <v>133</v>
      </c>
      <c r="X27" s="3"/>
      <c r="Y27" s="5">
        <v>494000</v>
      </c>
      <c r="Z27" s="5">
        <v>1</v>
      </c>
    </row>
    <row r="28" spans="1:26" ht="15.75" customHeight="1" x14ac:dyDescent="0.35">
      <c r="A28" s="2"/>
      <c r="B28" s="3" t="s">
        <v>115</v>
      </c>
      <c r="C28" s="3" t="s">
        <v>59</v>
      </c>
      <c r="D28" s="3" t="s">
        <v>122</v>
      </c>
      <c r="E28" s="3" t="s">
        <v>150</v>
      </c>
      <c r="F28" s="4" t="s">
        <v>151</v>
      </c>
      <c r="G28" s="4" t="s">
        <v>152</v>
      </c>
      <c r="H28" s="5">
        <v>1173334</v>
      </c>
      <c r="I28" s="5">
        <v>29000</v>
      </c>
      <c r="J28" s="5">
        <v>1202334</v>
      </c>
      <c r="K28" s="5">
        <v>0</v>
      </c>
      <c r="L28" s="5">
        <v>29000</v>
      </c>
      <c r="M28" s="5">
        <v>0</v>
      </c>
      <c r="N28" s="5">
        <v>1173334</v>
      </c>
      <c r="O28" s="5">
        <v>0</v>
      </c>
      <c r="P28" s="5">
        <v>0</v>
      </c>
      <c r="Q28" s="3" t="s">
        <v>153</v>
      </c>
      <c r="R28" s="3" t="s">
        <v>34</v>
      </c>
      <c r="S28" s="3" t="s">
        <v>34</v>
      </c>
      <c r="T28" s="3" t="s">
        <v>41</v>
      </c>
      <c r="U28" s="3" t="s">
        <v>34</v>
      </c>
      <c r="V28" s="3" t="s">
        <v>35</v>
      </c>
      <c r="W28" s="3" t="s">
        <v>116</v>
      </c>
      <c r="X28" s="3"/>
      <c r="Y28" s="5">
        <v>586667</v>
      </c>
      <c r="Z28" s="5">
        <v>2</v>
      </c>
    </row>
    <row r="29" spans="1:26" ht="15.75" customHeight="1" x14ac:dyDescent="0.35">
      <c r="A29" s="2"/>
      <c r="B29" s="3" t="s">
        <v>154</v>
      </c>
      <c r="C29" s="3" t="s">
        <v>64</v>
      </c>
      <c r="D29" s="3" t="s">
        <v>83</v>
      </c>
      <c r="E29" s="3" t="s">
        <v>155</v>
      </c>
      <c r="F29" s="4" t="s">
        <v>156</v>
      </c>
      <c r="G29" s="4" t="s">
        <v>152</v>
      </c>
      <c r="H29" s="5">
        <v>1485000</v>
      </c>
      <c r="I29" s="5">
        <v>0</v>
      </c>
      <c r="J29" s="5">
        <v>1485000</v>
      </c>
      <c r="K29" s="5">
        <v>0</v>
      </c>
      <c r="L29" s="5">
        <v>0</v>
      </c>
      <c r="M29" s="5">
        <v>0</v>
      </c>
      <c r="N29" s="5">
        <v>1485000</v>
      </c>
      <c r="O29" s="5">
        <v>0</v>
      </c>
      <c r="P29" s="5">
        <v>0</v>
      </c>
      <c r="Q29" s="3" t="s">
        <v>157</v>
      </c>
      <c r="R29" s="3"/>
      <c r="S29" s="3"/>
      <c r="T29" s="3" t="s">
        <v>41</v>
      </c>
      <c r="U29" s="3" t="s">
        <v>34</v>
      </c>
      <c r="V29" s="3" t="s">
        <v>35</v>
      </c>
      <c r="W29" s="3" t="s">
        <v>145</v>
      </c>
      <c r="X29" s="3"/>
      <c r="Y29" s="5">
        <v>495000</v>
      </c>
      <c r="Z29" s="5">
        <v>3</v>
      </c>
    </row>
    <row r="30" spans="1:26" ht="15.75" customHeight="1" x14ac:dyDescent="0.35">
      <c r="A30" s="2"/>
      <c r="B30" s="3" t="s">
        <v>158</v>
      </c>
      <c r="C30" s="3" t="s">
        <v>29</v>
      </c>
      <c r="D30" s="3" t="s">
        <v>37</v>
      </c>
      <c r="E30" s="3" t="s">
        <v>159</v>
      </c>
      <c r="F30" s="4" t="s">
        <v>160</v>
      </c>
      <c r="G30" s="4" t="s">
        <v>152</v>
      </c>
      <c r="H30" s="5">
        <v>899000</v>
      </c>
      <c r="I30" s="5">
        <v>0</v>
      </c>
      <c r="J30" s="5">
        <v>899000</v>
      </c>
      <c r="K30" s="5">
        <v>0</v>
      </c>
      <c r="L30" s="5">
        <v>0</v>
      </c>
      <c r="M30" s="5">
        <v>0</v>
      </c>
      <c r="N30" s="5">
        <v>899000</v>
      </c>
      <c r="O30" s="5">
        <v>0</v>
      </c>
      <c r="P30" s="5">
        <v>0</v>
      </c>
      <c r="Q30" s="3" t="s">
        <v>161</v>
      </c>
      <c r="R30" s="3" t="s">
        <v>34</v>
      </c>
      <c r="S30" s="3" t="s">
        <v>34</v>
      </c>
      <c r="T30" s="3" t="s">
        <v>41</v>
      </c>
      <c r="U30" s="3" t="s">
        <v>34</v>
      </c>
      <c r="V30" s="3" t="s">
        <v>35</v>
      </c>
      <c r="W30" s="3" t="s">
        <v>162</v>
      </c>
      <c r="X30" s="3"/>
      <c r="Y30" s="5">
        <v>899000</v>
      </c>
      <c r="Z30" s="5">
        <v>1</v>
      </c>
    </row>
    <row r="31" spans="1:26" ht="15.75" customHeight="1" x14ac:dyDescent="0.35">
      <c r="A31" s="2"/>
      <c r="B31" s="3" t="s">
        <v>139</v>
      </c>
      <c r="C31" s="3" t="s">
        <v>29</v>
      </c>
      <c r="D31" s="3" t="s">
        <v>30</v>
      </c>
      <c r="E31" s="3" t="s">
        <v>163</v>
      </c>
      <c r="F31" s="4" t="s">
        <v>164</v>
      </c>
      <c r="G31" s="4" t="s">
        <v>152</v>
      </c>
      <c r="H31" s="5">
        <v>641656</v>
      </c>
      <c r="I31" s="5">
        <v>0</v>
      </c>
      <c r="J31" s="5">
        <v>641656</v>
      </c>
      <c r="K31" s="5">
        <v>0</v>
      </c>
      <c r="L31" s="5">
        <v>0</v>
      </c>
      <c r="M31" s="5">
        <v>0</v>
      </c>
      <c r="N31" s="5">
        <v>0</v>
      </c>
      <c r="O31" s="5">
        <v>641656</v>
      </c>
      <c r="P31" s="5">
        <v>0</v>
      </c>
      <c r="Q31" s="3" t="s">
        <v>165</v>
      </c>
      <c r="R31" s="3" t="s">
        <v>34</v>
      </c>
      <c r="S31" s="3" t="s">
        <v>34</v>
      </c>
      <c r="T31" s="3" t="s">
        <v>48</v>
      </c>
      <c r="U31" s="3" t="s">
        <v>34</v>
      </c>
      <c r="V31" s="3" t="s">
        <v>35</v>
      </c>
      <c r="W31" s="3" t="s">
        <v>166</v>
      </c>
      <c r="X31" s="3" t="s">
        <v>167</v>
      </c>
      <c r="Y31" s="5">
        <v>641656</v>
      </c>
      <c r="Z31" s="5">
        <v>1</v>
      </c>
    </row>
    <row r="32" spans="1:26" ht="15.75" customHeight="1" x14ac:dyDescent="0.35">
      <c r="A32" s="2"/>
      <c r="B32" s="3" t="s">
        <v>132</v>
      </c>
      <c r="C32" s="3" t="s">
        <v>29</v>
      </c>
      <c r="D32" s="3" t="s">
        <v>43</v>
      </c>
      <c r="E32" s="3" t="s">
        <v>168</v>
      </c>
      <c r="F32" s="4" t="s">
        <v>169</v>
      </c>
      <c r="G32" s="4" t="s">
        <v>170</v>
      </c>
      <c r="H32" s="5">
        <v>467587</v>
      </c>
      <c r="I32" s="5">
        <v>39000</v>
      </c>
      <c r="J32" s="5">
        <v>506587</v>
      </c>
      <c r="K32" s="5">
        <v>0</v>
      </c>
      <c r="L32" s="5">
        <v>39000</v>
      </c>
      <c r="M32" s="5">
        <v>0</v>
      </c>
      <c r="N32" s="5">
        <v>0</v>
      </c>
      <c r="O32" s="5">
        <v>467587</v>
      </c>
      <c r="P32" s="5">
        <v>0</v>
      </c>
      <c r="Q32" s="3" t="s">
        <v>34</v>
      </c>
      <c r="R32" s="3" t="s">
        <v>34</v>
      </c>
      <c r="S32" s="3" t="s">
        <v>34</v>
      </c>
      <c r="T32" s="3" t="s">
        <v>34</v>
      </c>
      <c r="U32" s="3" t="s">
        <v>34</v>
      </c>
      <c r="V32" s="3" t="s">
        <v>35</v>
      </c>
      <c r="W32" s="3" t="s">
        <v>171</v>
      </c>
      <c r="X32" s="3"/>
      <c r="Y32" s="5">
        <v>467587</v>
      </c>
      <c r="Z32" s="5">
        <v>1</v>
      </c>
    </row>
    <row r="33" spans="1:26" ht="15.75" customHeight="1" x14ac:dyDescent="0.35">
      <c r="A33" s="2"/>
      <c r="B33" s="3" t="s">
        <v>172</v>
      </c>
      <c r="C33" s="3" t="s">
        <v>64</v>
      </c>
      <c r="D33" s="3" t="s">
        <v>173</v>
      </c>
      <c r="E33" s="3" t="s">
        <v>174</v>
      </c>
      <c r="F33" s="4" t="s">
        <v>175</v>
      </c>
      <c r="G33" s="4" t="s">
        <v>170</v>
      </c>
      <c r="H33" s="5">
        <v>400000</v>
      </c>
      <c r="I33" s="5">
        <v>0</v>
      </c>
      <c r="J33" s="5">
        <v>400000</v>
      </c>
      <c r="K33" s="5">
        <v>0</v>
      </c>
      <c r="L33" s="5">
        <v>0</v>
      </c>
      <c r="M33" s="5">
        <v>0</v>
      </c>
      <c r="N33" s="5">
        <v>400000</v>
      </c>
      <c r="O33" s="5">
        <v>0</v>
      </c>
      <c r="P33" s="5">
        <v>0</v>
      </c>
      <c r="Q33" s="3" t="s">
        <v>176</v>
      </c>
      <c r="R33" s="3" t="s">
        <v>34</v>
      </c>
      <c r="S33" s="3" t="s">
        <v>34</v>
      </c>
      <c r="T33" s="3" t="s">
        <v>41</v>
      </c>
      <c r="U33" s="3" t="s">
        <v>34</v>
      </c>
      <c r="V33" s="3" t="s">
        <v>35</v>
      </c>
      <c r="W33" s="3" t="s">
        <v>177</v>
      </c>
      <c r="X33" s="3"/>
      <c r="Y33" s="5">
        <v>400000</v>
      </c>
      <c r="Z33" s="5">
        <v>1</v>
      </c>
    </row>
    <row r="34" spans="1:26" ht="15.75" customHeight="1" x14ac:dyDescent="0.35">
      <c r="A34" s="2"/>
      <c r="B34" s="3" t="s">
        <v>115</v>
      </c>
      <c r="C34" s="3" t="s">
        <v>71</v>
      </c>
      <c r="D34" s="3" t="s">
        <v>95</v>
      </c>
      <c r="E34" s="3" t="s">
        <v>150</v>
      </c>
      <c r="F34" s="4" t="s">
        <v>151</v>
      </c>
      <c r="G34" s="4" t="s">
        <v>178</v>
      </c>
      <c r="H34" s="5">
        <v>1833334</v>
      </c>
      <c r="I34" s="5">
        <v>0</v>
      </c>
      <c r="J34" s="5">
        <v>1833334</v>
      </c>
      <c r="K34" s="5">
        <v>0</v>
      </c>
      <c r="L34" s="5">
        <v>580000</v>
      </c>
      <c r="M34" s="5">
        <v>0</v>
      </c>
      <c r="N34" s="5">
        <v>1253334</v>
      </c>
      <c r="O34" s="5">
        <v>0</v>
      </c>
      <c r="P34" s="5">
        <v>0</v>
      </c>
      <c r="Q34" s="3" t="s">
        <v>153</v>
      </c>
      <c r="R34" s="3" t="s">
        <v>34</v>
      </c>
      <c r="S34" s="3" t="s">
        <v>34</v>
      </c>
      <c r="T34" s="3" t="s">
        <v>41</v>
      </c>
      <c r="U34" s="3" t="s">
        <v>34</v>
      </c>
      <c r="V34" s="3" t="s">
        <v>35</v>
      </c>
      <c r="W34" s="3" t="s">
        <v>179</v>
      </c>
      <c r="X34" s="3"/>
      <c r="Y34" s="5">
        <v>916667</v>
      </c>
      <c r="Z34" s="5">
        <v>2</v>
      </c>
    </row>
    <row r="35" spans="1:26" ht="15.75" customHeight="1" x14ac:dyDescent="0.35">
      <c r="A35" s="2"/>
      <c r="B35" s="3" t="s">
        <v>115</v>
      </c>
      <c r="C35" s="3" t="s">
        <v>71</v>
      </c>
      <c r="D35" s="3" t="s">
        <v>72</v>
      </c>
      <c r="E35" s="3" t="s">
        <v>150</v>
      </c>
      <c r="F35" s="4" t="s">
        <v>151</v>
      </c>
      <c r="G35" s="4" t="s">
        <v>180</v>
      </c>
      <c r="H35" s="5">
        <v>1833332</v>
      </c>
      <c r="I35" s="5">
        <v>0</v>
      </c>
      <c r="J35" s="5">
        <v>1833332</v>
      </c>
      <c r="K35" s="5">
        <v>0</v>
      </c>
      <c r="L35" s="5">
        <v>580000</v>
      </c>
      <c r="M35" s="5">
        <v>0</v>
      </c>
      <c r="N35" s="5">
        <v>1253332</v>
      </c>
      <c r="O35" s="5">
        <v>0</v>
      </c>
      <c r="P35" s="5">
        <v>0</v>
      </c>
      <c r="Q35" s="3" t="s">
        <v>153</v>
      </c>
      <c r="R35" s="3" t="s">
        <v>34</v>
      </c>
      <c r="S35" s="3" t="s">
        <v>34</v>
      </c>
      <c r="T35" s="3" t="s">
        <v>41</v>
      </c>
      <c r="U35" s="3" t="s">
        <v>34</v>
      </c>
      <c r="V35" s="3" t="s">
        <v>35</v>
      </c>
      <c r="W35" s="3" t="s">
        <v>154</v>
      </c>
      <c r="X35" s="3"/>
      <c r="Y35" s="5">
        <v>916666</v>
      </c>
      <c r="Z35" s="5">
        <v>2</v>
      </c>
    </row>
    <row r="36" spans="1:26" ht="15.75" customHeight="1" x14ac:dyDescent="0.35">
      <c r="A36" s="2"/>
      <c r="B36" s="3" t="s">
        <v>181</v>
      </c>
      <c r="C36" s="3" t="s">
        <v>59</v>
      </c>
      <c r="D36" s="3" t="s">
        <v>182</v>
      </c>
      <c r="E36" s="3" t="s">
        <v>183</v>
      </c>
      <c r="F36" s="4" t="s">
        <v>184</v>
      </c>
      <c r="G36" s="4" t="s">
        <v>185</v>
      </c>
      <c r="H36" s="5">
        <v>400000</v>
      </c>
      <c r="I36" s="5">
        <v>0</v>
      </c>
      <c r="J36" s="5">
        <v>400000</v>
      </c>
      <c r="K36" s="5">
        <v>0</v>
      </c>
      <c r="L36" s="5">
        <v>0</v>
      </c>
      <c r="M36" s="5">
        <v>0</v>
      </c>
      <c r="N36" s="5">
        <v>400000</v>
      </c>
      <c r="O36" s="5">
        <v>0</v>
      </c>
      <c r="P36" s="5">
        <v>0</v>
      </c>
      <c r="Q36" s="3" t="s">
        <v>186</v>
      </c>
      <c r="R36" s="3" t="s">
        <v>34</v>
      </c>
      <c r="S36" s="3" t="s">
        <v>34</v>
      </c>
      <c r="T36" s="3" t="s">
        <v>41</v>
      </c>
      <c r="U36" s="3" t="s">
        <v>34</v>
      </c>
      <c r="V36" s="3" t="s">
        <v>35</v>
      </c>
      <c r="W36" s="3" t="s">
        <v>187</v>
      </c>
      <c r="X36" s="3"/>
      <c r="Y36" s="5">
        <v>400000</v>
      </c>
      <c r="Z36" s="5">
        <v>1</v>
      </c>
    </row>
    <row r="37" spans="1:26" ht="15.75" customHeight="1" x14ac:dyDescent="0.35">
      <c r="A37" s="2"/>
      <c r="B37" s="3" t="s">
        <v>162</v>
      </c>
      <c r="C37" s="3" t="s">
        <v>64</v>
      </c>
      <c r="D37" s="3" t="s">
        <v>89</v>
      </c>
      <c r="E37" s="3" t="s">
        <v>188</v>
      </c>
      <c r="F37" s="4" t="s">
        <v>189</v>
      </c>
      <c r="G37" s="4" t="s">
        <v>190</v>
      </c>
      <c r="H37" s="5">
        <v>990000</v>
      </c>
      <c r="I37" s="5">
        <v>0</v>
      </c>
      <c r="J37" s="5">
        <v>990000</v>
      </c>
      <c r="K37" s="5">
        <v>0</v>
      </c>
      <c r="L37" s="5">
        <v>495000</v>
      </c>
      <c r="M37" s="5">
        <v>0</v>
      </c>
      <c r="N37" s="5">
        <v>495000</v>
      </c>
      <c r="O37" s="5">
        <v>0</v>
      </c>
      <c r="P37" s="5">
        <v>0</v>
      </c>
      <c r="Q37" s="3" t="s">
        <v>191</v>
      </c>
      <c r="R37" s="3" t="s">
        <v>34</v>
      </c>
      <c r="S37" s="3" t="s">
        <v>34</v>
      </c>
      <c r="T37" s="3" t="s">
        <v>41</v>
      </c>
      <c r="U37" s="3" t="s">
        <v>34</v>
      </c>
      <c r="V37" s="3" t="s">
        <v>35</v>
      </c>
      <c r="W37" s="3" t="s">
        <v>192</v>
      </c>
      <c r="X37" s="3"/>
      <c r="Y37" s="5">
        <v>495000</v>
      </c>
      <c r="Z37" s="5">
        <v>2</v>
      </c>
    </row>
    <row r="38" spans="1:26" ht="15.75" customHeight="1" x14ac:dyDescent="0.35">
      <c r="A38" s="2"/>
      <c r="B38" s="3" t="s">
        <v>166</v>
      </c>
      <c r="C38" s="3" t="s">
        <v>59</v>
      </c>
      <c r="D38" s="3" t="s">
        <v>193</v>
      </c>
      <c r="E38" s="3" t="s">
        <v>194</v>
      </c>
      <c r="F38" s="4" t="s">
        <v>195</v>
      </c>
      <c r="G38" s="4" t="s">
        <v>196</v>
      </c>
      <c r="H38" s="5">
        <v>1100000</v>
      </c>
      <c r="I38" s="5">
        <v>0</v>
      </c>
      <c r="J38" s="5">
        <v>1100000</v>
      </c>
      <c r="K38" s="5">
        <v>0</v>
      </c>
      <c r="L38" s="5">
        <v>1100000</v>
      </c>
      <c r="M38" s="5">
        <v>0</v>
      </c>
      <c r="N38" s="5">
        <v>0</v>
      </c>
      <c r="O38" s="5">
        <v>0</v>
      </c>
      <c r="P38" s="5">
        <v>0</v>
      </c>
      <c r="Q38" s="3"/>
      <c r="R38" s="3"/>
      <c r="S38" s="3"/>
      <c r="T38" s="3" t="s">
        <v>41</v>
      </c>
      <c r="U38" s="3" t="s">
        <v>34</v>
      </c>
      <c r="V38" s="3" t="s">
        <v>35</v>
      </c>
      <c r="W38" s="3" t="s">
        <v>197</v>
      </c>
      <c r="X38" s="3"/>
      <c r="Y38" s="5">
        <v>550000</v>
      </c>
      <c r="Z38" s="5">
        <v>2</v>
      </c>
    </row>
    <row r="39" spans="1:26" ht="15.75" customHeight="1" x14ac:dyDescent="0.35">
      <c r="A39" s="2"/>
      <c r="B39" s="3" t="s">
        <v>177</v>
      </c>
      <c r="C39" s="3" t="s">
        <v>64</v>
      </c>
      <c r="D39" s="3" t="s">
        <v>65</v>
      </c>
      <c r="E39" s="3" t="s">
        <v>198</v>
      </c>
      <c r="F39" s="4" t="s">
        <v>199</v>
      </c>
      <c r="G39" s="4" t="s">
        <v>200</v>
      </c>
      <c r="H39" s="5">
        <v>495000</v>
      </c>
      <c r="I39" s="5">
        <v>19000</v>
      </c>
      <c r="J39" s="5">
        <v>514000</v>
      </c>
      <c r="K39" s="5">
        <v>0</v>
      </c>
      <c r="L39" s="5">
        <v>264000</v>
      </c>
      <c r="M39" s="5">
        <v>0</v>
      </c>
      <c r="N39" s="5">
        <v>250000</v>
      </c>
      <c r="O39" s="5">
        <v>0</v>
      </c>
      <c r="P39" s="5">
        <v>0</v>
      </c>
      <c r="Q39" s="3" t="s">
        <v>201</v>
      </c>
      <c r="R39" s="3" t="s">
        <v>34</v>
      </c>
      <c r="S39" s="3" t="s">
        <v>34</v>
      </c>
      <c r="T39" s="3" t="s">
        <v>53</v>
      </c>
      <c r="U39" s="3" t="s">
        <v>34</v>
      </c>
      <c r="V39" s="3" t="s">
        <v>35</v>
      </c>
      <c r="W39" s="3" t="s">
        <v>202</v>
      </c>
      <c r="X39" s="3"/>
      <c r="Y39" s="5">
        <v>495000</v>
      </c>
      <c r="Z39" s="5">
        <v>1</v>
      </c>
    </row>
    <row r="40" spans="1:26" ht="15.75" customHeight="1" x14ac:dyDescent="0.35">
      <c r="A40" s="2"/>
      <c r="B40" s="3" t="s">
        <v>187</v>
      </c>
      <c r="C40" s="3" t="s">
        <v>64</v>
      </c>
      <c r="D40" s="3" t="s">
        <v>173</v>
      </c>
      <c r="E40" s="3" t="s">
        <v>203</v>
      </c>
      <c r="F40" s="4" t="s">
        <v>204</v>
      </c>
      <c r="G40" s="4" t="s">
        <v>205</v>
      </c>
      <c r="H40" s="5">
        <v>349000</v>
      </c>
      <c r="I40" s="5">
        <v>0</v>
      </c>
      <c r="J40" s="5">
        <v>349000</v>
      </c>
      <c r="K40" s="5">
        <v>0</v>
      </c>
      <c r="L40" s="5">
        <v>349000</v>
      </c>
      <c r="M40" s="5">
        <v>0</v>
      </c>
      <c r="N40" s="5">
        <v>0</v>
      </c>
      <c r="O40" s="5">
        <v>0</v>
      </c>
      <c r="P40" s="5">
        <v>0</v>
      </c>
      <c r="Q40" s="3" t="s">
        <v>34</v>
      </c>
      <c r="R40" s="3" t="s">
        <v>34</v>
      </c>
      <c r="S40" s="3" t="s">
        <v>34</v>
      </c>
      <c r="T40" s="3" t="s">
        <v>41</v>
      </c>
      <c r="U40" s="3" t="s">
        <v>34</v>
      </c>
      <c r="V40" s="3" t="s">
        <v>35</v>
      </c>
      <c r="W40" s="3" t="s">
        <v>206</v>
      </c>
      <c r="X40" s="3"/>
      <c r="Y40" s="5">
        <v>349000</v>
      </c>
      <c r="Z40" s="5">
        <v>1</v>
      </c>
    </row>
    <row r="41" spans="1:26" ht="15.75" customHeight="1" x14ac:dyDescent="0.35">
      <c r="A41" s="2"/>
      <c r="B41" s="3" t="s">
        <v>120</v>
      </c>
      <c r="C41" s="3" t="s">
        <v>59</v>
      </c>
      <c r="D41" s="3" t="s">
        <v>60</v>
      </c>
      <c r="E41" s="3" t="s">
        <v>207</v>
      </c>
      <c r="F41" s="4" t="s">
        <v>208</v>
      </c>
      <c r="G41" s="4" t="s">
        <v>209</v>
      </c>
      <c r="H41" s="5">
        <v>1912000</v>
      </c>
      <c r="I41" s="5">
        <v>57000</v>
      </c>
      <c r="J41" s="5">
        <v>1969000</v>
      </c>
      <c r="K41" s="5">
        <v>0</v>
      </c>
      <c r="L41" s="5">
        <v>217000</v>
      </c>
      <c r="M41" s="5">
        <v>0</v>
      </c>
      <c r="N41" s="5">
        <v>1752000</v>
      </c>
      <c r="O41" s="5">
        <v>0</v>
      </c>
      <c r="P41" s="5">
        <v>0</v>
      </c>
      <c r="Q41" s="3" t="s">
        <v>210</v>
      </c>
      <c r="R41" s="3" t="s">
        <v>34</v>
      </c>
      <c r="S41" s="3" t="s">
        <v>34</v>
      </c>
      <c r="T41" s="3" t="s">
        <v>53</v>
      </c>
      <c r="U41" s="3" t="s">
        <v>34</v>
      </c>
      <c r="V41" s="3" t="s">
        <v>35</v>
      </c>
      <c r="W41" s="3" t="s">
        <v>158</v>
      </c>
      <c r="X41" s="3"/>
      <c r="Y41" s="5">
        <v>637333.33330000006</v>
      </c>
      <c r="Z41" s="5">
        <v>3</v>
      </c>
    </row>
    <row r="42" spans="1:26" ht="15.75" customHeight="1" x14ac:dyDescent="0.35">
      <c r="A42" s="2"/>
      <c r="B42" s="3" t="s">
        <v>211</v>
      </c>
      <c r="C42" s="3" t="s">
        <v>64</v>
      </c>
      <c r="D42" s="3" t="s">
        <v>89</v>
      </c>
      <c r="E42" s="3" t="s">
        <v>212</v>
      </c>
      <c r="F42" s="4" t="s">
        <v>213</v>
      </c>
      <c r="G42" s="4" t="s">
        <v>214</v>
      </c>
      <c r="H42" s="5">
        <v>349000</v>
      </c>
      <c r="I42" s="5">
        <v>0</v>
      </c>
      <c r="J42" s="5">
        <v>349000</v>
      </c>
      <c r="K42" s="5">
        <v>0</v>
      </c>
      <c r="L42" s="5">
        <v>349000</v>
      </c>
      <c r="M42" s="5">
        <v>0</v>
      </c>
      <c r="N42" s="5">
        <v>0</v>
      </c>
      <c r="O42" s="5">
        <v>0</v>
      </c>
      <c r="P42" s="5">
        <v>0</v>
      </c>
      <c r="Q42" s="3" t="s">
        <v>34</v>
      </c>
      <c r="R42" s="3" t="s">
        <v>34</v>
      </c>
      <c r="S42" s="3" t="s">
        <v>34</v>
      </c>
      <c r="T42" s="3" t="s">
        <v>41</v>
      </c>
      <c r="U42" s="3" t="s">
        <v>34</v>
      </c>
      <c r="V42" s="3" t="s">
        <v>35</v>
      </c>
      <c r="W42" s="3" t="s">
        <v>215</v>
      </c>
      <c r="X42" s="3"/>
      <c r="Y42" s="5">
        <v>349000</v>
      </c>
      <c r="Z42" s="5">
        <v>1</v>
      </c>
    </row>
    <row r="43" spans="1:26" ht="15.75" customHeight="1" x14ac:dyDescent="0.35">
      <c r="A43" s="2"/>
      <c r="B43" s="3" t="s">
        <v>171</v>
      </c>
      <c r="C43" s="3" t="s">
        <v>64</v>
      </c>
      <c r="D43" s="3" t="s">
        <v>99</v>
      </c>
      <c r="E43" s="3" t="s">
        <v>216</v>
      </c>
      <c r="F43" s="4" t="s">
        <v>217</v>
      </c>
      <c r="G43" s="4" t="s">
        <v>218</v>
      </c>
      <c r="H43" s="5">
        <v>1290000</v>
      </c>
      <c r="I43" s="5">
        <v>0</v>
      </c>
      <c r="J43" s="5">
        <v>1290000</v>
      </c>
      <c r="K43" s="5">
        <v>0</v>
      </c>
      <c r="L43" s="5">
        <v>0</v>
      </c>
      <c r="M43" s="5">
        <v>0</v>
      </c>
      <c r="N43" s="5">
        <v>840000</v>
      </c>
      <c r="O43" s="5">
        <v>450000</v>
      </c>
      <c r="P43" s="5">
        <v>0</v>
      </c>
      <c r="Q43" s="3" t="s">
        <v>219</v>
      </c>
      <c r="R43" s="3" t="s">
        <v>34</v>
      </c>
      <c r="S43" s="3" t="s">
        <v>34</v>
      </c>
      <c r="T43" s="3" t="s">
        <v>41</v>
      </c>
      <c r="U43" s="3" t="s">
        <v>34</v>
      </c>
      <c r="V43" s="3" t="s">
        <v>35</v>
      </c>
      <c r="W43" s="3" t="s">
        <v>172</v>
      </c>
      <c r="X43" s="3"/>
      <c r="Y43" s="5">
        <v>430000</v>
      </c>
      <c r="Z43" s="5">
        <v>3</v>
      </c>
    </row>
    <row r="44" spans="1:26" ht="15.75" customHeight="1" x14ac:dyDescent="0.35">
      <c r="A44" s="2"/>
      <c r="B44" s="3" t="s">
        <v>220</v>
      </c>
      <c r="C44" s="3" t="s">
        <v>64</v>
      </c>
      <c r="D44" s="3" t="s">
        <v>173</v>
      </c>
      <c r="E44" s="3" t="s">
        <v>221</v>
      </c>
      <c r="F44" s="4" t="s">
        <v>222</v>
      </c>
      <c r="G44" s="4" t="s">
        <v>223</v>
      </c>
      <c r="H44" s="5">
        <v>490000</v>
      </c>
      <c r="I44" s="5">
        <v>0</v>
      </c>
      <c r="J44" s="5">
        <v>490000</v>
      </c>
      <c r="K44" s="5">
        <v>0</v>
      </c>
      <c r="L44" s="5">
        <v>0</v>
      </c>
      <c r="M44" s="5">
        <v>0</v>
      </c>
      <c r="N44" s="5">
        <v>490000</v>
      </c>
      <c r="O44" s="5">
        <v>0</v>
      </c>
      <c r="P44" s="5">
        <v>0</v>
      </c>
      <c r="Q44" s="3" t="s">
        <v>224</v>
      </c>
      <c r="R44" s="3"/>
      <c r="S44" s="3"/>
      <c r="T44" s="3" t="s">
        <v>41</v>
      </c>
      <c r="U44" s="3" t="s">
        <v>34</v>
      </c>
      <c r="V44" s="3" t="s">
        <v>35</v>
      </c>
      <c r="W44" s="3" t="s">
        <v>225</v>
      </c>
      <c r="X44" s="3"/>
      <c r="Y44" s="5">
        <v>490000</v>
      </c>
      <c r="Z44" s="5">
        <v>1</v>
      </c>
    </row>
    <row r="45" spans="1:26" ht="15.75" customHeight="1" x14ac:dyDescent="0.35">
      <c r="A45" s="2"/>
      <c r="B45" s="3" t="s">
        <v>220</v>
      </c>
      <c r="C45" s="3" t="s">
        <v>59</v>
      </c>
      <c r="D45" s="3" t="s">
        <v>193</v>
      </c>
      <c r="E45" s="3" t="s">
        <v>226</v>
      </c>
      <c r="F45" s="4" t="s">
        <v>222</v>
      </c>
      <c r="G45" s="4" t="s">
        <v>223</v>
      </c>
      <c r="H45" s="5">
        <v>490000</v>
      </c>
      <c r="I45" s="5">
        <v>0</v>
      </c>
      <c r="J45" s="5">
        <v>490000</v>
      </c>
      <c r="K45" s="5">
        <v>0</v>
      </c>
      <c r="L45" s="5">
        <v>0</v>
      </c>
      <c r="M45" s="5">
        <v>0</v>
      </c>
      <c r="N45" s="5">
        <v>490000</v>
      </c>
      <c r="O45" s="5">
        <v>0</v>
      </c>
      <c r="P45" s="5">
        <v>0</v>
      </c>
      <c r="Q45" s="3"/>
      <c r="R45" s="3"/>
      <c r="S45" s="3"/>
      <c r="T45" s="3" t="s">
        <v>41</v>
      </c>
      <c r="U45" s="3" t="s">
        <v>34</v>
      </c>
      <c r="V45" s="3" t="s">
        <v>35</v>
      </c>
      <c r="W45" s="3" t="s">
        <v>227</v>
      </c>
      <c r="X45" s="3"/>
      <c r="Y45" s="5">
        <v>490000</v>
      </c>
      <c r="Z45" s="5">
        <v>1</v>
      </c>
    </row>
    <row r="46" spans="1:26" ht="15.75" customHeight="1" x14ac:dyDescent="0.35">
      <c r="A46" s="2"/>
      <c r="B46" s="3" t="s">
        <v>228</v>
      </c>
      <c r="C46" s="3" t="s">
        <v>64</v>
      </c>
      <c r="D46" s="3" t="s">
        <v>76</v>
      </c>
      <c r="E46" s="3" t="s">
        <v>229</v>
      </c>
      <c r="F46" s="4" t="s">
        <v>230</v>
      </c>
      <c r="G46" s="4" t="s">
        <v>231</v>
      </c>
      <c r="H46" s="5">
        <v>2475000</v>
      </c>
      <c r="I46" s="5">
        <v>0</v>
      </c>
      <c r="J46" s="5">
        <v>2475000</v>
      </c>
      <c r="K46" s="5">
        <v>0</v>
      </c>
      <c r="L46" s="5">
        <v>0</v>
      </c>
      <c r="M46" s="5">
        <v>0</v>
      </c>
      <c r="N46" s="5">
        <v>0</v>
      </c>
      <c r="O46" s="5">
        <v>2475000</v>
      </c>
      <c r="P46" s="5">
        <v>0</v>
      </c>
      <c r="Q46" s="3"/>
      <c r="R46" s="3"/>
      <c r="S46" s="3"/>
      <c r="T46" s="3" t="s">
        <v>41</v>
      </c>
      <c r="U46" s="3" t="s">
        <v>34</v>
      </c>
      <c r="V46" s="3" t="s">
        <v>35</v>
      </c>
      <c r="W46" s="3" t="s">
        <v>228</v>
      </c>
      <c r="X46" s="3"/>
      <c r="Y46" s="5">
        <v>495000</v>
      </c>
      <c r="Z46" s="5">
        <v>5</v>
      </c>
    </row>
    <row r="47" spans="1:26" ht="15.75" customHeight="1" x14ac:dyDescent="0.35">
      <c r="A47" s="2"/>
      <c r="B47" s="3" t="s">
        <v>233</v>
      </c>
      <c r="C47" s="3" t="s">
        <v>64</v>
      </c>
      <c r="D47" s="3" t="s">
        <v>83</v>
      </c>
      <c r="E47" s="3" t="s">
        <v>234</v>
      </c>
      <c r="F47" s="4" t="s">
        <v>235</v>
      </c>
      <c r="G47" s="4" t="s">
        <v>236</v>
      </c>
      <c r="H47" s="5">
        <v>1246225</v>
      </c>
      <c r="I47" s="5">
        <v>0</v>
      </c>
      <c r="J47" s="5">
        <v>1246225</v>
      </c>
      <c r="K47" s="5">
        <v>0</v>
      </c>
      <c r="L47" s="5">
        <v>0</v>
      </c>
      <c r="M47" s="5">
        <v>0</v>
      </c>
      <c r="N47" s="5">
        <v>0</v>
      </c>
      <c r="O47" s="5">
        <v>1246225</v>
      </c>
      <c r="P47" s="5">
        <v>0</v>
      </c>
      <c r="Q47" s="3" t="s">
        <v>237</v>
      </c>
      <c r="R47" s="3" t="s">
        <v>34</v>
      </c>
      <c r="S47" s="3" t="s">
        <v>34</v>
      </c>
      <c r="T47" s="3" t="s">
        <v>48</v>
      </c>
      <c r="U47" s="3" t="s">
        <v>34</v>
      </c>
      <c r="V47" s="3" t="s">
        <v>35</v>
      </c>
      <c r="W47" s="3" t="s">
        <v>233</v>
      </c>
      <c r="X47" s="3" t="s">
        <v>238</v>
      </c>
      <c r="Y47" s="5">
        <v>415408.3333</v>
      </c>
      <c r="Z47" s="5">
        <v>3</v>
      </c>
    </row>
    <row r="48" spans="1:26" ht="15.75" customHeight="1" x14ac:dyDescent="0.35">
      <c r="A48" s="2"/>
      <c r="B48" s="3" t="s">
        <v>239</v>
      </c>
      <c r="C48" s="3" t="s">
        <v>29</v>
      </c>
      <c r="D48" s="3" t="s">
        <v>110</v>
      </c>
      <c r="E48" s="3" t="s">
        <v>240</v>
      </c>
      <c r="F48" s="4" t="s">
        <v>241</v>
      </c>
      <c r="G48" s="4" t="s">
        <v>242</v>
      </c>
      <c r="H48" s="5">
        <v>557000</v>
      </c>
      <c r="I48" s="5">
        <v>180000</v>
      </c>
      <c r="J48" s="5">
        <v>737000</v>
      </c>
      <c r="K48" s="5">
        <v>0</v>
      </c>
      <c r="L48" s="5">
        <v>0</v>
      </c>
      <c r="M48" s="5">
        <v>0</v>
      </c>
      <c r="N48" s="5">
        <v>0</v>
      </c>
      <c r="O48" s="5">
        <v>737000</v>
      </c>
      <c r="P48" s="5">
        <v>0</v>
      </c>
      <c r="Q48" s="3" t="s">
        <v>243</v>
      </c>
      <c r="R48" s="3" t="s">
        <v>244</v>
      </c>
      <c r="S48" s="3" t="s">
        <v>34</v>
      </c>
      <c r="T48" s="3" t="s">
        <v>245</v>
      </c>
      <c r="U48" s="3" t="s">
        <v>34</v>
      </c>
      <c r="V48" s="3" t="s">
        <v>35</v>
      </c>
      <c r="W48" s="3" t="s">
        <v>246</v>
      </c>
      <c r="X48" s="3" t="s">
        <v>247</v>
      </c>
      <c r="Y48" s="5">
        <v>557000</v>
      </c>
      <c r="Z48" s="5">
        <v>1</v>
      </c>
    </row>
    <row r="49" spans="1:26" ht="15.75" customHeight="1" x14ac:dyDescent="0.35">
      <c r="A49" s="2"/>
      <c r="B49" s="3" t="s">
        <v>248</v>
      </c>
      <c r="C49" s="3" t="s">
        <v>59</v>
      </c>
      <c r="D49" s="3" t="s">
        <v>182</v>
      </c>
      <c r="E49" s="3" t="s">
        <v>249</v>
      </c>
      <c r="F49" s="4" t="s">
        <v>250</v>
      </c>
      <c r="G49" s="4" t="s">
        <v>251</v>
      </c>
      <c r="H49" s="5">
        <v>1418000</v>
      </c>
      <c r="I49" s="5">
        <v>0</v>
      </c>
      <c r="J49" s="5">
        <v>1418000</v>
      </c>
      <c r="K49" s="5">
        <v>0</v>
      </c>
      <c r="L49" s="5">
        <v>0</v>
      </c>
      <c r="M49" s="5">
        <v>0</v>
      </c>
      <c r="N49" s="5">
        <v>1418000</v>
      </c>
      <c r="O49" s="5">
        <v>0</v>
      </c>
      <c r="P49" s="5">
        <v>0</v>
      </c>
      <c r="Q49" s="3" t="s">
        <v>252</v>
      </c>
      <c r="R49" s="3" t="s">
        <v>34</v>
      </c>
      <c r="S49" s="3" t="s">
        <v>34</v>
      </c>
      <c r="T49" s="3" t="s">
        <v>53</v>
      </c>
      <c r="U49" s="3" t="s">
        <v>34</v>
      </c>
      <c r="V49" s="3" t="s">
        <v>35</v>
      </c>
      <c r="W49" s="3" t="s">
        <v>253</v>
      </c>
      <c r="X49" s="3"/>
      <c r="Y49" s="5">
        <v>709000</v>
      </c>
      <c r="Z49" s="5">
        <v>2</v>
      </c>
    </row>
    <row r="50" spans="1:26" ht="15.75" customHeight="1" x14ac:dyDescent="0.35">
      <c r="A50" s="2"/>
      <c r="B50" s="3" t="s">
        <v>197</v>
      </c>
      <c r="C50" s="3" t="s">
        <v>64</v>
      </c>
      <c r="D50" s="3" t="s">
        <v>99</v>
      </c>
      <c r="E50" s="3" t="s">
        <v>254</v>
      </c>
      <c r="F50" s="4" t="s">
        <v>255</v>
      </c>
      <c r="G50" s="4" t="s">
        <v>256</v>
      </c>
      <c r="H50" s="5">
        <v>945000</v>
      </c>
      <c r="I50" s="5">
        <v>0</v>
      </c>
      <c r="J50" s="5">
        <v>945000</v>
      </c>
      <c r="K50" s="5">
        <v>0</v>
      </c>
      <c r="L50" s="5">
        <v>0</v>
      </c>
      <c r="M50" s="5">
        <v>0</v>
      </c>
      <c r="N50" s="5">
        <v>945000</v>
      </c>
      <c r="O50" s="5">
        <v>0</v>
      </c>
      <c r="P50" s="5">
        <v>0</v>
      </c>
      <c r="Q50" s="3" t="s">
        <v>34</v>
      </c>
      <c r="R50" s="3" t="s">
        <v>257</v>
      </c>
      <c r="S50" s="3" t="s">
        <v>34</v>
      </c>
      <c r="T50" s="3" t="s">
        <v>41</v>
      </c>
      <c r="U50" s="3" t="s">
        <v>34</v>
      </c>
      <c r="V50" s="3" t="s">
        <v>35</v>
      </c>
      <c r="W50" s="3" t="s">
        <v>181</v>
      </c>
      <c r="X50" s="3"/>
      <c r="Y50" s="5">
        <v>472500</v>
      </c>
      <c r="Z50" s="5">
        <v>2</v>
      </c>
    </row>
    <row r="51" spans="1:26" ht="15.75" customHeight="1" x14ac:dyDescent="0.35">
      <c r="A51" s="2"/>
      <c r="B51" s="3" t="s">
        <v>225</v>
      </c>
      <c r="C51" s="3" t="s">
        <v>64</v>
      </c>
      <c r="D51" s="3" t="s">
        <v>83</v>
      </c>
      <c r="E51" s="3" t="s">
        <v>258</v>
      </c>
      <c r="F51" s="4" t="s">
        <v>259</v>
      </c>
      <c r="G51" s="4" t="s">
        <v>256</v>
      </c>
      <c r="H51" s="5">
        <v>580000</v>
      </c>
      <c r="I51" s="5">
        <v>0</v>
      </c>
      <c r="J51" s="5">
        <v>580000</v>
      </c>
      <c r="K51" s="5">
        <v>0</v>
      </c>
      <c r="L51" s="5">
        <v>580000</v>
      </c>
      <c r="M51" s="5">
        <v>0</v>
      </c>
      <c r="N51" s="5">
        <v>0</v>
      </c>
      <c r="O51" s="5">
        <v>0</v>
      </c>
      <c r="P51" s="5">
        <v>0</v>
      </c>
      <c r="Q51" s="3"/>
      <c r="R51" s="3"/>
      <c r="S51" s="3"/>
      <c r="T51" s="3" t="s">
        <v>41</v>
      </c>
      <c r="U51" s="3" t="s">
        <v>34</v>
      </c>
      <c r="V51" s="3" t="s">
        <v>35</v>
      </c>
      <c r="W51" s="3" t="s">
        <v>260</v>
      </c>
      <c r="X51" s="3"/>
      <c r="Y51" s="5">
        <v>580000</v>
      </c>
      <c r="Z51" s="5">
        <v>1</v>
      </c>
    </row>
    <row r="52" spans="1:26" ht="15.75" customHeight="1" x14ac:dyDescent="0.35">
      <c r="A52" s="2"/>
      <c r="B52" s="3" t="s">
        <v>261</v>
      </c>
      <c r="C52" s="3" t="s">
        <v>59</v>
      </c>
      <c r="D52" s="3" t="s">
        <v>60</v>
      </c>
      <c r="E52" s="3" t="s">
        <v>262</v>
      </c>
      <c r="F52" s="4" t="s">
        <v>263</v>
      </c>
      <c r="G52" s="4" t="s">
        <v>264</v>
      </c>
      <c r="H52" s="5">
        <v>1350000</v>
      </c>
      <c r="I52" s="5">
        <v>0</v>
      </c>
      <c r="J52" s="5">
        <v>1350000</v>
      </c>
      <c r="K52" s="5">
        <v>0</v>
      </c>
      <c r="L52" s="5">
        <v>0</v>
      </c>
      <c r="M52" s="5">
        <v>0</v>
      </c>
      <c r="N52" s="5">
        <v>1350000</v>
      </c>
      <c r="O52" s="5">
        <v>0</v>
      </c>
      <c r="P52" s="5">
        <v>0</v>
      </c>
      <c r="Q52" s="3" t="s">
        <v>265</v>
      </c>
      <c r="R52" s="3" t="s">
        <v>34</v>
      </c>
      <c r="S52" s="3" t="s">
        <v>34</v>
      </c>
      <c r="T52" s="3" t="s">
        <v>41</v>
      </c>
      <c r="U52" s="3" t="s">
        <v>34</v>
      </c>
      <c r="V52" s="3" t="s">
        <v>35</v>
      </c>
      <c r="W52" s="3" t="s">
        <v>266</v>
      </c>
      <c r="X52" s="3"/>
      <c r="Y52" s="5">
        <v>675000</v>
      </c>
      <c r="Z52" s="5">
        <v>2</v>
      </c>
    </row>
    <row r="53" spans="1:26" ht="15.75" customHeight="1" x14ac:dyDescent="0.35">
      <c r="A53" s="2"/>
      <c r="B53" s="3" t="s">
        <v>267</v>
      </c>
      <c r="C53" s="3" t="s">
        <v>29</v>
      </c>
      <c r="D53" s="3" t="s">
        <v>110</v>
      </c>
      <c r="E53" s="3" t="s">
        <v>240</v>
      </c>
      <c r="F53" s="4" t="s">
        <v>242</v>
      </c>
      <c r="G53" s="4" t="s">
        <v>268</v>
      </c>
      <c r="H53" s="5">
        <v>737486</v>
      </c>
      <c r="I53" s="5">
        <v>0</v>
      </c>
      <c r="J53" s="5">
        <v>737486</v>
      </c>
      <c r="K53" s="5">
        <v>0</v>
      </c>
      <c r="L53" s="5">
        <v>0</v>
      </c>
      <c r="M53" s="5">
        <v>0</v>
      </c>
      <c r="N53" s="5">
        <v>0</v>
      </c>
      <c r="O53" s="5">
        <v>737486</v>
      </c>
      <c r="P53" s="5">
        <v>0</v>
      </c>
      <c r="Q53" s="3" t="s">
        <v>243</v>
      </c>
      <c r="R53" s="3" t="s">
        <v>269</v>
      </c>
      <c r="S53" s="3" t="s">
        <v>34</v>
      </c>
      <c r="T53" s="3" t="s">
        <v>245</v>
      </c>
      <c r="U53" s="3" t="s">
        <v>34</v>
      </c>
      <c r="V53" s="3" t="s">
        <v>35</v>
      </c>
      <c r="W53" s="3" t="s">
        <v>270</v>
      </c>
      <c r="X53" s="3" t="s">
        <v>271</v>
      </c>
      <c r="Y53" s="5">
        <v>737486</v>
      </c>
      <c r="Z53" s="5">
        <v>1</v>
      </c>
    </row>
    <row r="54" spans="1:26" ht="15.75" customHeight="1" x14ac:dyDescent="0.35">
      <c r="A54" s="2"/>
      <c r="B54" s="3" t="s">
        <v>227</v>
      </c>
      <c r="C54" s="3" t="s">
        <v>71</v>
      </c>
      <c r="D54" s="3" t="s">
        <v>72</v>
      </c>
      <c r="E54" s="3" t="s">
        <v>272</v>
      </c>
      <c r="F54" s="4" t="s">
        <v>273</v>
      </c>
      <c r="G54" s="4" t="s">
        <v>274</v>
      </c>
      <c r="H54" s="5">
        <v>584000</v>
      </c>
      <c r="I54" s="5">
        <v>0</v>
      </c>
      <c r="J54" s="5">
        <v>584000</v>
      </c>
      <c r="K54" s="5">
        <v>0</v>
      </c>
      <c r="L54" s="5">
        <v>0</v>
      </c>
      <c r="M54" s="5">
        <v>0</v>
      </c>
      <c r="N54" s="5">
        <v>584000</v>
      </c>
      <c r="O54" s="5">
        <v>0</v>
      </c>
      <c r="P54" s="5">
        <v>0</v>
      </c>
      <c r="Q54" s="3" t="s">
        <v>275</v>
      </c>
      <c r="R54" s="3" t="s">
        <v>34</v>
      </c>
      <c r="S54" s="3" t="s">
        <v>34</v>
      </c>
      <c r="T54" s="3" t="s">
        <v>53</v>
      </c>
      <c r="U54" s="3" t="s">
        <v>34</v>
      </c>
      <c r="V54" s="3" t="s">
        <v>35</v>
      </c>
      <c r="W54" s="3" t="s">
        <v>276</v>
      </c>
      <c r="X54" s="3"/>
      <c r="Y54" s="5">
        <v>584000</v>
      </c>
      <c r="Z54" s="5">
        <v>1</v>
      </c>
    </row>
    <row r="55" spans="1:26" ht="15.75" customHeight="1" x14ac:dyDescent="0.35">
      <c r="A55" s="2"/>
      <c r="B55" s="3" t="s">
        <v>277</v>
      </c>
      <c r="C55" s="3" t="s">
        <v>64</v>
      </c>
      <c r="D55" s="3" t="s">
        <v>173</v>
      </c>
      <c r="E55" s="3" t="s">
        <v>278</v>
      </c>
      <c r="F55" s="4" t="s">
        <v>279</v>
      </c>
      <c r="G55" s="4" t="s">
        <v>274</v>
      </c>
      <c r="H55" s="5">
        <v>1168000</v>
      </c>
      <c r="I55" s="5">
        <v>30000</v>
      </c>
      <c r="J55" s="5">
        <v>1198000</v>
      </c>
      <c r="K55" s="5">
        <v>0</v>
      </c>
      <c r="L55" s="5">
        <v>30000</v>
      </c>
      <c r="M55" s="5">
        <v>0</v>
      </c>
      <c r="N55" s="5">
        <v>1168000</v>
      </c>
      <c r="O55" s="5">
        <v>0</v>
      </c>
      <c r="P55" s="5">
        <v>0</v>
      </c>
      <c r="Q55" s="3" t="s">
        <v>280</v>
      </c>
      <c r="R55" s="3" t="s">
        <v>34</v>
      </c>
      <c r="S55" s="3" t="s">
        <v>34</v>
      </c>
      <c r="T55" s="3" t="s">
        <v>41</v>
      </c>
      <c r="U55" s="3" t="s">
        <v>34</v>
      </c>
      <c r="V55" s="3" t="s">
        <v>35</v>
      </c>
      <c r="W55" s="3" t="s">
        <v>281</v>
      </c>
      <c r="X55" s="3"/>
      <c r="Y55" s="5">
        <v>584000</v>
      </c>
      <c r="Z55" s="5">
        <v>2</v>
      </c>
    </row>
    <row r="56" spans="1:26" ht="15.75" customHeight="1" x14ac:dyDescent="0.35">
      <c r="A56" s="2"/>
      <c r="B56" s="3" t="s">
        <v>192</v>
      </c>
      <c r="C56" s="3" t="s">
        <v>64</v>
      </c>
      <c r="D56" s="3" t="s">
        <v>65</v>
      </c>
      <c r="E56" s="3" t="s">
        <v>282</v>
      </c>
      <c r="F56" s="4" t="s">
        <v>283</v>
      </c>
      <c r="G56" s="4" t="s">
        <v>284</v>
      </c>
      <c r="H56" s="5">
        <v>649000</v>
      </c>
      <c r="I56" s="5">
        <v>0</v>
      </c>
      <c r="J56" s="5">
        <v>584100</v>
      </c>
      <c r="K56" s="5">
        <v>0</v>
      </c>
      <c r="L56" s="5">
        <v>334100</v>
      </c>
      <c r="M56" s="5">
        <v>0</v>
      </c>
      <c r="N56" s="5">
        <v>250000</v>
      </c>
      <c r="O56" s="5">
        <v>0</v>
      </c>
      <c r="P56" s="5">
        <v>0</v>
      </c>
      <c r="Q56" s="3" t="s">
        <v>285</v>
      </c>
      <c r="R56" s="3" t="s">
        <v>286</v>
      </c>
      <c r="S56" s="3" t="s">
        <v>34</v>
      </c>
      <c r="T56" s="3" t="s">
        <v>48</v>
      </c>
      <c r="U56" s="3" t="s">
        <v>34</v>
      </c>
      <c r="V56" s="3" t="s">
        <v>35</v>
      </c>
      <c r="W56" s="3" t="s">
        <v>287</v>
      </c>
      <c r="X56" s="3" t="s">
        <v>288</v>
      </c>
      <c r="Y56" s="5">
        <v>649000</v>
      </c>
      <c r="Z56" s="5">
        <v>1</v>
      </c>
    </row>
    <row r="57" spans="1:26" ht="15.75" customHeight="1" x14ac:dyDescent="0.35">
      <c r="A57" s="2"/>
      <c r="B57" s="3" t="s">
        <v>253</v>
      </c>
      <c r="C57" s="3" t="s">
        <v>64</v>
      </c>
      <c r="D57" s="3" t="s">
        <v>76</v>
      </c>
      <c r="E57" s="3" t="s">
        <v>289</v>
      </c>
      <c r="F57" s="4" t="s">
        <v>290</v>
      </c>
      <c r="G57" s="4" t="s">
        <v>291</v>
      </c>
      <c r="H57" s="5">
        <v>849000</v>
      </c>
      <c r="I57" s="5">
        <v>0</v>
      </c>
      <c r="J57" s="5">
        <v>784100</v>
      </c>
      <c r="K57" s="5">
        <v>0</v>
      </c>
      <c r="L57" s="5">
        <v>0</v>
      </c>
      <c r="M57" s="5">
        <v>0</v>
      </c>
      <c r="N57" s="5">
        <v>584100</v>
      </c>
      <c r="O57" s="5">
        <v>200000</v>
      </c>
      <c r="P57" s="5">
        <v>0</v>
      </c>
      <c r="Q57" s="3" t="s">
        <v>292</v>
      </c>
      <c r="R57" s="3" t="s">
        <v>293</v>
      </c>
      <c r="S57" s="3" t="s">
        <v>34</v>
      </c>
      <c r="T57" s="3" t="s">
        <v>48</v>
      </c>
      <c r="U57" s="3" t="s">
        <v>34</v>
      </c>
      <c r="V57" s="3" t="s">
        <v>35</v>
      </c>
      <c r="W57" s="3" t="s">
        <v>220</v>
      </c>
      <c r="X57" s="3" t="s">
        <v>294</v>
      </c>
      <c r="Y57" s="5">
        <v>849000</v>
      </c>
      <c r="Z57" s="5">
        <v>1</v>
      </c>
    </row>
    <row r="58" spans="1:26" ht="15.75" customHeight="1" x14ac:dyDescent="0.35">
      <c r="A58" s="2"/>
      <c r="B58" s="3" t="s">
        <v>266</v>
      </c>
      <c r="C58" s="3" t="s">
        <v>59</v>
      </c>
      <c r="D58" s="3" t="s">
        <v>193</v>
      </c>
      <c r="E58" s="3" t="s">
        <v>295</v>
      </c>
      <c r="F58" s="4" t="s">
        <v>296</v>
      </c>
      <c r="G58" s="4" t="s">
        <v>297</v>
      </c>
      <c r="H58" s="5">
        <v>479000</v>
      </c>
      <c r="I58" s="5">
        <v>0</v>
      </c>
      <c r="J58" s="5">
        <v>479000</v>
      </c>
      <c r="K58" s="5">
        <v>0</v>
      </c>
      <c r="L58" s="5">
        <v>0</v>
      </c>
      <c r="M58" s="5">
        <v>0</v>
      </c>
      <c r="N58" s="5">
        <v>479000</v>
      </c>
      <c r="O58" s="5">
        <v>0</v>
      </c>
      <c r="P58" s="5">
        <v>0</v>
      </c>
      <c r="Q58" s="3" t="s">
        <v>298</v>
      </c>
      <c r="R58" s="3" t="s">
        <v>34</v>
      </c>
      <c r="S58" s="3" t="s">
        <v>34</v>
      </c>
      <c r="T58" s="3" t="s">
        <v>41</v>
      </c>
      <c r="U58" s="3" t="s">
        <v>34</v>
      </c>
      <c r="V58" s="3" t="s">
        <v>35</v>
      </c>
      <c r="W58" s="3" t="s">
        <v>299</v>
      </c>
      <c r="X58" s="3"/>
      <c r="Y58" s="5">
        <v>479000</v>
      </c>
      <c r="Z58" s="5">
        <v>1</v>
      </c>
    </row>
    <row r="59" spans="1:26" ht="15.75" customHeight="1" x14ac:dyDescent="0.35">
      <c r="A59" s="2"/>
      <c r="B59" s="3" t="s">
        <v>276</v>
      </c>
      <c r="C59" s="3" t="s">
        <v>64</v>
      </c>
      <c r="D59" s="3" t="s">
        <v>83</v>
      </c>
      <c r="E59" s="3" t="s">
        <v>300</v>
      </c>
      <c r="F59" s="4" t="s">
        <v>301</v>
      </c>
      <c r="G59" s="4" t="s">
        <v>302</v>
      </c>
      <c r="H59" s="5">
        <v>400000</v>
      </c>
      <c r="I59" s="5">
        <v>0</v>
      </c>
      <c r="J59" s="5">
        <v>400000</v>
      </c>
      <c r="K59" s="5">
        <v>0</v>
      </c>
      <c r="L59" s="5">
        <v>0</v>
      </c>
      <c r="M59" s="5">
        <v>0</v>
      </c>
      <c r="N59" s="5">
        <v>400000</v>
      </c>
      <c r="O59" s="5">
        <v>0</v>
      </c>
      <c r="P59" s="5">
        <v>0</v>
      </c>
      <c r="Q59" s="3" t="s">
        <v>303</v>
      </c>
      <c r="R59" s="3" t="s">
        <v>34</v>
      </c>
      <c r="S59" s="3" t="s">
        <v>34</v>
      </c>
      <c r="T59" s="3" t="s">
        <v>41</v>
      </c>
      <c r="U59" s="3" t="s">
        <v>34</v>
      </c>
      <c r="V59" s="3" t="s">
        <v>35</v>
      </c>
      <c r="W59" s="3" t="s">
        <v>304</v>
      </c>
      <c r="X59" s="3"/>
      <c r="Y59" s="5">
        <v>400000</v>
      </c>
      <c r="Z59" s="5">
        <v>1</v>
      </c>
    </row>
    <row r="60" spans="1:26" ht="15.75" customHeight="1" x14ac:dyDescent="0.35">
      <c r="A60" s="2"/>
      <c r="B60" s="3" t="s">
        <v>260</v>
      </c>
      <c r="C60" s="3" t="s">
        <v>64</v>
      </c>
      <c r="D60" s="3" t="s">
        <v>89</v>
      </c>
      <c r="E60" s="3" t="s">
        <v>305</v>
      </c>
      <c r="F60" s="4" t="s">
        <v>306</v>
      </c>
      <c r="G60" s="4" t="s">
        <v>307</v>
      </c>
      <c r="H60" s="5">
        <v>494000</v>
      </c>
      <c r="I60" s="5">
        <v>39000</v>
      </c>
      <c r="J60" s="5">
        <v>533000</v>
      </c>
      <c r="K60" s="5">
        <v>0</v>
      </c>
      <c r="L60" s="5">
        <v>0</v>
      </c>
      <c r="M60" s="5">
        <v>0</v>
      </c>
      <c r="N60" s="5">
        <v>533000</v>
      </c>
      <c r="O60" s="5">
        <v>0</v>
      </c>
      <c r="P60" s="5">
        <v>0</v>
      </c>
      <c r="Q60" s="3" t="s">
        <v>308</v>
      </c>
      <c r="R60" s="3" t="s">
        <v>34</v>
      </c>
      <c r="S60" s="3" t="s">
        <v>34</v>
      </c>
      <c r="T60" s="3" t="s">
        <v>41</v>
      </c>
      <c r="U60" s="3" t="s">
        <v>34</v>
      </c>
      <c r="V60" s="3" t="s">
        <v>35</v>
      </c>
      <c r="W60" s="3" t="s">
        <v>309</v>
      </c>
      <c r="X60" s="3"/>
      <c r="Y60" s="5">
        <v>494000</v>
      </c>
      <c r="Z60" s="5">
        <v>1</v>
      </c>
    </row>
    <row r="61" spans="1:26" ht="15.75" customHeight="1" x14ac:dyDescent="0.35">
      <c r="A61" s="2"/>
      <c r="B61" s="3" t="s">
        <v>270</v>
      </c>
      <c r="C61" s="3" t="s">
        <v>71</v>
      </c>
      <c r="D61" s="3" t="s">
        <v>95</v>
      </c>
      <c r="E61" s="3" t="s">
        <v>310</v>
      </c>
      <c r="F61" s="4" t="s">
        <v>311</v>
      </c>
      <c r="G61" s="4" t="s">
        <v>307</v>
      </c>
      <c r="H61" s="5">
        <v>498782</v>
      </c>
      <c r="I61" s="5">
        <v>0</v>
      </c>
      <c r="J61" s="5">
        <v>498782</v>
      </c>
      <c r="K61" s="5">
        <v>0</v>
      </c>
      <c r="L61" s="5">
        <v>0</v>
      </c>
      <c r="M61" s="5">
        <v>0</v>
      </c>
      <c r="N61" s="5">
        <v>0</v>
      </c>
      <c r="O61" s="5">
        <v>498782</v>
      </c>
      <c r="P61" s="5">
        <v>0</v>
      </c>
      <c r="Q61" s="3" t="s">
        <v>312</v>
      </c>
      <c r="R61" s="3" t="s">
        <v>34</v>
      </c>
      <c r="S61" s="3" t="s">
        <v>34</v>
      </c>
      <c r="T61" s="3" t="s">
        <v>48</v>
      </c>
      <c r="U61" s="3" t="s">
        <v>34</v>
      </c>
      <c r="V61" s="3" t="s">
        <v>35</v>
      </c>
      <c r="W61" s="3" t="s">
        <v>313</v>
      </c>
      <c r="X61" s="3" t="s">
        <v>314</v>
      </c>
      <c r="Y61" s="5">
        <v>498782</v>
      </c>
      <c r="Z61" s="5">
        <v>1</v>
      </c>
    </row>
    <row r="62" spans="1:26" ht="15.75" customHeight="1" x14ac:dyDescent="0.35">
      <c r="A62" s="2"/>
      <c r="B62" s="3" t="s">
        <v>313</v>
      </c>
      <c r="C62" s="3" t="s">
        <v>29</v>
      </c>
      <c r="D62" s="3" t="s">
        <v>37</v>
      </c>
      <c r="E62" s="3" t="s">
        <v>315</v>
      </c>
      <c r="F62" s="4" t="s">
        <v>316</v>
      </c>
      <c r="G62" s="4" t="s">
        <v>317</v>
      </c>
      <c r="H62" s="5">
        <v>649000</v>
      </c>
      <c r="I62" s="5">
        <v>58000</v>
      </c>
      <c r="J62" s="5">
        <v>707000</v>
      </c>
      <c r="K62" s="5">
        <v>0</v>
      </c>
      <c r="L62" s="5">
        <v>0</v>
      </c>
      <c r="M62" s="5">
        <v>0</v>
      </c>
      <c r="N62" s="5">
        <v>707000</v>
      </c>
      <c r="O62" s="5">
        <v>0</v>
      </c>
      <c r="P62" s="5">
        <v>0</v>
      </c>
      <c r="Q62" s="3" t="s">
        <v>318</v>
      </c>
      <c r="R62" s="3" t="s">
        <v>34</v>
      </c>
      <c r="S62" s="3" t="s">
        <v>34</v>
      </c>
      <c r="T62" s="3" t="s">
        <v>41</v>
      </c>
      <c r="U62" s="3" t="s">
        <v>34</v>
      </c>
      <c r="V62" s="3" t="s">
        <v>35</v>
      </c>
      <c r="W62" s="3" t="s">
        <v>319</v>
      </c>
      <c r="X62" s="3"/>
      <c r="Y62" s="5">
        <v>649000</v>
      </c>
      <c r="Z62" s="5">
        <v>1</v>
      </c>
    </row>
    <row r="63" spans="1:26" ht="15.75" customHeight="1" x14ac:dyDescent="0.35">
      <c r="A63" s="2"/>
      <c r="B63" s="3" t="s">
        <v>202</v>
      </c>
      <c r="C63" s="3" t="s">
        <v>71</v>
      </c>
      <c r="D63" s="3" t="s">
        <v>72</v>
      </c>
      <c r="E63" s="3" t="s">
        <v>226</v>
      </c>
      <c r="F63" s="4" t="s">
        <v>320</v>
      </c>
      <c r="G63" s="4" t="s">
        <v>321</v>
      </c>
      <c r="H63" s="5">
        <v>905000</v>
      </c>
      <c r="I63" s="5">
        <v>0</v>
      </c>
      <c r="J63" s="5">
        <v>905000</v>
      </c>
      <c r="K63" s="5">
        <v>0</v>
      </c>
      <c r="L63" s="5">
        <v>0</v>
      </c>
      <c r="M63" s="5">
        <v>0</v>
      </c>
      <c r="N63" s="5">
        <v>905000</v>
      </c>
      <c r="O63" s="5">
        <v>0</v>
      </c>
      <c r="P63" s="5">
        <v>0</v>
      </c>
      <c r="Q63" s="3"/>
      <c r="R63" s="3"/>
      <c r="S63" s="3"/>
      <c r="T63" s="3" t="s">
        <v>41</v>
      </c>
      <c r="U63" s="3" t="s">
        <v>34</v>
      </c>
      <c r="V63" s="3" t="s">
        <v>35</v>
      </c>
      <c r="W63" s="3" t="s">
        <v>211</v>
      </c>
      <c r="X63" s="3"/>
      <c r="Y63" s="5">
        <v>905000</v>
      </c>
      <c r="Z63" s="5">
        <v>1</v>
      </c>
    </row>
    <row r="64" spans="1:26" ht="15.75" customHeight="1" x14ac:dyDescent="0.35">
      <c r="A64" s="2"/>
      <c r="B64" s="3" t="s">
        <v>202</v>
      </c>
      <c r="C64" s="3" t="s">
        <v>64</v>
      </c>
      <c r="D64" s="3" t="s">
        <v>65</v>
      </c>
      <c r="E64" s="3" t="s">
        <v>322</v>
      </c>
      <c r="F64" s="4" t="s">
        <v>320</v>
      </c>
      <c r="G64" s="4" t="s">
        <v>321</v>
      </c>
      <c r="H64" s="5">
        <v>735000</v>
      </c>
      <c r="I64" s="5">
        <v>138000</v>
      </c>
      <c r="J64" s="5">
        <v>873000</v>
      </c>
      <c r="K64" s="5">
        <v>0</v>
      </c>
      <c r="L64" s="5">
        <v>138000</v>
      </c>
      <c r="M64" s="5">
        <v>0</v>
      </c>
      <c r="N64" s="5">
        <v>735000</v>
      </c>
      <c r="O64" s="5">
        <v>0</v>
      </c>
      <c r="P64" s="5">
        <v>0</v>
      </c>
      <c r="Q64" s="3"/>
      <c r="R64" s="3"/>
      <c r="S64" s="3"/>
      <c r="T64" s="3" t="s">
        <v>41</v>
      </c>
      <c r="U64" s="3" t="s">
        <v>34</v>
      </c>
      <c r="V64" s="3" t="s">
        <v>35</v>
      </c>
      <c r="W64" s="3" t="s">
        <v>323</v>
      </c>
      <c r="X64" s="3"/>
      <c r="Y64" s="5">
        <v>735000</v>
      </c>
      <c r="Z64" s="5">
        <v>1</v>
      </c>
    </row>
    <row r="65" spans="1:26" ht="15.75" customHeight="1" x14ac:dyDescent="0.35">
      <c r="A65" s="2"/>
      <c r="B65" s="3" t="s">
        <v>202</v>
      </c>
      <c r="C65" s="3" t="s">
        <v>29</v>
      </c>
      <c r="D65" s="3" t="s">
        <v>30</v>
      </c>
      <c r="E65" s="3" t="s">
        <v>226</v>
      </c>
      <c r="F65" s="4" t="s">
        <v>320</v>
      </c>
      <c r="G65" s="4" t="s">
        <v>321</v>
      </c>
      <c r="H65" s="5">
        <v>1207000</v>
      </c>
      <c r="I65" s="5">
        <v>0</v>
      </c>
      <c r="J65" s="5">
        <v>1207000</v>
      </c>
      <c r="K65" s="5">
        <v>0</v>
      </c>
      <c r="L65" s="5">
        <v>0</v>
      </c>
      <c r="M65" s="5">
        <v>0</v>
      </c>
      <c r="N65" s="5">
        <v>1207000</v>
      </c>
      <c r="O65" s="5">
        <v>0</v>
      </c>
      <c r="P65" s="5">
        <v>0</v>
      </c>
      <c r="Q65" s="3"/>
      <c r="R65" s="3"/>
      <c r="S65" s="3"/>
      <c r="T65" s="3" t="s">
        <v>41</v>
      </c>
      <c r="U65" s="3" t="s">
        <v>34</v>
      </c>
      <c r="V65" s="3" t="s">
        <v>35</v>
      </c>
      <c r="W65" s="3" t="s">
        <v>277</v>
      </c>
      <c r="X65" s="3"/>
      <c r="Y65" s="5">
        <v>1207000</v>
      </c>
      <c r="Z65" s="5">
        <v>1</v>
      </c>
    </row>
    <row r="66" spans="1:26" ht="15.75" customHeight="1" x14ac:dyDescent="0.35">
      <c r="A66" s="2"/>
      <c r="B66" s="3" t="s">
        <v>324</v>
      </c>
      <c r="C66" s="3" t="s">
        <v>59</v>
      </c>
      <c r="D66" s="3" t="s">
        <v>182</v>
      </c>
      <c r="E66" s="3" t="s">
        <v>226</v>
      </c>
      <c r="F66" s="4" t="s">
        <v>325</v>
      </c>
      <c r="G66" s="4" t="s">
        <v>321</v>
      </c>
      <c r="H66" s="5">
        <v>585000</v>
      </c>
      <c r="I66" s="5">
        <v>0</v>
      </c>
      <c r="J66" s="5">
        <v>585000</v>
      </c>
      <c r="K66" s="5">
        <v>0</v>
      </c>
      <c r="L66" s="5">
        <v>0</v>
      </c>
      <c r="M66" s="5">
        <v>0</v>
      </c>
      <c r="N66" s="5">
        <v>585000</v>
      </c>
      <c r="O66" s="5">
        <v>0</v>
      </c>
      <c r="P66" s="5">
        <v>0</v>
      </c>
      <c r="Q66" s="3"/>
      <c r="R66" s="3"/>
      <c r="S66" s="3"/>
      <c r="T66" s="3" t="s">
        <v>41</v>
      </c>
      <c r="U66" s="3" t="s">
        <v>34</v>
      </c>
      <c r="V66" s="3" t="s">
        <v>35</v>
      </c>
      <c r="W66" s="3" t="s">
        <v>326</v>
      </c>
      <c r="X66" s="3"/>
      <c r="Y66" s="5">
        <v>585000</v>
      </c>
      <c r="Z66" s="5">
        <v>1</v>
      </c>
    </row>
    <row r="67" spans="1:26" ht="15.75" customHeight="1" x14ac:dyDescent="0.35">
      <c r="A67" s="2"/>
      <c r="B67" s="3" t="s">
        <v>327</v>
      </c>
      <c r="C67" s="3" t="s">
        <v>29</v>
      </c>
      <c r="D67" s="3" t="s">
        <v>37</v>
      </c>
      <c r="E67" s="3" t="s">
        <v>328</v>
      </c>
      <c r="F67" s="4" t="s">
        <v>329</v>
      </c>
      <c r="G67" s="4" t="s">
        <v>330</v>
      </c>
      <c r="H67" s="5">
        <v>890000</v>
      </c>
      <c r="I67" s="5">
        <v>0</v>
      </c>
      <c r="J67" s="5">
        <v>890000</v>
      </c>
      <c r="K67" s="5">
        <v>0</v>
      </c>
      <c r="L67" s="5">
        <v>0</v>
      </c>
      <c r="M67" s="5">
        <v>0</v>
      </c>
      <c r="N67" s="5">
        <v>890000</v>
      </c>
      <c r="O67" s="5">
        <v>0</v>
      </c>
      <c r="P67" s="5">
        <v>0</v>
      </c>
      <c r="Q67" s="3"/>
      <c r="R67" s="3"/>
      <c r="S67" s="3"/>
      <c r="T67" s="3" t="s">
        <v>41</v>
      </c>
      <c r="U67" s="3" t="s">
        <v>34</v>
      </c>
      <c r="V67" s="3" t="s">
        <v>35</v>
      </c>
      <c r="W67" s="3" t="s">
        <v>331</v>
      </c>
      <c r="X67" s="3"/>
      <c r="Y67" s="5">
        <v>890000</v>
      </c>
      <c r="Z67" s="5">
        <v>1</v>
      </c>
    </row>
    <row r="68" spans="1:26" ht="15.75" customHeight="1" x14ac:dyDescent="0.35">
      <c r="A68" s="2"/>
      <c r="B68" s="3" t="s">
        <v>319</v>
      </c>
      <c r="C68" s="3" t="s">
        <v>64</v>
      </c>
      <c r="D68" s="3" t="s">
        <v>89</v>
      </c>
      <c r="E68" s="3" t="s">
        <v>332</v>
      </c>
      <c r="F68" s="4" t="s">
        <v>333</v>
      </c>
      <c r="G68" s="4" t="s">
        <v>334</v>
      </c>
      <c r="H68" s="5">
        <v>735000</v>
      </c>
      <c r="I68" s="5">
        <v>0</v>
      </c>
      <c r="J68" s="5">
        <v>735000</v>
      </c>
      <c r="K68" s="5">
        <v>0</v>
      </c>
      <c r="L68" s="5">
        <v>0</v>
      </c>
      <c r="M68" s="5">
        <v>0</v>
      </c>
      <c r="N68" s="5">
        <v>735000</v>
      </c>
      <c r="O68" s="5">
        <v>0</v>
      </c>
      <c r="P68" s="5">
        <v>0</v>
      </c>
      <c r="Q68" s="3" t="s">
        <v>335</v>
      </c>
      <c r="R68" s="3" t="s">
        <v>34</v>
      </c>
      <c r="S68" s="3" t="s">
        <v>34</v>
      </c>
      <c r="T68" s="3" t="s">
        <v>41</v>
      </c>
      <c r="U68" s="3" t="s">
        <v>34</v>
      </c>
      <c r="V68" s="3" t="s">
        <v>35</v>
      </c>
      <c r="W68" s="3" t="s">
        <v>336</v>
      </c>
      <c r="X68" s="3"/>
      <c r="Y68" s="5">
        <v>735000</v>
      </c>
      <c r="Z68" s="5">
        <v>1</v>
      </c>
    </row>
    <row r="69" spans="1:26" ht="15.75" customHeight="1" x14ac:dyDescent="0.35">
      <c r="A69" s="2"/>
      <c r="B69" s="3" t="s">
        <v>324</v>
      </c>
      <c r="C69" s="3" t="s">
        <v>59</v>
      </c>
      <c r="D69" s="3" t="s">
        <v>193</v>
      </c>
      <c r="E69" s="3" t="s">
        <v>337</v>
      </c>
      <c r="F69" s="4" t="s">
        <v>338</v>
      </c>
      <c r="G69" s="4" t="s">
        <v>339</v>
      </c>
      <c r="H69" s="5">
        <v>1170000</v>
      </c>
      <c r="I69" s="5">
        <v>40000</v>
      </c>
      <c r="J69" s="5">
        <v>1210000</v>
      </c>
      <c r="K69" s="5">
        <v>0</v>
      </c>
      <c r="L69" s="5">
        <v>640000</v>
      </c>
      <c r="M69" s="5">
        <v>0</v>
      </c>
      <c r="N69" s="5">
        <v>570000</v>
      </c>
      <c r="O69" s="5">
        <v>0</v>
      </c>
      <c r="P69" s="5">
        <v>0</v>
      </c>
      <c r="Q69" s="3" t="s">
        <v>340</v>
      </c>
      <c r="R69" s="3" t="s">
        <v>34</v>
      </c>
      <c r="S69" s="3" t="s">
        <v>341</v>
      </c>
      <c r="T69" s="3" t="s">
        <v>41</v>
      </c>
      <c r="U69" s="3" t="s">
        <v>34</v>
      </c>
      <c r="V69" s="3" t="s">
        <v>35</v>
      </c>
      <c r="W69" s="3" t="s">
        <v>342</v>
      </c>
      <c r="X69" s="3"/>
      <c r="Y69" s="5">
        <v>585000</v>
      </c>
      <c r="Z69" s="5">
        <v>2</v>
      </c>
    </row>
    <row r="70" spans="1:26" ht="15.75" customHeight="1" x14ac:dyDescent="0.35">
      <c r="A70" s="2"/>
      <c r="B70" s="3" t="s">
        <v>326</v>
      </c>
      <c r="C70" s="3" t="s">
        <v>71</v>
      </c>
      <c r="D70" s="3" t="s">
        <v>72</v>
      </c>
      <c r="E70" s="3" t="s">
        <v>343</v>
      </c>
      <c r="F70" s="4" t="s">
        <v>344</v>
      </c>
      <c r="G70" s="4" t="s">
        <v>345</v>
      </c>
      <c r="H70" s="5">
        <v>620000</v>
      </c>
      <c r="I70" s="5">
        <v>0</v>
      </c>
      <c r="J70" s="5">
        <v>620000</v>
      </c>
      <c r="K70" s="5">
        <v>0</v>
      </c>
      <c r="L70" s="5">
        <v>0</v>
      </c>
      <c r="M70" s="5">
        <v>0</v>
      </c>
      <c r="N70" s="5">
        <v>620000</v>
      </c>
      <c r="O70" s="5">
        <v>0</v>
      </c>
      <c r="P70" s="5">
        <v>0</v>
      </c>
      <c r="Q70" s="3"/>
      <c r="R70" s="3"/>
      <c r="S70" s="3"/>
      <c r="T70" s="3" t="s">
        <v>41</v>
      </c>
      <c r="U70" s="3" t="s">
        <v>34</v>
      </c>
      <c r="V70" s="3" t="s">
        <v>35</v>
      </c>
      <c r="W70" s="3" t="s">
        <v>346</v>
      </c>
      <c r="X70" s="3"/>
      <c r="Y70" s="5">
        <v>620000</v>
      </c>
      <c r="Z70" s="5">
        <v>1</v>
      </c>
    </row>
    <row r="71" spans="1:26" ht="15.75" customHeight="1" x14ac:dyDescent="0.35">
      <c r="A71" s="2"/>
      <c r="B71" s="3" t="s">
        <v>347</v>
      </c>
      <c r="C71" s="3" t="s">
        <v>59</v>
      </c>
      <c r="D71" s="3" t="s">
        <v>60</v>
      </c>
      <c r="E71" s="3" t="s">
        <v>348</v>
      </c>
      <c r="F71" s="4" t="s">
        <v>349</v>
      </c>
      <c r="G71" s="4" t="s">
        <v>350</v>
      </c>
      <c r="H71" s="5">
        <v>2168555</v>
      </c>
      <c r="I71" s="5">
        <v>20000</v>
      </c>
      <c r="J71" s="5">
        <v>2188555</v>
      </c>
      <c r="K71" s="5">
        <v>0</v>
      </c>
      <c r="L71" s="5">
        <v>20000</v>
      </c>
      <c r="M71" s="5">
        <v>0</v>
      </c>
      <c r="N71" s="5">
        <v>0</v>
      </c>
      <c r="O71" s="5">
        <v>2168555</v>
      </c>
      <c r="P71" s="5">
        <v>0</v>
      </c>
      <c r="Q71" s="3" t="s">
        <v>351</v>
      </c>
      <c r="R71" s="3" t="s">
        <v>352</v>
      </c>
      <c r="S71" s="3" t="s">
        <v>34</v>
      </c>
      <c r="T71" s="3" t="s">
        <v>48</v>
      </c>
      <c r="U71" s="3" t="s">
        <v>34</v>
      </c>
      <c r="V71" s="3" t="s">
        <v>35</v>
      </c>
      <c r="W71" s="3" t="s">
        <v>353</v>
      </c>
      <c r="X71" s="3" t="s">
        <v>354</v>
      </c>
      <c r="Y71" s="5">
        <v>542138.75</v>
      </c>
      <c r="Z71" s="5">
        <v>4</v>
      </c>
    </row>
    <row r="72" spans="1:26" ht="15.75" customHeight="1" x14ac:dyDescent="0.35">
      <c r="A72" s="2"/>
      <c r="B72" s="3" t="s">
        <v>355</v>
      </c>
      <c r="C72" s="3" t="s">
        <v>59</v>
      </c>
      <c r="D72" s="3" t="s">
        <v>60</v>
      </c>
      <c r="E72" s="3" t="s">
        <v>356</v>
      </c>
      <c r="F72" s="4" t="s">
        <v>357</v>
      </c>
      <c r="G72" s="4" t="s">
        <v>358</v>
      </c>
      <c r="H72" s="5">
        <v>585000</v>
      </c>
      <c r="I72" s="5">
        <v>0</v>
      </c>
      <c r="J72" s="5">
        <v>585000</v>
      </c>
      <c r="K72" s="5">
        <v>0</v>
      </c>
      <c r="L72" s="5">
        <v>585000</v>
      </c>
      <c r="M72" s="5">
        <v>0</v>
      </c>
      <c r="N72" s="5">
        <v>0</v>
      </c>
      <c r="O72" s="5">
        <v>0</v>
      </c>
      <c r="P72" s="5">
        <v>0</v>
      </c>
      <c r="Q72" s="3" t="s">
        <v>359</v>
      </c>
      <c r="R72" s="3" t="s">
        <v>34</v>
      </c>
      <c r="S72" s="3" t="s">
        <v>34</v>
      </c>
      <c r="T72" s="3" t="s">
        <v>41</v>
      </c>
      <c r="U72" s="3" t="s">
        <v>34</v>
      </c>
      <c r="V72" s="3" t="s">
        <v>35</v>
      </c>
      <c r="W72" s="3" t="s">
        <v>360</v>
      </c>
      <c r="X72" s="3"/>
      <c r="Y72" s="5">
        <v>585000</v>
      </c>
      <c r="Z72" s="5">
        <v>1</v>
      </c>
    </row>
    <row r="73" spans="1:26" ht="15.75" customHeight="1" x14ac:dyDescent="0.35">
      <c r="A73" s="2"/>
      <c r="B73" s="3" t="s">
        <v>346</v>
      </c>
      <c r="C73" s="3" t="s">
        <v>59</v>
      </c>
      <c r="D73" s="3" t="s">
        <v>122</v>
      </c>
      <c r="E73" s="3" t="s">
        <v>361</v>
      </c>
      <c r="F73" s="4" t="s">
        <v>362</v>
      </c>
      <c r="G73" s="4" t="s">
        <v>363</v>
      </c>
      <c r="H73" s="5">
        <v>585000</v>
      </c>
      <c r="I73" s="5">
        <v>0</v>
      </c>
      <c r="J73" s="5">
        <v>585000</v>
      </c>
      <c r="K73" s="5">
        <v>0</v>
      </c>
      <c r="L73" s="5">
        <v>0</v>
      </c>
      <c r="M73" s="5">
        <v>0</v>
      </c>
      <c r="N73" s="5">
        <v>0</v>
      </c>
      <c r="O73" s="5">
        <v>585000</v>
      </c>
      <c r="P73" s="5">
        <v>0</v>
      </c>
      <c r="Q73" s="3" t="s">
        <v>364</v>
      </c>
      <c r="R73" s="3" t="s">
        <v>34</v>
      </c>
      <c r="S73" s="3" t="s">
        <v>34</v>
      </c>
      <c r="T73" s="3" t="s">
        <v>41</v>
      </c>
      <c r="U73" s="3" t="s">
        <v>34</v>
      </c>
      <c r="V73" s="3" t="s">
        <v>35</v>
      </c>
      <c r="W73" s="3" t="s">
        <v>365</v>
      </c>
      <c r="X73" s="3"/>
      <c r="Y73" s="5">
        <v>585000</v>
      </c>
      <c r="Z73" s="5">
        <v>1</v>
      </c>
    </row>
    <row r="74" spans="1:26" ht="15.75" customHeight="1" x14ac:dyDescent="0.35">
      <c r="A74" s="2"/>
      <c r="B74" s="3" t="s">
        <v>366</v>
      </c>
      <c r="C74" s="3" t="s">
        <v>64</v>
      </c>
      <c r="D74" s="3" t="s">
        <v>65</v>
      </c>
      <c r="E74" s="3" t="s">
        <v>367</v>
      </c>
      <c r="F74" s="4" t="s">
        <v>368</v>
      </c>
      <c r="G74" s="4" t="s">
        <v>369</v>
      </c>
      <c r="H74" s="5">
        <v>495000</v>
      </c>
      <c r="I74" s="5">
        <v>150000</v>
      </c>
      <c r="J74" s="5">
        <v>645000</v>
      </c>
      <c r="K74" s="5">
        <v>0</v>
      </c>
      <c r="L74" s="5">
        <v>0</v>
      </c>
      <c r="M74" s="5">
        <v>0</v>
      </c>
      <c r="N74" s="5">
        <v>645000</v>
      </c>
      <c r="O74" s="5">
        <v>0</v>
      </c>
      <c r="P74" s="5">
        <v>0</v>
      </c>
      <c r="Q74" s="3" t="s">
        <v>370</v>
      </c>
      <c r="R74" s="3"/>
      <c r="S74" s="3"/>
      <c r="T74" s="3" t="s">
        <v>41</v>
      </c>
      <c r="U74" s="3" t="s">
        <v>34</v>
      </c>
      <c r="V74" s="3" t="s">
        <v>35</v>
      </c>
      <c r="W74" s="3" t="s">
        <v>371</v>
      </c>
      <c r="X74" s="3"/>
      <c r="Y74" s="5">
        <v>495000</v>
      </c>
      <c r="Z74" s="5">
        <v>1</v>
      </c>
    </row>
    <row r="75" spans="1:26" ht="15.75" customHeight="1" x14ac:dyDescent="0.35">
      <c r="A75" s="2"/>
      <c r="B75" s="3" t="s">
        <v>299</v>
      </c>
      <c r="C75" s="3" t="s">
        <v>64</v>
      </c>
      <c r="D75" s="3" t="s">
        <v>83</v>
      </c>
      <c r="E75" s="3" t="s">
        <v>226</v>
      </c>
      <c r="F75" s="4" t="s">
        <v>372</v>
      </c>
      <c r="G75" s="4" t="s">
        <v>373</v>
      </c>
      <c r="H75" s="5">
        <v>1480000</v>
      </c>
      <c r="I75" s="5">
        <v>0</v>
      </c>
      <c r="J75" s="5">
        <v>1480000</v>
      </c>
      <c r="K75" s="5">
        <v>0</v>
      </c>
      <c r="L75" s="5">
        <v>0</v>
      </c>
      <c r="M75" s="5">
        <v>0</v>
      </c>
      <c r="N75" s="5">
        <v>1480000</v>
      </c>
      <c r="O75" s="5">
        <v>0</v>
      </c>
      <c r="P75" s="5">
        <v>0</v>
      </c>
      <c r="Q75" s="3"/>
      <c r="R75" s="3"/>
      <c r="S75" s="3"/>
      <c r="T75" s="3" t="s">
        <v>41</v>
      </c>
      <c r="U75" s="3" t="s">
        <v>34</v>
      </c>
      <c r="V75" s="3" t="s">
        <v>35</v>
      </c>
      <c r="W75" s="3" t="s">
        <v>374</v>
      </c>
      <c r="X75" s="3"/>
      <c r="Y75" s="5">
        <v>493333.3333</v>
      </c>
      <c r="Z75" s="5">
        <v>3</v>
      </c>
    </row>
    <row r="76" spans="1:26" ht="15.75" customHeight="1" x14ac:dyDescent="0.35">
      <c r="A76" s="2"/>
      <c r="B76" s="3" t="s">
        <v>299</v>
      </c>
      <c r="C76" s="3" t="s">
        <v>64</v>
      </c>
      <c r="D76" s="3" t="s">
        <v>76</v>
      </c>
      <c r="E76" s="3" t="s">
        <v>375</v>
      </c>
      <c r="F76" s="4" t="s">
        <v>372</v>
      </c>
      <c r="G76" s="4" t="s">
        <v>373</v>
      </c>
      <c r="H76" s="5">
        <v>1480000</v>
      </c>
      <c r="I76" s="5">
        <v>0</v>
      </c>
      <c r="J76" s="5">
        <v>1480000</v>
      </c>
      <c r="K76" s="5">
        <v>0</v>
      </c>
      <c r="L76" s="5">
        <v>1000000</v>
      </c>
      <c r="M76" s="5">
        <v>0</v>
      </c>
      <c r="N76" s="5">
        <v>480000</v>
      </c>
      <c r="O76" s="5">
        <v>0</v>
      </c>
      <c r="P76" s="5">
        <v>0</v>
      </c>
      <c r="Q76" s="3" t="s">
        <v>34</v>
      </c>
      <c r="R76" s="3" t="s">
        <v>34</v>
      </c>
      <c r="S76" s="3" t="s">
        <v>34</v>
      </c>
      <c r="T76" s="3" t="s">
        <v>41</v>
      </c>
      <c r="U76" s="3" t="s">
        <v>34</v>
      </c>
      <c r="V76" s="3" t="s">
        <v>35</v>
      </c>
      <c r="W76" s="3" t="s">
        <v>327</v>
      </c>
      <c r="X76" s="3"/>
      <c r="Y76" s="5">
        <v>493333.3333</v>
      </c>
      <c r="Z76" s="5">
        <v>3</v>
      </c>
    </row>
    <row r="77" spans="1:26" ht="15.75" customHeight="1" x14ac:dyDescent="0.35">
      <c r="A77" s="2"/>
      <c r="B77" s="3" t="s">
        <v>336</v>
      </c>
      <c r="C77" s="3" t="s">
        <v>71</v>
      </c>
      <c r="D77" s="3" t="s">
        <v>72</v>
      </c>
      <c r="E77" s="3" t="s">
        <v>376</v>
      </c>
      <c r="F77" s="4" t="s">
        <v>377</v>
      </c>
      <c r="G77" s="4" t="s">
        <v>373</v>
      </c>
      <c r="H77" s="5">
        <v>444960</v>
      </c>
      <c r="I77" s="5">
        <v>0</v>
      </c>
      <c r="J77" s="5">
        <v>444960</v>
      </c>
      <c r="K77" s="5">
        <v>0</v>
      </c>
      <c r="L77" s="5">
        <v>0</v>
      </c>
      <c r="M77" s="5">
        <v>0</v>
      </c>
      <c r="N77" s="5">
        <v>0</v>
      </c>
      <c r="O77" s="5">
        <v>444960</v>
      </c>
      <c r="P77" s="5">
        <v>0</v>
      </c>
      <c r="Q77" s="3" t="s">
        <v>378</v>
      </c>
      <c r="R77" s="3" t="s">
        <v>34</v>
      </c>
      <c r="S77" s="3" t="s">
        <v>34</v>
      </c>
      <c r="T77" s="3" t="s">
        <v>48</v>
      </c>
      <c r="U77" s="3" t="s">
        <v>34</v>
      </c>
      <c r="V77" s="3" t="s">
        <v>35</v>
      </c>
      <c r="W77" s="3" t="s">
        <v>379</v>
      </c>
      <c r="X77" s="3" t="s">
        <v>380</v>
      </c>
      <c r="Y77" s="5">
        <v>444960</v>
      </c>
      <c r="Z77" s="5">
        <v>1</v>
      </c>
    </row>
    <row r="78" spans="1:26" ht="15.75" customHeight="1" x14ac:dyDescent="0.35">
      <c r="A78" s="2"/>
      <c r="B78" s="3" t="s">
        <v>381</v>
      </c>
      <c r="C78" s="3" t="s">
        <v>29</v>
      </c>
      <c r="D78" s="3" t="s">
        <v>43</v>
      </c>
      <c r="E78" s="3" t="s">
        <v>382</v>
      </c>
      <c r="F78" s="4" t="s">
        <v>383</v>
      </c>
      <c r="G78" s="4" t="s">
        <v>373</v>
      </c>
      <c r="H78" s="5">
        <v>809000</v>
      </c>
      <c r="I78" s="5">
        <v>0</v>
      </c>
      <c r="J78" s="5">
        <v>809000</v>
      </c>
      <c r="K78" s="5">
        <v>0</v>
      </c>
      <c r="L78" s="5">
        <v>0</v>
      </c>
      <c r="M78" s="5">
        <v>0</v>
      </c>
      <c r="N78" s="5">
        <v>0</v>
      </c>
      <c r="O78" s="5">
        <v>809000</v>
      </c>
      <c r="P78" s="5">
        <v>0</v>
      </c>
      <c r="Q78" s="3" t="s">
        <v>384</v>
      </c>
      <c r="R78" s="3" t="s">
        <v>34</v>
      </c>
      <c r="S78" s="3" t="s">
        <v>34</v>
      </c>
      <c r="T78" s="3" t="s">
        <v>41</v>
      </c>
      <c r="U78" s="3" t="s">
        <v>34</v>
      </c>
      <c r="V78" s="3" t="s">
        <v>35</v>
      </c>
      <c r="W78" s="3" t="s">
        <v>385</v>
      </c>
      <c r="X78" s="3"/>
      <c r="Y78" s="5">
        <v>809000</v>
      </c>
      <c r="Z78" s="5">
        <v>1</v>
      </c>
    </row>
    <row r="79" spans="1:26" ht="15.75" customHeight="1" x14ac:dyDescent="0.35">
      <c r="A79" s="2"/>
      <c r="B79" s="3" t="s">
        <v>386</v>
      </c>
      <c r="C79" s="3" t="s">
        <v>64</v>
      </c>
      <c r="D79" s="3" t="s">
        <v>89</v>
      </c>
      <c r="E79" s="3" t="s">
        <v>387</v>
      </c>
      <c r="F79" s="4" t="s">
        <v>388</v>
      </c>
      <c r="G79" s="4" t="s">
        <v>389</v>
      </c>
      <c r="H79" s="5">
        <v>549000</v>
      </c>
      <c r="I79" s="5">
        <v>0</v>
      </c>
      <c r="J79" s="5">
        <v>494100</v>
      </c>
      <c r="K79" s="5">
        <v>0</v>
      </c>
      <c r="L79" s="5">
        <v>94100</v>
      </c>
      <c r="M79" s="5">
        <v>0</v>
      </c>
      <c r="N79" s="5">
        <v>400000</v>
      </c>
      <c r="O79" s="5">
        <v>0</v>
      </c>
      <c r="P79" s="5">
        <v>0</v>
      </c>
      <c r="Q79" s="3"/>
      <c r="R79" s="3"/>
      <c r="S79" s="3"/>
      <c r="T79" s="3" t="s">
        <v>48</v>
      </c>
      <c r="U79" s="3" t="s">
        <v>34</v>
      </c>
      <c r="V79" s="3" t="s">
        <v>35</v>
      </c>
      <c r="W79" s="3" t="s">
        <v>381</v>
      </c>
      <c r="X79" s="3" t="s">
        <v>390</v>
      </c>
      <c r="Y79" s="5">
        <v>549000</v>
      </c>
      <c r="Z79" s="5">
        <v>1</v>
      </c>
    </row>
    <row r="80" spans="1:26" ht="15.75" customHeight="1" x14ac:dyDescent="0.35">
      <c r="A80" s="2"/>
      <c r="B80" s="3" t="s">
        <v>386</v>
      </c>
      <c r="C80" s="3" t="s">
        <v>64</v>
      </c>
      <c r="D80" s="3" t="s">
        <v>99</v>
      </c>
      <c r="E80" s="3" t="s">
        <v>387</v>
      </c>
      <c r="F80" s="4" t="s">
        <v>388</v>
      </c>
      <c r="G80" s="4" t="s">
        <v>389</v>
      </c>
      <c r="H80" s="5">
        <v>549000</v>
      </c>
      <c r="I80" s="5">
        <v>0</v>
      </c>
      <c r="J80" s="5">
        <v>494100</v>
      </c>
      <c r="K80" s="5">
        <v>0</v>
      </c>
      <c r="L80" s="5">
        <v>494100</v>
      </c>
      <c r="M80" s="5">
        <v>0</v>
      </c>
      <c r="N80" s="5">
        <v>0</v>
      </c>
      <c r="O80" s="5">
        <v>0</v>
      </c>
      <c r="P80" s="5">
        <v>0</v>
      </c>
      <c r="Q80" s="3" t="s">
        <v>391</v>
      </c>
      <c r="R80" s="3" t="s">
        <v>392</v>
      </c>
      <c r="S80" s="3" t="s">
        <v>393</v>
      </c>
      <c r="T80" s="3" t="s">
        <v>48</v>
      </c>
      <c r="U80" s="3" t="s">
        <v>34</v>
      </c>
      <c r="V80" s="3" t="s">
        <v>35</v>
      </c>
      <c r="W80" s="3" t="s">
        <v>394</v>
      </c>
      <c r="X80" s="3" t="s">
        <v>390</v>
      </c>
      <c r="Y80" s="5">
        <v>549000</v>
      </c>
      <c r="Z80" s="5">
        <v>1</v>
      </c>
    </row>
    <row r="81" spans="1:26" ht="15.75" customHeight="1" x14ac:dyDescent="0.35">
      <c r="A81" s="2"/>
      <c r="B81" s="3" t="s">
        <v>395</v>
      </c>
      <c r="C81" s="3" t="s">
        <v>64</v>
      </c>
      <c r="D81" s="3" t="s">
        <v>89</v>
      </c>
      <c r="E81" s="3" t="s">
        <v>387</v>
      </c>
      <c r="F81" s="4" t="s">
        <v>396</v>
      </c>
      <c r="G81" s="4" t="s">
        <v>397</v>
      </c>
      <c r="H81" s="5">
        <v>550000</v>
      </c>
      <c r="I81" s="5">
        <v>0</v>
      </c>
      <c r="J81" s="5">
        <v>550000</v>
      </c>
      <c r="K81" s="5">
        <v>0</v>
      </c>
      <c r="L81" s="5">
        <v>550000</v>
      </c>
      <c r="M81" s="5">
        <v>0</v>
      </c>
      <c r="N81" s="5">
        <v>0</v>
      </c>
      <c r="O81" s="5">
        <v>0</v>
      </c>
      <c r="P81" s="5">
        <v>0</v>
      </c>
      <c r="Q81" s="3" t="s">
        <v>391</v>
      </c>
      <c r="R81" s="3" t="s">
        <v>392</v>
      </c>
      <c r="S81" s="3" t="s">
        <v>393</v>
      </c>
      <c r="T81" s="3" t="s">
        <v>41</v>
      </c>
      <c r="U81" s="3" t="s">
        <v>34</v>
      </c>
      <c r="V81" s="3" t="s">
        <v>35</v>
      </c>
      <c r="W81" s="3" t="s">
        <v>398</v>
      </c>
      <c r="X81" s="3"/>
      <c r="Y81" s="5">
        <v>550000</v>
      </c>
      <c r="Z81" s="5">
        <v>1</v>
      </c>
    </row>
    <row r="82" spans="1:26" ht="15.75" customHeight="1" x14ac:dyDescent="0.35">
      <c r="A82" s="2"/>
      <c r="B82" s="3" t="s">
        <v>399</v>
      </c>
      <c r="C82" s="3" t="s">
        <v>29</v>
      </c>
      <c r="D82" s="3" t="s">
        <v>30</v>
      </c>
      <c r="E82" s="3" t="s">
        <v>400</v>
      </c>
      <c r="F82" s="4" t="s">
        <v>401</v>
      </c>
      <c r="G82" s="4" t="s">
        <v>402</v>
      </c>
      <c r="H82" s="5">
        <v>1600000</v>
      </c>
      <c r="I82" s="5">
        <v>0</v>
      </c>
      <c r="J82" s="5">
        <v>1600000</v>
      </c>
      <c r="K82" s="5">
        <v>0</v>
      </c>
      <c r="L82" s="5">
        <v>1600000</v>
      </c>
      <c r="M82" s="5">
        <v>0</v>
      </c>
      <c r="N82" s="5">
        <v>0</v>
      </c>
      <c r="O82" s="5">
        <v>0</v>
      </c>
      <c r="P82" s="5">
        <v>0</v>
      </c>
      <c r="Q82" s="3" t="s">
        <v>403</v>
      </c>
      <c r="R82" s="3" t="s">
        <v>34</v>
      </c>
      <c r="S82" s="3" t="s">
        <v>34</v>
      </c>
      <c r="T82" s="3" t="s">
        <v>41</v>
      </c>
      <c r="U82" s="3" t="s">
        <v>34</v>
      </c>
      <c r="V82" s="3" t="s">
        <v>35</v>
      </c>
      <c r="W82" s="3" t="s">
        <v>395</v>
      </c>
      <c r="X82" s="3"/>
      <c r="Y82" s="5">
        <v>800000</v>
      </c>
      <c r="Z82" s="5">
        <v>2</v>
      </c>
    </row>
    <row r="83" spans="1:26" ht="15.75" customHeight="1" x14ac:dyDescent="0.35">
      <c r="A83" s="2"/>
      <c r="B83" s="3" t="s">
        <v>404</v>
      </c>
      <c r="C83" s="3" t="s">
        <v>59</v>
      </c>
      <c r="D83" s="3" t="s">
        <v>193</v>
      </c>
      <c r="E83" s="3" t="s">
        <v>376</v>
      </c>
      <c r="F83" s="4" t="s">
        <v>405</v>
      </c>
      <c r="G83" s="4" t="s">
        <v>406</v>
      </c>
      <c r="H83" s="5">
        <v>525600</v>
      </c>
      <c r="I83" s="5">
        <v>0</v>
      </c>
      <c r="J83" s="5">
        <v>525600</v>
      </c>
      <c r="K83" s="5">
        <v>0</v>
      </c>
      <c r="L83" s="5">
        <v>0</v>
      </c>
      <c r="M83" s="5">
        <v>0</v>
      </c>
      <c r="N83" s="5">
        <v>0</v>
      </c>
      <c r="O83" s="5">
        <v>525600</v>
      </c>
      <c r="P83" s="5">
        <v>0</v>
      </c>
      <c r="Q83" s="3" t="s">
        <v>378</v>
      </c>
      <c r="R83" s="3" t="s">
        <v>34</v>
      </c>
      <c r="S83" s="3" t="s">
        <v>34</v>
      </c>
      <c r="T83" s="3" t="s">
        <v>48</v>
      </c>
      <c r="U83" s="3" t="s">
        <v>34</v>
      </c>
      <c r="V83" s="3" t="s">
        <v>35</v>
      </c>
      <c r="W83" s="3" t="s">
        <v>407</v>
      </c>
      <c r="X83" s="3" t="s">
        <v>408</v>
      </c>
      <c r="Y83" s="5">
        <v>525600</v>
      </c>
      <c r="Z83" s="5">
        <v>1</v>
      </c>
    </row>
    <row r="84" spans="1:26" ht="15.75" customHeight="1" x14ac:dyDescent="0.35">
      <c r="A84" s="2"/>
      <c r="B84" s="3" t="s">
        <v>409</v>
      </c>
      <c r="C84" s="3" t="s">
        <v>71</v>
      </c>
      <c r="D84" s="3" t="s">
        <v>95</v>
      </c>
      <c r="E84" s="3" t="s">
        <v>310</v>
      </c>
      <c r="F84" s="4" t="s">
        <v>410</v>
      </c>
      <c r="G84" s="4" t="s">
        <v>411</v>
      </c>
      <c r="H84" s="5">
        <v>1069034</v>
      </c>
      <c r="I84" s="5">
        <v>0</v>
      </c>
      <c r="J84" s="5">
        <v>1069034</v>
      </c>
      <c r="K84" s="5">
        <v>0</v>
      </c>
      <c r="L84" s="5">
        <v>0</v>
      </c>
      <c r="M84" s="5">
        <v>0</v>
      </c>
      <c r="N84" s="5">
        <v>0</v>
      </c>
      <c r="O84" s="5">
        <v>1069034</v>
      </c>
      <c r="P84" s="5">
        <v>0</v>
      </c>
      <c r="Q84" s="3" t="s">
        <v>312</v>
      </c>
      <c r="R84" s="3" t="s">
        <v>34</v>
      </c>
      <c r="S84" s="3" t="s">
        <v>34</v>
      </c>
      <c r="T84" s="3" t="s">
        <v>48</v>
      </c>
      <c r="U84" s="3" t="s">
        <v>34</v>
      </c>
      <c r="V84" s="3" t="s">
        <v>35</v>
      </c>
      <c r="W84" s="3" t="s">
        <v>355</v>
      </c>
      <c r="X84" s="3" t="s">
        <v>412</v>
      </c>
      <c r="Y84" s="5">
        <v>534517</v>
      </c>
      <c r="Z84" s="5">
        <v>2</v>
      </c>
    </row>
    <row r="85" spans="1:26" ht="15.75" customHeight="1" x14ac:dyDescent="0.35">
      <c r="A85" s="2"/>
      <c r="B85" s="3" t="s">
        <v>193</v>
      </c>
      <c r="C85" s="3" t="s">
        <v>29</v>
      </c>
      <c r="D85" s="3" t="s">
        <v>413</v>
      </c>
      <c r="E85" s="3" t="s">
        <v>414</v>
      </c>
      <c r="F85" s="4" t="s">
        <v>415</v>
      </c>
      <c r="G85" s="4" t="s">
        <v>416</v>
      </c>
      <c r="H85" s="5">
        <v>450000</v>
      </c>
      <c r="I85" s="5">
        <v>0</v>
      </c>
      <c r="J85" s="5">
        <v>450000</v>
      </c>
      <c r="K85" s="5">
        <v>0</v>
      </c>
      <c r="L85" s="5">
        <v>-50000</v>
      </c>
      <c r="M85" s="5">
        <v>0</v>
      </c>
      <c r="N85" s="5">
        <v>500000</v>
      </c>
      <c r="O85" s="5">
        <v>0</v>
      </c>
      <c r="P85" s="5">
        <v>0</v>
      </c>
      <c r="Q85" s="3"/>
      <c r="R85" s="3"/>
      <c r="S85" s="3"/>
      <c r="T85" s="3" t="s">
        <v>41</v>
      </c>
      <c r="U85" s="3" t="s">
        <v>34</v>
      </c>
      <c r="V85" s="3" t="s">
        <v>35</v>
      </c>
      <c r="W85" s="3" t="s">
        <v>417</v>
      </c>
      <c r="X85" s="3"/>
      <c r="Y85" s="5">
        <v>450000</v>
      </c>
      <c r="Z85" s="5">
        <v>1</v>
      </c>
    </row>
    <row r="86" spans="1:26" ht="15.75" customHeight="1" x14ac:dyDescent="0.35">
      <c r="A86" s="2"/>
      <c r="B86" s="3" t="s">
        <v>407</v>
      </c>
      <c r="C86" s="3" t="s">
        <v>71</v>
      </c>
      <c r="D86" s="3" t="s">
        <v>72</v>
      </c>
      <c r="E86" s="3" t="s">
        <v>418</v>
      </c>
      <c r="F86" s="4" t="s">
        <v>419</v>
      </c>
      <c r="G86" s="4" t="s">
        <v>420</v>
      </c>
      <c r="H86" s="5">
        <v>350000</v>
      </c>
      <c r="I86" s="5">
        <v>0</v>
      </c>
      <c r="J86" s="5">
        <v>350000</v>
      </c>
      <c r="K86" s="5">
        <v>0</v>
      </c>
      <c r="L86" s="5">
        <v>350000</v>
      </c>
      <c r="M86" s="5">
        <v>0</v>
      </c>
      <c r="N86" s="5">
        <v>0</v>
      </c>
      <c r="O86" s="5">
        <v>0</v>
      </c>
      <c r="P86" s="5">
        <v>0</v>
      </c>
      <c r="Q86" s="3" t="s">
        <v>34</v>
      </c>
      <c r="R86" s="3" t="s">
        <v>34</v>
      </c>
      <c r="S86" s="3" t="s">
        <v>34</v>
      </c>
      <c r="T86" s="3" t="s">
        <v>41</v>
      </c>
      <c r="U86" s="3" t="s">
        <v>34</v>
      </c>
      <c r="V86" s="3" t="s">
        <v>35</v>
      </c>
      <c r="W86" s="3" t="s">
        <v>421</v>
      </c>
      <c r="X86" s="3"/>
      <c r="Y86" s="5">
        <v>350000</v>
      </c>
      <c r="Z86" s="5">
        <v>1</v>
      </c>
    </row>
    <row r="87" spans="1:26" ht="15.75" customHeight="1" x14ac:dyDescent="0.35">
      <c r="A87" s="2"/>
      <c r="B87" s="3" t="s">
        <v>173</v>
      </c>
      <c r="C87" s="3" t="s">
        <v>64</v>
      </c>
      <c r="D87" s="3" t="s">
        <v>65</v>
      </c>
      <c r="E87" s="3" t="s">
        <v>422</v>
      </c>
      <c r="F87" s="4" t="s">
        <v>423</v>
      </c>
      <c r="G87" s="4" t="s">
        <v>424</v>
      </c>
      <c r="H87" s="5">
        <v>580000</v>
      </c>
      <c r="I87" s="5">
        <v>0</v>
      </c>
      <c r="J87" s="5">
        <v>580000</v>
      </c>
      <c r="K87" s="5">
        <v>0</v>
      </c>
      <c r="L87" s="5">
        <v>0</v>
      </c>
      <c r="M87" s="5">
        <v>0</v>
      </c>
      <c r="N87" s="5">
        <v>580000</v>
      </c>
      <c r="O87" s="5">
        <v>0</v>
      </c>
      <c r="P87" s="5">
        <v>0</v>
      </c>
      <c r="Q87" s="3" t="s">
        <v>425</v>
      </c>
      <c r="R87" s="3" t="s">
        <v>34</v>
      </c>
      <c r="S87" s="3" t="s">
        <v>34</v>
      </c>
      <c r="T87" s="3" t="s">
        <v>41</v>
      </c>
      <c r="U87" s="3" t="s">
        <v>34</v>
      </c>
      <c r="V87" s="3" t="s">
        <v>35</v>
      </c>
      <c r="W87" s="3" t="s">
        <v>426</v>
      </c>
      <c r="X87" s="3"/>
      <c r="Y87" s="5">
        <v>580000</v>
      </c>
      <c r="Z87" s="5">
        <v>1</v>
      </c>
    </row>
    <row r="88" spans="1:26" ht="15.75" customHeight="1" x14ac:dyDescent="0.35">
      <c r="A88" s="2"/>
      <c r="B88" s="3" t="s">
        <v>360</v>
      </c>
      <c r="C88" s="3" t="s">
        <v>29</v>
      </c>
      <c r="D88" s="3" t="s">
        <v>37</v>
      </c>
      <c r="E88" s="3" t="s">
        <v>66</v>
      </c>
      <c r="F88" s="4" t="s">
        <v>423</v>
      </c>
      <c r="G88" s="4" t="s">
        <v>427</v>
      </c>
      <c r="H88" s="5">
        <v>800000</v>
      </c>
      <c r="I88" s="5">
        <v>0</v>
      </c>
      <c r="J88" s="5">
        <v>800000</v>
      </c>
      <c r="K88" s="5">
        <v>0</v>
      </c>
      <c r="L88" s="5">
        <v>400000</v>
      </c>
      <c r="M88" s="5">
        <v>0</v>
      </c>
      <c r="N88" s="5">
        <v>400000</v>
      </c>
      <c r="O88" s="5">
        <v>0</v>
      </c>
      <c r="P88" s="5">
        <v>0</v>
      </c>
      <c r="Q88" s="3"/>
      <c r="R88" s="3"/>
      <c r="S88" s="3"/>
      <c r="T88" s="3" t="s">
        <v>41</v>
      </c>
      <c r="U88" s="3" t="s">
        <v>34</v>
      </c>
      <c r="V88" s="3" t="s">
        <v>35</v>
      </c>
      <c r="W88" s="3" t="s">
        <v>428</v>
      </c>
      <c r="X88" s="3"/>
      <c r="Y88" s="5">
        <v>800000</v>
      </c>
      <c r="Z88" s="5">
        <v>1</v>
      </c>
    </row>
    <row r="89" spans="1:26" ht="15.75" customHeight="1" x14ac:dyDescent="0.35">
      <c r="A89" s="2"/>
      <c r="B89" s="3" t="s">
        <v>379</v>
      </c>
      <c r="C89" s="3" t="s">
        <v>64</v>
      </c>
      <c r="D89" s="3" t="s">
        <v>76</v>
      </c>
      <c r="E89" s="3" t="s">
        <v>429</v>
      </c>
      <c r="F89" s="4" t="s">
        <v>430</v>
      </c>
      <c r="G89" s="4" t="s">
        <v>431</v>
      </c>
      <c r="H89" s="5">
        <v>585000</v>
      </c>
      <c r="I89" s="5">
        <v>19000</v>
      </c>
      <c r="J89" s="5">
        <v>604000</v>
      </c>
      <c r="K89" s="5">
        <v>0</v>
      </c>
      <c r="L89" s="5">
        <v>19000</v>
      </c>
      <c r="M89" s="5">
        <v>0</v>
      </c>
      <c r="N89" s="5">
        <v>585000</v>
      </c>
      <c r="O89" s="5">
        <v>0</v>
      </c>
      <c r="P89" s="5">
        <v>0</v>
      </c>
      <c r="Q89" s="3" t="s">
        <v>432</v>
      </c>
      <c r="R89" s="3" t="s">
        <v>34</v>
      </c>
      <c r="S89" s="3" t="s">
        <v>34</v>
      </c>
      <c r="T89" s="3" t="s">
        <v>41</v>
      </c>
      <c r="U89" s="3" t="s">
        <v>34</v>
      </c>
      <c r="V89" s="3" t="s">
        <v>35</v>
      </c>
      <c r="W89" s="3" t="s">
        <v>433</v>
      </c>
      <c r="X89" s="3"/>
      <c r="Y89" s="5">
        <v>585000</v>
      </c>
      <c r="Z89" s="5">
        <v>1</v>
      </c>
    </row>
    <row r="90" spans="1:26" ht="15.75" customHeight="1" x14ac:dyDescent="0.35">
      <c r="A90" s="2"/>
      <c r="B90" s="3" t="s">
        <v>385</v>
      </c>
      <c r="C90" s="3" t="s">
        <v>59</v>
      </c>
      <c r="D90" s="3" t="s">
        <v>60</v>
      </c>
      <c r="E90" s="3" t="s">
        <v>434</v>
      </c>
      <c r="F90" s="4" t="s">
        <v>435</v>
      </c>
      <c r="G90" s="4" t="s">
        <v>436</v>
      </c>
      <c r="H90" s="5">
        <v>585000</v>
      </c>
      <c r="I90" s="5">
        <v>0</v>
      </c>
      <c r="J90" s="5">
        <v>585000</v>
      </c>
      <c r="K90" s="5">
        <v>0</v>
      </c>
      <c r="L90" s="5">
        <v>0</v>
      </c>
      <c r="M90" s="5">
        <v>0</v>
      </c>
      <c r="N90" s="5">
        <v>585000</v>
      </c>
      <c r="O90" s="5">
        <v>0</v>
      </c>
      <c r="P90" s="5">
        <v>0</v>
      </c>
      <c r="Q90" s="3" t="s">
        <v>437</v>
      </c>
      <c r="R90" s="3"/>
      <c r="S90" s="3"/>
      <c r="T90" s="3" t="s">
        <v>41</v>
      </c>
      <c r="U90" s="3" t="s">
        <v>34</v>
      </c>
      <c r="V90" s="3" t="s">
        <v>35</v>
      </c>
      <c r="W90" s="3" t="s">
        <v>438</v>
      </c>
      <c r="X90" s="3"/>
      <c r="Y90" s="5">
        <v>585000</v>
      </c>
      <c r="Z90" s="5">
        <v>1</v>
      </c>
    </row>
    <row r="91" spans="1:26" ht="15.75" customHeight="1" x14ac:dyDescent="0.35">
      <c r="A91" s="2"/>
      <c r="B91" s="3" t="s">
        <v>439</v>
      </c>
      <c r="C91" s="3" t="s">
        <v>64</v>
      </c>
      <c r="D91" s="3" t="s">
        <v>173</v>
      </c>
      <c r="E91" s="3" t="s">
        <v>440</v>
      </c>
      <c r="F91" s="4" t="s">
        <v>441</v>
      </c>
      <c r="G91" s="4" t="s">
        <v>442</v>
      </c>
      <c r="H91" s="5">
        <v>410000</v>
      </c>
      <c r="I91" s="5">
        <v>20000</v>
      </c>
      <c r="J91" s="5">
        <v>430000</v>
      </c>
      <c r="K91" s="5">
        <v>0</v>
      </c>
      <c r="L91" s="5">
        <v>0</v>
      </c>
      <c r="M91" s="5">
        <v>0</v>
      </c>
      <c r="N91" s="5">
        <v>430000</v>
      </c>
      <c r="O91" s="5">
        <v>0</v>
      </c>
      <c r="P91" s="5">
        <v>0</v>
      </c>
      <c r="Q91" s="3" t="s">
        <v>443</v>
      </c>
      <c r="R91" s="3" t="s">
        <v>34</v>
      </c>
      <c r="S91" s="3" t="s">
        <v>444</v>
      </c>
      <c r="T91" s="3" t="s">
        <v>41</v>
      </c>
      <c r="U91" s="3" t="s">
        <v>34</v>
      </c>
      <c r="V91" s="3" t="s">
        <v>35</v>
      </c>
      <c r="W91" s="3" t="s">
        <v>445</v>
      </c>
      <c r="X91" s="3"/>
      <c r="Y91" s="5">
        <v>410000</v>
      </c>
      <c r="Z91" s="5">
        <v>1</v>
      </c>
    </row>
    <row r="92" spans="1:26" ht="15.75" customHeight="1" x14ac:dyDescent="0.35">
      <c r="A92" s="2"/>
      <c r="B92" s="3" t="s">
        <v>446</v>
      </c>
      <c r="C92" s="3" t="s">
        <v>29</v>
      </c>
      <c r="D92" s="3" t="s">
        <v>30</v>
      </c>
      <c r="E92" s="3" t="s">
        <v>447</v>
      </c>
      <c r="F92" s="4" t="s">
        <v>448</v>
      </c>
      <c r="G92" s="4" t="s">
        <v>449</v>
      </c>
      <c r="H92" s="5">
        <v>1139000</v>
      </c>
      <c r="I92" s="5">
        <v>160000</v>
      </c>
      <c r="J92" s="5">
        <v>1299000</v>
      </c>
      <c r="K92" s="5">
        <v>0</v>
      </c>
      <c r="L92" s="5">
        <v>0</v>
      </c>
      <c r="M92" s="5">
        <v>0</v>
      </c>
      <c r="N92" s="5">
        <v>1299000</v>
      </c>
      <c r="O92" s="5">
        <v>0</v>
      </c>
      <c r="P92" s="5">
        <v>0</v>
      </c>
      <c r="Q92" s="3" t="s">
        <v>450</v>
      </c>
      <c r="R92" s="3" t="s">
        <v>34</v>
      </c>
      <c r="S92" s="3" t="s">
        <v>34</v>
      </c>
      <c r="T92" s="3" t="s">
        <v>41</v>
      </c>
      <c r="U92" s="3" t="s">
        <v>34</v>
      </c>
      <c r="V92" s="3" t="s">
        <v>35</v>
      </c>
      <c r="W92" s="3" t="s">
        <v>386</v>
      </c>
      <c r="X92" s="3"/>
      <c r="Y92" s="5">
        <v>1139000</v>
      </c>
      <c r="Z92" s="5">
        <v>1</v>
      </c>
    </row>
    <row r="93" spans="1:26" ht="15.75" customHeight="1" x14ac:dyDescent="0.35">
      <c r="A93" s="2"/>
      <c r="B93" s="3" t="s">
        <v>374</v>
      </c>
      <c r="C93" s="3" t="s">
        <v>64</v>
      </c>
      <c r="D93" s="3" t="s">
        <v>76</v>
      </c>
      <c r="E93" s="3" t="s">
        <v>451</v>
      </c>
      <c r="F93" s="4" t="s">
        <v>452</v>
      </c>
      <c r="G93" s="4" t="s">
        <v>453</v>
      </c>
      <c r="H93" s="5">
        <v>300000</v>
      </c>
      <c r="I93" s="5">
        <v>0</v>
      </c>
      <c r="J93" s="5">
        <v>300000</v>
      </c>
      <c r="K93" s="5">
        <v>0</v>
      </c>
      <c r="L93" s="5">
        <v>0</v>
      </c>
      <c r="M93" s="5">
        <v>0</v>
      </c>
      <c r="N93" s="5">
        <v>300000</v>
      </c>
      <c r="O93" s="5">
        <v>0</v>
      </c>
      <c r="P93" s="5">
        <v>0</v>
      </c>
      <c r="Q93" s="3"/>
      <c r="R93" s="3"/>
      <c r="S93" s="3"/>
      <c r="T93" s="3" t="s">
        <v>41</v>
      </c>
      <c r="U93" s="3" t="s">
        <v>34</v>
      </c>
      <c r="V93" s="3" t="s">
        <v>35</v>
      </c>
      <c r="W93" s="3" t="s">
        <v>399</v>
      </c>
      <c r="X93" s="3"/>
      <c r="Y93" s="5">
        <v>300000</v>
      </c>
      <c r="Z93" s="5">
        <v>1</v>
      </c>
    </row>
    <row r="94" spans="1:26" ht="15.75" customHeight="1" x14ac:dyDescent="0.35">
      <c r="A94" s="2"/>
      <c r="B94" s="3" t="s">
        <v>454</v>
      </c>
      <c r="C94" s="3" t="s">
        <v>64</v>
      </c>
      <c r="D94" s="3" t="s">
        <v>76</v>
      </c>
      <c r="E94" s="3" t="s">
        <v>455</v>
      </c>
      <c r="F94" s="4" t="s">
        <v>456</v>
      </c>
      <c r="G94" s="4" t="s">
        <v>457</v>
      </c>
      <c r="H94" s="5">
        <v>495000</v>
      </c>
      <c r="I94" s="5">
        <v>0</v>
      </c>
      <c r="J94" s="5">
        <v>495000</v>
      </c>
      <c r="K94" s="5">
        <v>0</v>
      </c>
      <c r="L94" s="5">
        <v>0</v>
      </c>
      <c r="M94" s="5">
        <v>0</v>
      </c>
      <c r="N94" s="5">
        <v>495000</v>
      </c>
      <c r="O94" s="5">
        <v>0</v>
      </c>
      <c r="P94" s="5">
        <v>0</v>
      </c>
      <c r="Q94" s="3" t="s">
        <v>458</v>
      </c>
      <c r="R94" s="3" t="s">
        <v>34</v>
      </c>
      <c r="S94" s="3" t="s">
        <v>34</v>
      </c>
      <c r="T94" s="3" t="s">
        <v>41</v>
      </c>
      <c r="U94" s="3" t="s">
        <v>34</v>
      </c>
      <c r="V94" s="3" t="s">
        <v>35</v>
      </c>
      <c r="W94" s="3" t="s">
        <v>459</v>
      </c>
      <c r="X94" s="3"/>
      <c r="Y94" s="5">
        <v>495000</v>
      </c>
      <c r="Z94" s="5">
        <v>1</v>
      </c>
    </row>
    <row r="95" spans="1:26" ht="15.75" customHeight="1" x14ac:dyDescent="0.35">
      <c r="A95" s="2"/>
      <c r="B95" s="3" t="s">
        <v>460</v>
      </c>
      <c r="C95" s="3" t="s">
        <v>29</v>
      </c>
      <c r="D95" s="3" t="s">
        <v>43</v>
      </c>
      <c r="E95" s="3" t="s">
        <v>461</v>
      </c>
      <c r="F95" s="4" t="s">
        <v>462</v>
      </c>
      <c r="G95" s="4" t="s">
        <v>463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3" t="s">
        <v>464</v>
      </c>
      <c r="R95" s="3" t="s">
        <v>34</v>
      </c>
      <c r="S95" s="3" t="s">
        <v>34</v>
      </c>
      <c r="T95" s="3" t="s">
        <v>119</v>
      </c>
      <c r="U95" s="3" t="s">
        <v>34</v>
      </c>
      <c r="V95" s="3" t="s">
        <v>35</v>
      </c>
      <c r="W95" s="3" t="s">
        <v>465</v>
      </c>
      <c r="X95" s="3"/>
      <c r="Y95" s="5">
        <v>0</v>
      </c>
      <c r="Z95" s="5">
        <v>3</v>
      </c>
    </row>
    <row r="96" spans="1:26" ht="15.75" customHeight="1" x14ac:dyDescent="0.35">
      <c r="A96" s="2"/>
      <c r="B96" s="3" t="s">
        <v>371</v>
      </c>
      <c r="C96" s="3" t="s">
        <v>71</v>
      </c>
      <c r="D96" s="3" t="s">
        <v>95</v>
      </c>
      <c r="E96" s="3" t="s">
        <v>466</v>
      </c>
      <c r="F96" s="4" t="s">
        <v>467</v>
      </c>
      <c r="G96" s="4" t="s">
        <v>468</v>
      </c>
      <c r="H96" s="5">
        <v>629100</v>
      </c>
      <c r="I96" s="5">
        <v>0</v>
      </c>
      <c r="J96" s="5">
        <v>629100</v>
      </c>
      <c r="K96" s="5">
        <v>0</v>
      </c>
      <c r="L96" s="5">
        <v>329100</v>
      </c>
      <c r="M96" s="5">
        <v>0</v>
      </c>
      <c r="N96" s="5">
        <v>300000</v>
      </c>
      <c r="O96" s="5">
        <v>0</v>
      </c>
      <c r="P96" s="5">
        <v>0</v>
      </c>
      <c r="Q96" s="3" t="s">
        <v>469</v>
      </c>
      <c r="R96" s="3" t="s">
        <v>34</v>
      </c>
      <c r="S96" s="3" t="s">
        <v>34</v>
      </c>
      <c r="T96" s="3" t="s">
        <v>41</v>
      </c>
      <c r="U96" s="3" t="s">
        <v>34</v>
      </c>
      <c r="V96" s="3" t="s">
        <v>35</v>
      </c>
      <c r="W96" s="3" t="s">
        <v>470</v>
      </c>
      <c r="X96" s="3"/>
      <c r="Y96" s="5">
        <v>629100</v>
      </c>
      <c r="Z96" s="5">
        <v>1</v>
      </c>
    </row>
    <row r="97" spans="1:26" ht="15.75" customHeight="1" x14ac:dyDescent="0.35">
      <c r="A97" s="2"/>
      <c r="B97" s="3" t="s">
        <v>398</v>
      </c>
      <c r="C97" s="3" t="s">
        <v>64</v>
      </c>
      <c r="D97" s="3" t="s">
        <v>65</v>
      </c>
      <c r="E97" s="3" t="s">
        <v>471</v>
      </c>
      <c r="F97" s="4" t="s">
        <v>472</v>
      </c>
      <c r="G97" s="4" t="s">
        <v>473</v>
      </c>
      <c r="H97" s="5">
        <v>495000</v>
      </c>
      <c r="I97" s="5">
        <v>0</v>
      </c>
      <c r="J97" s="5">
        <v>495000</v>
      </c>
      <c r="K97" s="5">
        <v>0</v>
      </c>
      <c r="L97" s="5">
        <v>0</v>
      </c>
      <c r="M97" s="5">
        <v>0</v>
      </c>
      <c r="N97" s="5">
        <v>495000</v>
      </c>
      <c r="O97" s="5">
        <v>0</v>
      </c>
      <c r="P97" s="5">
        <v>0</v>
      </c>
      <c r="Q97" s="3" t="s">
        <v>474</v>
      </c>
      <c r="R97" s="3" t="s">
        <v>34</v>
      </c>
      <c r="S97" s="3" t="s">
        <v>34</v>
      </c>
      <c r="T97" s="3" t="s">
        <v>41</v>
      </c>
      <c r="U97" s="3" t="s">
        <v>34</v>
      </c>
      <c r="V97" s="3" t="s">
        <v>35</v>
      </c>
      <c r="W97" s="3" t="s">
        <v>475</v>
      </c>
      <c r="X97" s="3"/>
      <c r="Y97" s="5">
        <v>495000</v>
      </c>
      <c r="Z97" s="5">
        <v>1</v>
      </c>
    </row>
    <row r="98" spans="1:26" ht="15.75" customHeight="1" x14ac:dyDescent="0.35">
      <c r="A98" s="2"/>
      <c r="B98" s="3" t="s">
        <v>428</v>
      </c>
      <c r="C98" s="3" t="s">
        <v>71</v>
      </c>
      <c r="D98" s="3" t="s">
        <v>72</v>
      </c>
      <c r="E98" s="3" t="s">
        <v>476</v>
      </c>
      <c r="F98" s="4" t="s">
        <v>477</v>
      </c>
      <c r="G98" s="4" t="s">
        <v>478</v>
      </c>
      <c r="H98" s="5">
        <v>489485</v>
      </c>
      <c r="I98" s="5">
        <v>65000</v>
      </c>
      <c r="J98" s="5">
        <v>554485</v>
      </c>
      <c r="K98" s="5">
        <v>0</v>
      </c>
      <c r="L98" s="5">
        <v>65000</v>
      </c>
      <c r="M98" s="5">
        <v>0</v>
      </c>
      <c r="N98" s="5">
        <v>0</v>
      </c>
      <c r="O98" s="5">
        <v>489485</v>
      </c>
      <c r="P98" s="5">
        <v>0</v>
      </c>
      <c r="Q98" s="3" t="s">
        <v>479</v>
      </c>
      <c r="R98" s="3" t="s">
        <v>34</v>
      </c>
      <c r="S98" s="3" t="s">
        <v>34</v>
      </c>
      <c r="T98" s="3" t="s">
        <v>48</v>
      </c>
      <c r="U98" s="3" t="s">
        <v>34</v>
      </c>
      <c r="V98" s="3" t="s">
        <v>35</v>
      </c>
      <c r="W98" s="3" t="s">
        <v>480</v>
      </c>
      <c r="X98" s="3" t="s">
        <v>481</v>
      </c>
      <c r="Y98" s="5">
        <v>489485</v>
      </c>
      <c r="Z98" s="5">
        <v>1</v>
      </c>
    </row>
    <row r="99" spans="1:26" ht="15.75" customHeight="1" x14ac:dyDescent="0.35">
      <c r="A99" s="2"/>
      <c r="B99" s="3" t="s">
        <v>482</v>
      </c>
      <c r="C99" s="3" t="s">
        <v>64</v>
      </c>
      <c r="D99" s="3" t="s">
        <v>89</v>
      </c>
      <c r="E99" s="3" t="s">
        <v>483</v>
      </c>
      <c r="F99" s="4" t="s">
        <v>484</v>
      </c>
      <c r="G99" s="4" t="s">
        <v>478</v>
      </c>
      <c r="H99" s="5">
        <v>1550001</v>
      </c>
      <c r="I99" s="5">
        <v>0</v>
      </c>
      <c r="J99" s="5">
        <v>1550001</v>
      </c>
      <c r="K99" s="5">
        <v>0</v>
      </c>
      <c r="L99" s="5">
        <v>0</v>
      </c>
      <c r="M99" s="5">
        <v>0</v>
      </c>
      <c r="N99" s="5">
        <v>1550001</v>
      </c>
      <c r="O99" s="5">
        <v>0</v>
      </c>
      <c r="P99" s="5">
        <v>0</v>
      </c>
      <c r="Q99" s="3" t="s">
        <v>485</v>
      </c>
      <c r="R99" s="3" t="s">
        <v>34</v>
      </c>
      <c r="S99" s="3" t="s">
        <v>34</v>
      </c>
      <c r="T99" s="3" t="s">
        <v>41</v>
      </c>
      <c r="U99" s="3" t="s">
        <v>34</v>
      </c>
      <c r="V99" s="3" t="s">
        <v>35</v>
      </c>
      <c r="W99" s="3" t="s">
        <v>460</v>
      </c>
      <c r="X99" s="3"/>
      <c r="Y99" s="5">
        <v>775000.5</v>
      </c>
      <c r="Z99" s="5">
        <v>2</v>
      </c>
    </row>
    <row r="100" spans="1:26" ht="15.75" customHeight="1" x14ac:dyDescent="0.35">
      <c r="A100" s="2"/>
      <c r="B100" s="3" t="s">
        <v>470</v>
      </c>
      <c r="C100" s="3" t="s">
        <v>29</v>
      </c>
      <c r="D100" s="3" t="s">
        <v>110</v>
      </c>
      <c r="E100" s="3" t="s">
        <v>486</v>
      </c>
      <c r="F100" s="4" t="s">
        <v>401</v>
      </c>
      <c r="G100" s="4" t="s">
        <v>478</v>
      </c>
      <c r="H100" s="5">
        <v>4225000</v>
      </c>
      <c r="I100" s="5">
        <v>0</v>
      </c>
      <c r="J100" s="5">
        <v>4225000</v>
      </c>
      <c r="K100" s="5">
        <v>0</v>
      </c>
      <c r="L100" s="5">
        <v>4225000</v>
      </c>
      <c r="M100" s="5">
        <v>0</v>
      </c>
      <c r="N100" s="5">
        <v>0</v>
      </c>
      <c r="O100" s="5">
        <v>0</v>
      </c>
      <c r="P100" s="5">
        <v>0</v>
      </c>
      <c r="Q100" s="3" t="s">
        <v>34</v>
      </c>
      <c r="R100" s="3" t="s">
        <v>34</v>
      </c>
      <c r="S100" s="3" t="s">
        <v>34</v>
      </c>
      <c r="T100" s="3" t="s">
        <v>41</v>
      </c>
      <c r="U100" s="3" t="s">
        <v>34</v>
      </c>
      <c r="V100" s="3" t="s">
        <v>35</v>
      </c>
      <c r="W100" s="3" t="s">
        <v>487</v>
      </c>
      <c r="X100" s="3"/>
      <c r="Y100" s="5">
        <v>845000</v>
      </c>
      <c r="Z100" s="5">
        <v>5</v>
      </c>
    </row>
    <row r="101" spans="1:26" ht="15.75" customHeight="1" x14ac:dyDescent="0.35">
      <c r="A101" s="2"/>
      <c r="B101" s="3" t="s">
        <v>438</v>
      </c>
      <c r="C101" s="3" t="s">
        <v>29</v>
      </c>
      <c r="D101" s="3" t="s">
        <v>30</v>
      </c>
      <c r="E101" s="3" t="s">
        <v>488</v>
      </c>
      <c r="F101" s="4" t="s">
        <v>489</v>
      </c>
      <c r="G101" s="4" t="s">
        <v>490</v>
      </c>
      <c r="H101" s="5">
        <v>449000</v>
      </c>
      <c r="I101" s="5">
        <v>0</v>
      </c>
      <c r="J101" s="5">
        <v>449000</v>
      </c>
      <c r="K101" s="5">
        <v>0</v>
      </c>
      <c r="L101" s="5">
        <v>449000</v>
      </c>
      <c r="M101" s="5">
        <v>0</v>
      </c>
      <c r="N101" s="5">
        <v>0</v>
      </c>
      <c r="O101" s="5">
        <v>0</v>
      </c>
      <c r="P101" s="5">
        <v>0</v>
      </c>
      <c r="Q101" s="3" t="s">
        <v>34</v>
      </c>
      <c r="R101" s="3" t="s">
        <v>34</v>
      </c>
      <c r="S101" s="3" t="s">
        <v>34</v>
      </c>
      <c r="T101" s="3" t="s">
        <v>41</v>
      </c>
      <c r="U101" s="3" t="s">
        <v>34</v>
      </c>
      <c r="V101" s="3" t="s">
        <v>35</v>
      </c>
      <c r="W101" s="3" t="s">
        <v>491</v>
      </c>
      <c r="X101" s="3"/>
      <c r="Y101" s="5">
        <v>449000</v>
      </c>
      <c r="Z101" s="5">
        <v>1</v>
      </c>
    </row>
    <row r="102" spans="1:26" ht="15.75" customHeight="1" x14ac:dyDescent="0.35">
      <c r="A102" s="2"/>
      <c r="B102" s="3" t="s">
        <v>342</v>
      </c>
      <c r="C102" s="3" t="s">
        <v>64</v>
      </c>
      <c r="D102" s="3" t="s">
        <v>83</v>
      </c>
      <c r="E102" s="3" t="s">
        <v>492</v>
      </c>
      <c r="F102" s="4" t="s">
        <v>435</v>
      </c>
      <c r="G102" s="4" t="s">
        <v>493</v>
      </c>
      <c r="H102" s="5">
        <v>1565000</v>
      </c>
      <c r="I102" s="5">
        <v>199000</v>
      </c>
      <c r="J102" s="5">
        <v>1764000</v>
      </c>
      <c r="K102" s="5">
        <v>0</v>
      </c>
      <c r="L102" s="5">
        <v>1264000</v>
      </c>
      <c r="M102" s="5">
        <v>0</v>
      </c>
      <c r="N102" s="5">
        <v>500000</v>
      </c>
      <c r="O102" s="5">
        <v>0</v>
      </c>
      <c r="P102" s="5">
        <v>0</v>
      </c>
      <c r="Q102" s="3" t="s">
        <v>494</v>
      </c>
      <c r="R102" s="3" t="s">
        <v>34</v>
      </c>
      <c r="S102" s="3" t="s">
        <v>34</v>
      </c>
      <c r="T102" s="3" t="s">
        <v>41</v>
      </c>
      <c r="U102" s="3" t="s">
        <v>34</v>
      </c>
      <c r="V102" s="3" t="s">
        <v>35</v>
      </c>
      <c r="W102" s="3" t="s">
        <v>404</v>
      </c>
      <c r="X102" s="3"/>
      <c r="Y102" s="5">
        <v>521666.6666</v>
      </c>
      <c r="Z102" s="5">
        <v>3</v>
      </c>
    </row>
    <row r="103" spans="1:26" ht="15.75" customHeight="1" x14ac:dyDescent="0.35">
      <c r="A103" s="2"/>
      <c r="B103" s="3" t="s">
        <v>426</v>
      </c>
      <c r="C103" s="3" t="s">
        <v>29</v>
      </c>
      <c r="D103" s="3" t="s">
        <v>30</v>
      </c>
      <c r="E103" s="3" t="s">
        <v>495</v>
      </c>
      <c r="F103" s="4" t="s">
        <v>496</v>
      </c>
      <c r="G103" s="4" t="s">
        <v>497</v>
      </c>
      <c r="H103" s="5">
        <v>585000</v>
      </c>
      <c r="I103" s="5">
        <v>0</v>
      </c>
      <c r="J103" s="5">
        <v>585000</v>
      </c>
      <c r="K103" s="5">
        <v>0</v>
      </c>
      <c r="L103" s="5">
        <v>295000</v>
      </c>
      <c r="M103" s="5">
        <v>0</v>
      </c>
      <c r="N103" s="5">
        <v>290000</v>
      </c>
      <c r="O103" s="5">
        <v>0</v>
      </c>
      <c r="P103" s="5">
        <v>0</v>
      </c>
      <c r="Q103" s="3" t="s">
        <v>498</v>
      </c>
      <c r="R103" s="3" t="s">
        <v>34</v>
      </c>
      <c r="S103" s="3" t="s">
        <v>34</v>
      </c>
      <c r="T103" s="3" t="s">
        <v>41</v>
      </c>
      <c r="U103" s="3" t="s">
        <v>34</v>
      </c>
      <c r="V103" s="3" t="s">
        <v>35</v>
      </c>
      <c r="W103" s="3" t="s">
        <v>499</v>
      </c>
      <c r="X103" s="3"/>
      <c r="Y103" s="5">
        <v>585000</v>
      </c>
      <c r="Z103" s="5">
        <v>1</v>
      </c>
    </row>
    <row r="104" spans="1:26" ht="15.75" customHeight="1" x14ac:dyDescent="0.35">
      <c r="A104" s="2"/>
      <c r="B104" s="3" t="s">
        <v>487</v>
      </c>
      <c r="C104" s="3" t="s">
        <v>64</v>
      </c>
      <c r="D104" s="3" t="s">
        <v>99</v>
      </c>
      <c r="E104" s="3" t="s">
        <v>375</v>
      </c>
      <c r="F104" s="4" t="s">
        <v>500</v>
      </c>
      <c r="G104" s="4" t="s">
        <v>501</v>
      </c>
      <c r="H104" s="5">
        <v>988000</v>
      </c>
      <c r="I104" s="5">
        <v>0</v>
      </c>
      <c r="J104" s="5">
        <v>988000</v>
      </c>
      <c r="K104" s="5">
        <v>0</v>
      </c>
      <c r="L104" s="5">
        <v>0</v>
      </c>
      <c r="M104" s="5">
        <v>0</v>
      </c>
      <c r="N104" s="5">
        <v>988000</v>
      </c>
      <c r="O104" s="5">
        <v>0</v>
      </c>
      <c r="P104" s="5">
        <v>0</v>
      </c>
      <c r="Q104" s="3" t="s">
        <v>34</v>
      </c>
      <c r="R104" s="3" t="s">
        <v>34</v>
      </c>
      <c r="S104" s="3" t="s">
        <v>34</v>
      </c>
      <c r="T104" s="3" t="s">
        <v>41</v>
      </c>
      <c r="U104" s="3" t="s">
        <v>34</v>
      </c>
      <c r="V104" s="3" t="s">
        <v>35</v>
      </c>
      <c r="W104" s="3" t="s">
        <v>502</v>
      </c>
      <c r="X104" s="3"/>
      <c r="Y104" s="5">
        <v>494000</v>
      </c>
      <c r="Z104" s="5">
        <v>2</v>
      </c>
    </row>
    <row r="105" spans="1:26" ht="15.75" customHeight="1" x14ac:dyDescent="0.35">
      <c r="A105" s="2"/>
      <c r="B105" s="3" t="s">
        <v>487</v>
      </c>
      <c r="C105" s="3" t="s">
        <v>64</v>
      </c>
      <c r="D105" s="3" t="s">
        <v>76</v>
      </c>
      <c r="E105" s="3" t="s">
        <v>375</v>
      </c>
      <c r="F105" s="4" t="s">
        <v>500</v>
      </c>
      <c r="G105" s="4" t="s">
        <v>501</v>
      </c>
      <c r="H105" s="5">
        <v>988000</v>
      </c>
      <c r="I105" s="5">
        <v>0</v>
      </c>
      <c r="J105" s="5">
        <v>988000</v>
      </c>
      <c r="K105" s="5">
        <v>0</v>
      </c>
      <c r="L105" s="5">
        <v>500000</v>
      </c>
      <c r="M105" s="5">
        <v>0</v>
      </c>
      <c r="N105" s="5">
        <v>488000</v>
      </c>
      <c r="O105" s="5">
        <v>0</v>
      </c>
      <c r="P105" s="5">
        <v>0</v>
      </c>
      <c r="Q105" s="3" t="s">
        <v>34</v>
      </c>
      <c r="R105" s="3" t="s">
        <v>34</v>
      </c>
      <c r="S105" s="3" t="s">
        <v>34</v>
      </c>
      <c r="T105" s="3" t="s">
        <v>41</v>
      </c>
      <c r="U105" s="3" t="s">
        <v>34</v>
      </c>
      <c r="V105" s="3" t="s">
        <v>35</v>
      </c>
      <c r="W105" s="3" t="s">
        <v>439</v>
      </c>
      <c r="X105" s="3"/>
      <c r="Y105" s="5">
        <v>494000</v>
      </c>
      <c r="Z105" s="5">
        <v>2</v>
      </c>
    </row>
    <row r="106" spans="1:26" ht="15.75" customHeight="1" x14ac:dyDescent="0.35">
      <c r="A106" s="2"/>
      <c r="B106" s="3" t="s">
        <v>433</v>
      </c>
      <c r="C106" s="3" t="s">
        <v>29</v>
      </c>
      <c r="D106" s="3" t="s">
        <v>413</v>
      </c>
      <c r="E106" s="3" t="s">
        <v>503</v>
      </c>
      <c r="F106" s="4" t="s">
        <v>504</v>
      </c>
      <c r="G106" s="4" t="s">
        <v>501</v>
      </c>
      <c r="H106" s="5">
        <v>2418000</v>
      </c>
      <c r="I106" s="5">
        <v>316000</v>
      </c>
      <c r="J106" s="5">
        <v>2734000</v>
      </c>
      <c r="K106" s="5">
        <v>0</v>
      </c>
      <c r="L106" s="5">
        <v>966000</v>
      </c>
      <c r="M106" s="5">
        <v>0</v>
      </c>
      <c r="N106" s="5">
        <v>1768000</v>
      </c>
      <c r="O106" s="5">
        <v>0</v>
      </c>
      <c r="P106" s="5">
        <v>0</v>
      </c>
      <c r="Q106" s="3"/>
      <c r="R106" s="3"/>
      <c r="S106" s="3"/>
      <c r="T106" s="3" t="s">
        <v>41</v>
      </c>
      <c r="U106" s="3" t="s">
        <v>34</v>
      </c>
      <c r="V106" s="3" t="s">
        <v>35</v>
      </c>
      <c r="W106" s="3" t="s">
        <v>505</v>
      </c>
      <c r="X106" s="3"/>
      <c r="Y106" s="5">
        <v>806000</v>
      </c>
      <c r="Z106" s="5">
        <v>3</v>
      </c>
    </row>
    <row r="107" spans="1:26" ht="15.75" customHeight="1" x14ac:dyDescent="0.35">
      <c r="A107" s="2"/>
      <c r="B107" s="3" t="s">
        <v>433</v>
      </c>
      <c r="C107" s="3" t="s">
        <v>29</v>
      </c>
      <c r="D107" s="3" t="s">
        <v>506</v>
      </c>
      <c r="E107" s="3" t="s">
        <v>226</v>
      </c>
      <c r="F107" s="4" t="s">
        <v>504</v>
      </c>
      <c r="G107" s="4" t="s">
        <v>501</v>
      </c>
      <c r="H107" s="5">
        <v>2418000</v>
      </c>
      <c r="I107" s="5">
        <v>0</v>
      </c>
      <c r="J107" s="5">
        <v>2418000</v>
      </c>
      <c r="K107" s="5">
        <v>0</v>
      </c>
      <c r="L107" s="5">
        <v>800000</v>
      </c>
      <c r="M107" s="5">
        <v>0</v>
      </c>
      <c r="N107" s="5">
        <v>1618000</v>
      </c>
      <c r="O107" s="5">
        <v>0</v>
      </c>
      <c r="P107" s="5">
        <v>0</v>
      </c>
      <c r="Q107" s="3"/>
      <c r="R107" s="3"/>
      <c r="S107" s="3"/>
      <c r="T107" s="3" t="s">
        <v>41</v>
      </c>
      <c r="U107" s="3" t="s">
        <v>34</v>
      </c>
      <c r="V107" s="3" t="s">
        <v>35</v>
      </c>
      <c r="W107" s="3" t="s">
        <v>507</v>
      </c>
      <c r="X107" s="3"/>
      <c r="Y107" s="5">
        <v>806000</v>
      </c>
      <c r="Z107" s="5">
        <v>3</v>
      </c>
    </row>
    <row r="108" spans="1:26" ht="15.75" customHeight="1" x14ac:dyDescent="0.35">
      <c r="A108" s="2"/>
      <c r="B108" s="3" t="s">
        <v>433</v>
      </c>
      <c r="C108" s="3" t="s">
        <v>29</v>
      </c>
      <c r="D108" s="3" t="s">
        <v>37</v>
      </c>
      <c r="E108" s="3" t="s">
        <v>226</v>
      </c>
      <c r="F108" s="4" t="s">
        <v>504</v>
      </c>
      <c r="G108" s="4" t="s">
        <v>501</v>
      </c>
      <c r="H108" s="5">
        <v>2418000</v>
      </c>
      <c r="I108" s="5">
        <v>0</v>
      </c>
      <c r="J108" s="5">
        <v>2418000</v>
      </c>
      <c r="K108" s="5">
        <v>0</v>
      </c>
      <c r="L108" s="5">
        <v>800000</v>
      </c>
      <c r="M108" s="5">
        <v>0</v>
      </c>
      <c r="N108" s="5">
        <v>1618000</v>
      </c>
      <c r="O108" s="5">
        <v>0</v>
      </c>
      <c r="P108" s="5">
        <v>0</v>
      </c>
      <c r="Q108" s="3"/>
      <c r="R108" s="3"/>
      <c r="S108" s="3"/>
      <c r="T108" s="3" t="s">
        <v>41</v>
      </c>
      <c r="U108" s="3" t="s">
        <v>34</v>
      </c>
      <c r="V108" s="3" t="s">
        <v>35</v>
      </c>
      <c r="W108" s="3" t="s">
        <v>508</v>
      </c>
      <c r="X108" s="3"/>
      <c r="Y108" s="5">
        <v>806000</v>
      </c>
      <c r="Z108" s="5">
        <v>3</v>
      </c>
    </row>
    <row r="109" spans="1:26" ht="15.75" customHeight="1" x14ac:dyDescent="0.35">
      <c r="A109" s="2"/>
      <c r="B109" s="3" t="s">
        <v>445</v>
      </c>
      <c r="C109" s="3" t="s">
        <v>59</v>
      </c>
      <c r="D109" s="3" t="s">
        <v>60</v>
      </c>
      <c r="E109" s="3" t="s">
        <v>337</v>
      </c>
      <c r="F109" s="4" t="s">
        <v>509</v>
      </c>
      <c r="G109" s="4" t="s">
        <v>501</v>
      </c>
      <c r="H109" s="5">
        <v>585000</v>
      </c>
      <c r="I109" s="5">
        <v>0</v>
      </c>
      <c r="J109" s="5">
        <v>585000</v>
      </c>
      <c r="K109" s="5">
        <v>0</v>
      </c>
      <c r="L109" s="5">
        <v>0</v>
      </c>
      <c r="M109" s="5">
        <v>0</v>
      </c>
      <c r="N109" s="5">
        <v>585000</v>
      </c>
      <c r="O109" s="5">
        <v>0</v>
      </c>
      <c r="P109" s="5">
        <v>0</v>
      </c>
      <c r="Q109" s="3" t="s">
        <v>340</v>
      </c>
      <c r="R109" s="3" t="s">
        <v>34</v>
      </c>
      <c r="S109" s="3" t="s">
        <v>341</v>
      </c>
      <c r="T109" s="3" t="s">
        <v>41</v>
      </c>
      <c r="U109" s="3" t="s">
        <v>34</v>
      </c>
      <c r="V109" s="3" t="s">
        <v>35</v>
      </c>
      <c r="W109" s="3" t="s">
        <v>510</v>
      </c>
      <c r="X109" s="3"/>
      <c r="Y109" s="5">
        <v>585000</v>
      </c>
      <c r="Z109" s="5">
        <v>1</v>
      </c>
    </row>
    <row r="110" spans="1:26" ht="15.75" customHeight="1" x14ac:dyDescent="0.35">
      <c r="A110" s="2"/>
      <c r="B110" s="3" t="s">
        <v>445</v>
      </c>
      <c r="C110" s="3" t="s">
        <v>59</v>
      </c>
      <c r="D110" s="3" t="s">
        <v>122</v>
      </c>
      <c r="E110" s="3" t="s">
        <v>226</v>
      </c>
      <c r="F110" s="4" t="s">
        <v>509</v>
      </c>
      <c r="G110" s="4" t="s">
        <v>501</v>
      </c>
      <c r="H110" s="5">
        <v>585000</v>
      </c>
      <c r="I110" s="5">
        <v>0</v>
      </c>
      <c r="J110" s="5">
        <v>585000</v>
      </c>
      <c r="K110" s="5">
        <v>0</v>
      </c>
      <c r="L110" s="5">
        <v>585000</v>
      </c>
      <c r="M110" s="5">
        <v>0</v>
      </c>
      <c r="N110" s="5">
        <v>0</v>
      </c>
      <c r="O110" s="5">
        <v>0</v>
      </c>
      <c r="P110" s="5">
        <v>0</v>
      </c>
      <c r="Q110" s="3"/>
      <c r="R110" s="3"/>
      <c r="S110" s="3"/>
      <c r="T110" s="3" t="s">
        <v>41</v>
      </c>
      <c r="U110" s="3" t="s">
        <v>34</v>
      </c>
      <c r="V110" s="3" t="s">
        <v>35</v>
      </c>
      <c r="W110" s="3" t="s">
        <v>511</v>
      </c>
      <c r="X110" s="3"/>
      <c r="Y110" s="5">
        <v>585000</v>
      </c>
      <c r="Z110" s="5">
        <v>1</v>
      </c>
    </row>
    <row r="111" spans="1:26" ht="15.75" customHeight="1" x14ac:dyDescent="0.35">
      <c r="A111" s="2"/>
      <c r="B111" s="3" t="s">
        <v>445</v>
      </c>
      <c r="C111" s="3" t="s">
        <v>71</v>
      </c>
      <c r="D111" s="3" t="s">
        <v>72</v>
      </c>
      <c r="E111" s="3" t="s">
        <v>226</v>
      </c>
      <c r="F111" s="4" t="s">
        <v>509</v>
      </c>
      <c r="G111" s="4" t="s">
        <v>501</v>
      </c>
      <c r="H111" s="5">
        <v>585000</v>
      </c>
      <c r="I111" s="5">
        <v>0</v>
      </c>
      <c r="J111" s="5">
        <v>585000</v>
      </c>
      <c r="K111" s="5">
        <v>0</v>
      </c>
      <c r="L111" s="5">
        <v>585000</v>
      </c>
      <c r="M111" s="5">
        <v>0</v>
      </c>
      <c r="N111" s="5">
        <v>0</v>
      </c>
      <c r="O111" s="5">
        <v>0</v>
      </c>
      <c r="P111" s="5">
        <v>0</v>
      </c>
      <c r="Q111" s="3" t="s">
        <v>34</v>
      </c>
      <c r="R111" s="3" t="s">
        <v>34</v>
      </c>
      <c r="S111" s="3" t="s">
        <v>34</v>
      </c>
      <c r="T111" s="3" t="s">
        <v>41</v>
      </c>
      <c r="U111" s="3" t="s">
        <v>34</v>
      </c>
      <c r="V111" s="3" t="s">
        <v>35</v>
      </c>
      <c r="W111" s="3" t="s">
        <v>512</v>
      </c>
      <c r="X111" s="3"/>
      <c r="Y111" s="5">
        <v>585000</v>
      </c>
      <c r="Z111" s="5">
        <v>1</v>
      </c>
    </row>
    <row r="112" spans="1:26" ht="15.75" customHeight="1" x14ac:dyDescent="0.35">
      <c r="A112" s="2"/>
      <c r="B112" s="3" t="s">
        <v>465</v>
      </c>
      <c r="C112" s="3" t="s">
        <v>71</v>
      </c>
      <c r="D112" s="3" t="s">
        <v>95</v>
      </c>
      <c r="E112" s="3" t="s">
        <v>513</v>
      </c>
      <c r="F112" s="4" t="s">
        <v>477</v>
      </c>
      <c r="G112" s="4" t="s">
        <v>514</v>
      </c>
      <c r="H112" s="5">
        <v>1098000</v>
      </c>
      <c r="I112" s="5">
        <v>0</v>
      </c>
      <c r="J112" s="5">
        <v>988200</v>
      </c>
      <c r="K112" s="5">
        <v>0</v>
      </c>
      <c r="L112" s="5">
        <v>988200</v>
      </c>
      <c r="M112" s="5">
        <v>0</v>
      </c>
      <c r="N112" s="5">
        <v>0</v>
      </c>
      <c r="O112" s="5">
        <v>0</v>
      </c>
      <c r="P112" s="5">
        <v>0</v>
      </c>
      <c r="Q112" s="3" t="s">
        <v>515</v>
      </c>
      <c r="R112" s="3" t="s">
        <v>516</v>
      </c>
      <c r="S112" s="3" t="s">
        <v>517</v>
      </c>
      <c r="T112" s="3" t="s">
        <v>48</v>
      </c>
      <c r="U112" s="3" t="s">
        <v>34</v>
      </c>
      <c r="V112" s="3" t="s">
        <v>35</v>
      </c>
      <c r="W112" s="3" t="s">
        <v>518</v>
      </c>
      <c r="X112" s="3" t="s">
        <v>519</v>
      </c>
      <c r="Y112" s="5">
        <v>549000</v>
      </c>
      <c r="Z112" s="5">
        <v>2</v>
      </c>
    </row>
    <row r="113" spans="1:26" ht="15.75" customHeight="1" x14ac:dyDescent="0.35">
      <c r="A113" s="2"/>
      <c r="B113" s="3" t="s">
        <v>520</v>
      </c>
      <c r="C113" s="3" t="s">
        <v>64</v>
      </c>
      <c r="D113" s="3" t="s">
        <v>83</v>
      </c>
      <c r="E113" s="3" t="s">
        <v>521</v>
      </c>
      <c r="F113" s="4" t="s">
        <v>522</v>
      </c>
      <c r="G113" s="4" t="s">
        <v>523</v>
      </c>
      <c r="H113" s="5">
        <v>450000</v>
      </c>
      <c r="I113" s="5">
        <v>0</v>
      </c>
      <c r="J113" s="5">
        <v>450000</v>
      </c>
      <c r="K113" s="5">
        <v>0</v>
      </c>
      <c r="L113" s="5">
        <v>0</v>
      </c>
      <c r="M113" s="5">
        <v>0</v>
      </c>
      <c r="N113" s="5">
        <v>450000</v>
      </c>
      <c r="O113" s="5">
        <v>0</v>
      </c>
      <c r="P113" s="5">
        <v>0</v>
      </c>
      <c r="Q113" s="3" t="s">
        <v>34</v>
      </c>
      <c r="R113" s="3" t="s">
        <v>34</v>
      </c>
      <c r="S113" s="3" t="s">
        <v>34</v>
      </c>
      <c r="T113" s="3" t="s">
        <v>41</v>
      </c>
      <c r="U113" s="3" t="s">
        <v>34</v>
      </c>
      <c r="V113" s="3" t="s">
        <v>35</v>
      </c>
      <c r="W113" s="3" t="s">
        <v>524</v>
      </c>
      <c r="X113" s="3"/>
      <c r="Y113" s="5">
        <v>450000</v>
      </c>
      <c r="Z113" s="5">
        <v>1</v>
      </c>
    </row>
    <row r="114" spans="1:26" ht="15.75" customHeight="1" x14ac:dyDescent="0.35">
      <c r="A114" s="2"/>
      <c r="B114" s="3" t="s">
        <v>525</v>
      </c>
      <c r="C114" s="3" t="s">
        <v>29</v>
      </c>
      <c r="D114" s="3" t="s">
        <v>30</v>
      </c>
      <c r="E114" s="3" t="s">
        <v>526</v>
      </c>
      <c r="F114" s="4" t="s">
        <v>527</v>
      </c>
      <c r="G114" s="4" t="s">
        <v>528</v>
      </c>
      <c r="H114" s="5">
        <v>802045</v>
      </c>
      <c r="I114" s="5">
        <v>0</v>
      </c>
      <c r="J114" s="5">
        <v>802045</v>
      </c>
      <c r="K114" s="5">
        <v>0</v>
      </c>
      <c r="L114" s="5">
        <v>0</v>
      </c>
      <c r="M114" s="5">
        <v>0</v>
      </c>
      <c r="N114" s="5">
        <v>0</v>
      </c>
      <c r="O114" s="5">
        <v>802045</v>
      </c>
      <c r="P114" s="5">
        <v>0</v>
      </c>
      <c r="Q114" s="3" t="s">
        <v>529</v>
      </c>
      <c r="R114" s="3" t="s">
        <v>34</v>
      </c>
      <c r="S114" s="3" t="s">
        <v>34</v>
      </c>
      <c r="T114" s="3" t="s">
        <v>48</v>
      </c>
      <c r="U114" s="3" t="s">
        <v>34</v>
      </c>
      <c r="V114" s="3" t="s">
        <v>35</v>
      </c>
      <c r="W114" s="3" t="s">
        <v>482</v>
      </c>
      <c r="X114" s="3" t="s">
        <v>530</v>
      </c>
      <c r="Y114" s="5">
        <v>802045</v>
      </c>
      <c r="Z114" s="5">
        <v>1</v>
      </c>
    </row>
    <row r="115" spans="1:26" ht="15.75" customHeight="1" x14ac:dyDescent="0.35">
      <c r="A115" s="2"/>
      <c r="B115" s="3" t="s">
        <v>508</v>
      </c>
      <c r="C115" s="3" t="s">
        <v>71</v>
      </c>
      <c r="D115" s="3" t="s">
        <v>95</v>
      </c>
      <c r="E115" s="3" t="s">
        <v>531</v>
      </c>
      <c r="F115" s="4" t="s">
        <v>527</v>
      </c>
      <c r="G115" s="4" t="s">
        <v>532</v>
      </c>
      <c r="H115" s="5">
        <v>444960</v>
      </c>
      <c r="I115" s="5">
        <v>0</v>
      </c>
      <c r="J115" s="5">
        <v>444960</v>
      </c>
      <c r="K115" s="5">
        <v>0</v>
      </c>
      <c r="L115" s="5">
        <v>0</v>
      </c>
      <c r="M115" s="5">
        <v>0</v>
      </c>
      <c r="N115" s="5">
        <v>0</v>
      </c>
      <c r="O115" s="5">
        <v>444960</v>
      </c>
      <c r="P115" s="5">
        <v>0</v>
      </c>
      <c r="Q115" s="3" t="s">
        <v>533</v>
      </c>
      <c r="R115" s="3" t="s">
        <v>34</v>
      </c>
      <c r="S115" s="3" t="s">
        <v>34</v>
      </c>
      <c r="T115" s="3" t="s">
        <v>48</v>
      </c>
      <c r="U115" s="3" t="s">
        <v>34</v>
      </c>
      <c r="V115" s="3" t="s">
        <v>35</v>
      </c>
      <c r="W115" s="3" t="s">
        <v>534</v>
      </c>
      <c r="X115" s="3" t="s">
        <v>535</v>
      </c>
      <c r="Y115" s="5">
        <v>444960</v>
      </c>
      <c r="Z115" s="5">
        <v>1</v>
      </c>
    </row>
    <row r="116" spans="1:26" ht="15.75" customHeight="1" x14ac:dyDescent="0.35">
      <c r="A116" s="2"/>
      <c r="B116" s="3" t="s">
        <v>459</v>
      </c>
      <c r="C116" s="3" t="s">
        <v>59</v>
      </c>
      <c r="D116" s="3" t="s">
        <v>122</v>
      </c>
      <c r="E116" s="3" t="s">
        <v>536</v>
      </c>
      <c r="F116" s="4" t="s">
        <v>537</v>
      </c>
      <c r="G116" s="4" t="s">
        <v>532</v>
      </c>
      <c r="H116" s="5">
        <v>495000</v>
      </c>
      <c r="I116" s="5">
        <v>0</v>
      </c>
      <c r="J116" s="5">
        <v>495000</v>
      </c>
      <c r="K116" s="5">
        <v>0</v>
      </c>
      <c r="L116" s="5">
        <v>495000</v>
      </c>
      <c r="M116" s="5">
        <v>0</v>
      </c>
      <c r="N116" s="5">
        <v>0</v>
      </c>
      <c r="O116" s="5">
        <v>0</v>
      </c>
      <c r="P116" s="5">
        <v>0</v>
      </c>
      <c r="Q116" s="3" t="s">
        <v>34</v>
      </c>
      <c r="R116" s="3" t="s">
        <v>34</v>
      </c>
      <c r="S116" s="3" t="s">
        <v>34</v>
      </c>
      <c r="T116" s="3" t="s">
        <v>41</v>
      </c>
      <c r="U116" s="3" t="s">
        <v>34</v>
      </c>
      <c r="V116" s="3" t="s">
        <v>35</v>
      </c>
      <c r="W116" s="3" t="s">
        <v>538</v>
      </c>
      <c r="X116" s="3"/>
      <c r="Y116" s="5">
        <v>495000</v>
      </c>
      <c r="Z116" s="5">
        <v>1</v>
      </c>
    </row>
    <row r="117" spans="1:26" ht="15.75" customHeight="1" x14ac:dyDescent="0.35">
      <c r="A117" s="2"/>
      <c r="B117" s="3" t="s">
        <v>505</v>
      </c>
      <c r="C117" s="3" t="s">
        <v>64</v>
      </c>
      <c r="D117" s="3" t="s">
        <v>65</v>
      </c>
      <c r="E117" s="3" t="s">
        <v>539</v>
      </c>
      <c r="F117" s="4" t="s">
        <v>540</v>
      </c>
      <c r="G117" s="4" t="s">
        <v>541</v>
      </c>
      <c r="H117" s="5">
        <v>570000</v>
      </c>
      <c r="I117" s="5">
        <v>200000</v>
      </c>
      <c r="J117" s="5">
        <v>770000</v>
      </c>
      <c r="K117" s="5">
        <v>0</v>
      </c>
      <c r="L117" s="5">
        <v>0</v>
      </c>
      <c r="M117" s="5">
        <v>0</v>
      </c>
      <c r="N117" s="5">
        <v>770000</v>
      </c>
      <c r="O117" s="5">
        <v>0</v>
      </c>
      <c r="P117" s="5">
        <v>0</v>
      </c>
      <c r="Q117" s="3" t="s">
        <v>542</v>
      </c>
      <c r="R117" s="3"/>
      <c r="S117" s="3"/>
      <c r="T117" s="3" t="s">
        <v>41</v>
      </c>
      <c r="U117" s="3" t="s">
        <v>34</v>
      </c>
      <c r="V117" s="3" t="s">
        <v>35</v>
      </c>
      <c r="W117" s="3" t="s">
        <v>543</v>
      </c>
      <c r="X117" s="3"/>
      <c r="Y117" s="5">
        <v>570000</v>
      </c>
      <c r="Z117" s="5">
        <v>1</v>
      </c>
    </row>
    <row r="118" spans="1:26" ht="15.75" customHeight="1" x14ac:dyDescent="0.35">
      <c r="A118" s="2"/>
      <c r="B118" s="3" t="s">
        <v>491</v>
      </c>
      <c r="C118" s="3" t="s">
        <v>59</v>
      </c>
      <c r="D118" s="3" t="s">
        <v>193</v>
      </c>
      <c r="E118" s="3" t="s">
        <v>544</v>
      </c>
      <c r="F118" s="4" t="s">
        <v>545</v>
      </c>
      <c r="G118" s="4" t="s">
        <v>546</v>
      </c>
      <c r="H118" s="5">
        <v>400000</v>
      </c>
      <c r="I118" s="5">
        <v>0</v>
      </c>
      <c r="J118" s="5">
        <v>400000</v>
      </c>
      <c r="K118" s="5">
        <v>0</v>
      </c>
      <c r="L118" s="5">
        <v>400000</v>
      </c>
      <c r="M118" s="5">
        <v>0</v>
      </c>
      <c r="N118" s="5">
        <v>0</v>
      </c>
      <c r="O118" s="5">
        <v>0</v>
      </c>
      <c r="P118" s="5">
        <v>0</v>
      </c>
      <c r="Q118" s="3" t="s">
        <v>384</v>
      </c>
      <c r="R118" s="3"/>
      <c r="S118" s="3"/>
      <c r="T118" s="3" t="s">
        <v>41</v>
      </c>
      <c r="U118" s="3" t="s">
        <v>34</v>
      </c>
      <c r="V118" s="3" t="s">
        <v>35</v>
      </c>
      <c r="W118" s="3" t="s">
        <v>547</v>
      </c>
      <c r="X118" s="3"/>
      <c r="Y118" s="5">
        <v>400000</v>
      </c>
      <c r="Z118" s="5">
        <v>1</v>
      </c>
    </row>
    <row r="119" spans="1:26" ht="15.75" customHeight="1" x14ac:dyDescent="0.35">
      <c r="A119" s="2"/>
      <c r="B119" s="3" t="s">
        <v>246</v>
      </c>
      <c r="C119" s="3" t="s">
        <v>64</v>
      </c>
      <c r="D119" s="3" t="s">
        <v>76</v>
      </c>
      <c r="E119" s="3" t="s">
        <v>548</v>
      </c>
      <c r="F119" s="4" t="s">
        <v>549</v>
      </c>
      <c r="G119" s="4" t="s">
        <v>550</v>
      </c>
      <c r="H119" s="5">
        <v>495000</v>
      </c>
      <c r="I119" s="5">
        <v>0</v>
      </c>
      <c r="J119" s="5">
        <v>495000</v>
      </c>
      <c r="K119" s="5">
        <v>0</v>
      </c>
      <c r="L119" s="5">
        <v>295000</v>
      </c>
      <c r="M119" s="5">
        <v>0</v>
      </c>
      <c r="N119" s="5">
        <v>200000</v>
      </c>
      <c r="O119" s="5">
        <v>0</v>
      </c>
      <c r="P119" s="5">
        <v>0</v>
      </c>
      <c r="Q119" s="3" t="s">
        <v>551</v>
      </c>
      <c r="R119" s="3"/>
      <c r="S119" s="3"/>
      <c r="T119" s="3" t="s">
        <v>41</v>
      </c>
      <c r="U119" s="3" t="s">
        <v>34</v>
      </c>
      <c r="V119" s="3" t="s">
        <v>35</v>
      </c>
      <c r="W119" s="3" t="s">
        <v>552</v>
      </c>
      <c r="X119" s="3"/>
      <c r="Y119" s="5">
        <v>495000</v>
      </c>
      <c r="Z119" s="5">
        <v>1</v>
      </c>
    </row>
    <row r="120" spans="1:26" ht="15.75" customHeight="1" x14ac:dyDescent="0.35">
      <c r="A120" s="2"/>
      <c r="B120" s="3" t="s">
        <v>553</v>
      </c>
      <c r="C120" s="3" t="s">
        <v>29</v>
      </c>
      <c r="D120" s="3" t="s">
        <v>43</v>
      </c>
      <c r="E120" s="3" t="s">
        <v>461</v>
      </c>
      <c r="F120" s="4" t="s">
        <v>554</v>
      </c>
      <c r="G120" s="4" t="s">
        <v>555</v>
      </c>
      <c r="H120" s="5">
        <v>0</v>
      </c>
      <c r="I120" s="5">
        <v>140000</v>
      </c>
      <c r="J120" s="5">
        <v>140000</v>
      </c>
      <c r="K120" s="5">
        <v>0</v>
      </c>
      <c r="L120" s="5">
        <v>0</v>
      </c>
      <c r="M120" s="5">
        <v>0</v>
      </c>
      <c r="N120" s="5">
        <v>140000</v>
      </c>
      <c r="O120" s="5">
        <v>0</v>
      </c>
      <c r="P120" s="5">
        <v>0</v>
      </c>
      <c r="Q120" s="3" t="s">
        <v>464</v>
      </c>
      <c r="R120" s="3" t="s">
        <v>34</v>
      </c>
      <c r="S120" s="3" t="s">
        <v>34</v>
      </c>
      <c r="T120" s="3" t="s">
        <v>119</v>
      </c>
      <c r="U120" s="3" t="s">
        <v>34</v>
      </c>
      <c r="V120" s="3" t="s">
        <v>35</v>
      </c>
      <c r="W120" s="3" t="s">
        <v>556</v>
      </c>
      <c r="X120" s="3"/>
      <c r="Y120" s="5">
        <v>0</v>
      </c>
      <c r="Z120" s="5">
        <v>3</v>
      </c>
    </row>
    <row r="121" spans="1:26" ht="15.75" customHeight="1" x14ac:dyDescent="0.35">
      <c r="A121" s="2"/>
      <c r="B121" s="3" t="s">
        <v>557</v>
      </c>
      <c r="C121" s="3" t="s">
        <v>71</v>
      </c>
      <c r="D121" s="3" t="s">
        <v>72</v>
      </c>
      <c r="E121" s="3" t="s">
        <v>558</v>
      </c>
      <c r="F121" s="4" t="s">
        <v>559</v>
      </c>
      <c r="G121" s="4" t="s">
        <v>560</v>
      </c>
      <c r="H121" s="5">
        <v>630000</v>
      </c>
      <c r="I121" s="5">
        <v>0</v>
      </c>
      <c r="J121" s="5">
        <v>630000</v>
      </c>
      <c r="K121" s="5">
        <v>0</v>
      </c>
      <c r="L121" s="5">
        <v>630000</v>
      </c>
      <c r="M121" s="5">
        <v>0</v>
      </c>
      <c r="N121" s="5">
        <v>0</v>
      </c>
      <c r="O121" s="5">
        <v>0</v>
      </c>
      <c r="P121" s="5">
        <v>0</v>
      </c>
      <c r="Q121" s="3" t="s">
        <v>384</v>
      </c>
      <c r="R121" s="3"/>
      <c r="S121" s="3"/>
      <c r="T121" s="3" t="s">
        <v>41</v>
      </c>
      <c r="U121" s="3" t="s">
        <v>34</v>
      </c>
      <c r="V121" s="3" t="s">
        <v>35</v>
      </c>
      <c r="W121" s="3" t="s">
        <v>561</v>
      </c>
      <c r="X121" s="3"/>
      <c r="Y121" s="5">
        <v>630000</v>
      </c>
      <c r="Z121" s="5">
        <v>1</v>
      </c>
    </row>
    <row r="122" spans="1:26" ht="15.75" customHeight="1" x14ac:dyDescent="0.35">
      <c r="A122" s="2"/>
      <c r="B122" s="3" t="s">
        <v>562</v>
      </c>
      <c r="C122" s="3" t="s">
        <v>29</v>
      </c>
      <c r="D122" s="3" t="s">
        <v>37</v>
      </c>
      <c r="E122" s="3" t="s">
        <v>563</v>
      </c>
      <c r="F122" s="4" t="s">
        <v>564</v>
      </c>
      <c r="G122" s="4" t="s">
        <v>560</v>
      </c>
      <c r="H122" s="5">
        <v>809000</v>
      </c>
      <c r="I122" s="5">
        <v>0</v>
      </c>
      <c r="J122" s="5">
        <v>809000</v>
      </c>
      <c r="K122" s="5">
        <v>0</v>
      </c>
      <c r="L122" s="5">
        <v>0</v>
      </c>
      <c r="M122" s="5">
        <v>0</v>
      </c>
      <c r="N122" s="5">
        <v>809000</v>
      </c>
      <c r="O122" s="5">
        <v>0</v>
      </c>
      <c r="P122" s="5">
        <v>0</v>
      </c>
      <c r="Q122" s="3" t="s">
        <v>384</v>
      </c>
      <c r="R122" s="3"/>
      <c r="S122" s="3"/>
      <c r="T122" s="3" t="s">
        <v>41</v>
      </c>
      <c r="U122" s="3" t="s">
        <v>34</v>
      </c>
      <c r="V122" s="3" t="s">
        <v>35</v>
      </c>
      <c r="W122" s="3" t="s">
        <v>565</v>
      </c>
      <c r="X122" s="3"/>
      <c r="Y122" s="5">
        <v>809000</v>
      </c>
      <c r="Z122" s="5">
        <v>1</v>
      </c>
    </row>
    <row r="123" spans="1:26" ht="15.75" customHeight="1" x14ac:dyDescent="0.35">
      <c r="A123" s="2"/>
      <c r="B123" s="3" t="s">
        <v>562</v>
      </c>
      <c r="C123" s="3" t="s">
        <v>29</v>
      </c>
      <c r="D123" s="3" t="s">
        <v>413</v>
      </c>
      <c r="E123" s="3" t="s">
        <v>226</v>
      </c>
      <c r="F123" s="4" t="s">
        <v>564</v>
      </c>
      <c r="G123" s="4" t="s">
        <v>560</v>
      </c>
      <c r="H123" s="5">
        <v>809000</v>
      </c>
      <c r="I123" s="5">
        <v>0</v>
      </c>
      <c r="J123" s="5">
        <v>809000</v>
      </c>
      <c r="K123" s="5">
        <v>0</v>
      </c>
      <c r="L123" s="5">
        <v>0</v>
      </c>
      <c r="M123" s="5">
        <v>0</v>
      </c>
      <c r="N123" s="5">
        <v>809000</v>
      </c>
      <c r="O123" s="5">
        <v>0</v>
      </c>
      <c r="P123" s="5">
        <v>0</v>
      </c>
      <c r="Q123" s="3"/>
      <c r="R123" s="3"/>
      <c r="S123" s="3"/>
      <c r="T123" s="3" t="s">
        <v>41</v>
      </c>
      <c r="U123" s="3" t="s">
        <v>34</v>
      </c>
      <c r="V123" s="3" t="s">
        <v>35</v>
      </c>
      <c r="W123" s="3" t="s">
        <v>566</v>
      </c>
      <c r="X123" s="3"/>
      <c r="Y123" s="5">
        <v>809000</v>
      </c>
      <c r="Z123" s="5">
        <v>1</v>
      </c>
    </row>
    <row r="124" spans="1:26" ht="15.75" customHeight="1" x14ac:dyDescent="0.35">
      <c r="A124" s="2"/>
      <c r="B124" s="3" t="s">
        <v>499</v>
      </c>
      <c r="C124" s="3" t="s">
        <v>71</v>
      </c>
      <c r="D124" s="3" t="s">
        <v>95</v>
      </c>
      <c r="E124" s="3" t="s">
        <v>531</v>
      </c>
      <c r="F124" s="4" t="s">
        <v>567</v>
      </c>
      <c r="G124" s="4" t="s">
        <v>568</v>
      </c>
      <c r="H124" s="5">
        <v>444960</v>
      </c>
      <c r="I124" s="5">
        <v>0</v>
      </c>
      <c r="J124" s="5">
        <v>444960</v>
      </c>
      <c r="K124" s="5">
        <v>0</v>
      </c>
      <c r="L124" s="5">
        <v>0</v>
      </c>
      <c r="M124" s="5">
        <v>0</v>
      </c>
      <c r="N124" s="5">
        <v>0</v>
      </c>
      <c r="O124" s="5">
        <v>444960</v>
      </c>
      <c r="P124" s="5">
        <v>0</v>
      </c>
      <c r="Q124" s="3" t="s">
        <v>533</v>
      </c>
      <c r="R124" s="3" t="s">
        <v>34</v>
      </c>
      <c r="S124" s="3" t="s">
        <v>34</v>
      </c>
      <c r="T124" s="3" t="s">
        <v>48</v>
      </c>
      <c r="U124" s="3" t="s">
        <v>34</v>
      </c>
      <c r="V124" s="3" t="s">
        <v>35</v>
      </c>
      <c r="W124" s="3" t="s">
        <v>569</v>
      </c>
      <c r="X124" s="3" t="s">
        <v>570</v>
      </c>
      <c r="Y124" s="5">
        <v>444960</v>
      </c>
      <c r="Z124" s="5">
        <v>1</v>
      </c>
    </row>
    <row r="125" spans="1:26" ht="15.75" customHeight="1" x14ac:dyDescent="0.35">
      <c r="A125" s="2"/>
      <c r="B125" s="3" t="s">
        <v>475</v>
      </c>
      <c r="C125" s="3" t="s">
        <v>59</v>
      </c>
      <c r="D125" s="3" t="s">
        <v>60</v>
      </c>
      <c r="E125" s="3" t="s">
        <v>571</v>
      </c>
      <c r="F125" s="4" t="s">
        <v>572</v>
      </c>
      <c r="G125" s="4" t="s">
        <v>573</v>
      </c>
      <c r="H125" s="5">
        <v>1415520</v>
      </c>
      <c r="I125" s="5">
        <v>0</v>
      </c>
      <c r="J125" s="5">
        <v>1415520</v>
      </c>
      <c r="K125" s="5">
        <v>0</v>
      </c>
      <c r="L125" s="5">
        <v>0</v>
      </c>
      <c r="M125" s="5">
        <v>0</v>
      </c>
      <c r="N125" s="5">
        <v>0</v>
      </c>
      <c r="O125" s="5">
        <v>1415520</v>
      </c>
      <c r="P125" s="5">
        <v>0</v>
      </c>
      <c r="Q125" s="3" t="s">
        <v>574</v>
      </c>
      <c r="R125" s="3" t="s">
        <v>34</v>
      </c>
      <c r="S125" s="3" t="s">
        <v>34</v>
      </c>
      <c r="T125" s="3" t="s">
        <v>48</v>
      </c>
      <c r="U125" s="3" t="s">
        <v>34</v>
      </c>
      <c r="V125" s="3" t="s">
        <v>35</v>
      </c>
      <c r="W125" s="3" t="s">
        <v>575</v>
      </c>
      <c r="X125" s="3" t="s">
        <v>576</v>
      </c>
      <c r="Y125" s="5">
        <v>471840</v>
      </c>
      <c r="Z125" s="5">
        <v>3</v>
      </c>
    </row>
    <row r="126" spans="1:26" ht="15.75" customHeight="1" x14ac:dyDescent="0.35">
      <c r="A126" s="2"/>
      <c r="B126" s="3" t="s">
        <v>577</v>
      </c>
      <c r="C126" s="3" t="s">
        <v>59</v>
      </c>
      <c r="D126" s="3" t="s">
        <v>193</v>
      </c>
      <c r="E126" s="3" t="s">
        <v>578</v>
      </c>
      <c r="F126" s="4" t="s">
        <v>579</v>
      </c>
      <c r="G126" s="4" t="s">
        <v>580</v>
      </c>
      <c r="H126" s="5">
        <v>1160000</v>
      </c>
      <c r="I126" s="5">
        <v>0</v>
      </c>
      <c r="J126" s="5">
        <v>1160000</v>
      </c>
      <c r="K126" s="5">
        <v>0</v>
      </c>
      <c r="L126" s="5">
        <v>680000</v>
      </c>
      <c r="M126" s="5">
        <v>0</v>
      </c>
      <c r="N126" s="5">
        <v>480000</v>
      </c>
      <c r="O126" s="5">
        <v>0</v>
      </c>
      <c r="P126" s="5">
        <v>0</v>
      </c>
      <c r="Q126" s="3" t="s">
        <v>581</v>
      </c>
      <c r="R126" s="3" t="s">
        <v>34</v>
      </c>
      <c r="S126" s="3" t="s">
        <v>34</v>
      </c>
      <c r="T126" s="3" t="s">
        <v>41</v>
      </c>
      <c r="U126" s="3" t="s">
        <v>34</v>
      </c>
      <c r="V126" s="3" t="s">
        <v>35</v>
      </c>
      <c r="W126" s="3" t="s">
        <v>582</v>
      </c>
      <c r="X126" s="3"/>
      <c r="Y126" s="5">
        <v>580000</v>
      </c>
      <c r="Z126" s="5">
        <v>2</v>
      </c>
    </row>
    <row r="127" spans="1:26" ht="15.75" customHeight="1" x14ac:dyDescent="0.35">
      <c r="A127" s="2"/>
      <c r="B127" s="3" t="s">
        <v>577</v>
      </c>
      <c r="C127" s="3" t="s">
        <v>64</v>
      </c>
      <c r="D127" s="3" t="s">
        <v>65</v>
      </c>
      <c r="E127" s="3" t="s">
        <v>226</v>
      </c>
      <c r="F127" s="4" t="s">
        <v>579</v>
      </c>
      <c r="G127" s="4" t="s">
        <v>580</v>
      </c>
      <c r="H127" s="5">
        <v>960000</v>
      </c>
      <c r="I127" s="5">
        <v>0</v>
      </c>
      <c r="J127" s="5">
        <v>960000</v>
      </c>
      <c r="K127" s="5">
        <v>0</v>
      </c>
      <c r="L127" s="5">
        <v>960000</v>
      </c>
      <c r="M127" s="5">
        <v>0</v>
      </c>
      <c r="N127" s="5">
        <v>0</v>
      </c>
      <c r="O127" s="5">
        <v>0</v>
      </c>
      <c r="P127" s="5">
        <v>0</v>
      </c>
      <c r="Q127" s="3" t="s">
        <v>34</v>
      </c>
      <c r="R127" s="3" t="s">
        <v>34</v>
      </c>
      <c r="S127" s="3" t="s">
        <v>34</v>
      </c>
      <c r="T127" s="3" t="s">
        <v>41</v>
      </c>
      <c r="U127" s="3" t="s">
        <v>34</v>
      </c>
      <c r="V127" s="3" t="s">
        <v>35</v>
      </c>
      <c r="W127" s="3" t="s">
        <v>583</v>
      </c>
      <c r="X127" s="3"/>
      <c r="Y127" s="5">
        <v>480000</v>
      </c>
      <c r="Z127" s="5">
        <v>2</v>
      </c>
    </row>
    <row r="128" spans="1:26" ht="15.75" customHeight="1" x14ac:dyDescent="0.35">
      <c r="A128" s="2"/>
      <c r="B128" s="3" t="s">
        <v>577</v>
      </c>
      <c r="C128" s="3" t="s">
        <v>64</v>
      </c>
      <c r="D128" s="3" t="s">
        <v>99</v>
      </c>
      <c r="E128" s="3" t="s">
        <v>226</v>
      </c>
      <c r="F128" s="4" t="s">
        <v>579</v>
      </c>
      <c r="G128" s="4" t="s">
        <v>580</v>
      </c>
      <c r="H128" s="5">
        <v>960000</v>
      </c>
      <c r="I128" s="5">
        <v>0</v>
      </c>
      <c r="J128" s="5">
        <v>960000</v>
      </c>
      <c r="K128" s="5">
        <v>0</v>
      </c>
      <c r="L128" s="5">
        <v>960000</v>
      </c>
      <c r="M128" s="5">
        <v>0</v>
      </c>
      <c r="N128" s="5">
        <v>0</v>
      </c>
      <c r="O128" s="5">
        <v>0</v>
      </c>
      <c r="P128" s="5">
        <v>0</v>
      </c>
      <c r="Q128" s="3" t="s">
        <v>34</v>
      </c>
      <c r="R128" s="3" t="s">
        <v>34</v>
      </c>
      <c r="S128" s="3" t="s">
        <v>34</v>
      </c>
      <c r="T128" s="3" t="s">
        <v>41</v>
      </c>
      <c r="U128" s="3" t="s">
        <v>34</v>
      </c>
      <c r="V128" s="3" t="s">
        <v>35</v>
      </c>
      <c r="W128" s="3" t="s">
        <v>584</v>
      </c>
      <c r="X128" s="3"/>
      <c r="Y128" s="5">
        <v>480000</v>
      </c>
      <c r="Z128" s="5">
        <v>2</v>
      </c>
    </row>
    <row r="129" spans="1:26" ht="15.75" customHeight="1" x14ac:dyDescent="0.35">
      <c r="A129" s="2"/>
      <c r="B129" s="3" t="s">
        <v>577</v>
      </c>
      <c r="C129" s="3" t="s">
        <v>64</v>
      </c>
      <c r="D129" s="3" t="s">
        <v>89</v>
      </c>
      <c r="E129" s="3" t="s">
        <v>226</v>
      </c>
      <c r="F129" s="4" t="s">
        <v>579</v>
      </c>
      <c r="G129" s="4" t="s">
        <v>580</v>
      </c>
      <c r="H129" s="5">
        <v>960000</v>
      </c>
      <c r="I129" s="5">
        <v>0</v>
      </c>
      <c r="J129" s="5">
        <v>960000</v>
      </c>
      <c r="K129" s="5">
        <v>0</v>
      </c>
      <c r="L129" s="5">
        <v>960000</v>
      </c>
      <c r="M129" s="5">
        <v>0</v>
      </c>
      <c r="N129" s="5">
        <v>0</v>
      </c>
      <c r="O129" s="5">
        <v>0</v>
      </c>
      <c r="P129" s="5">
        <v>0</v>
      </c>
      <c r="Q129" s="3"/>
      <c r="R129" s="3"/>
      <c r="S129" s="3"/>
      <c r="T129" s="3" t="s">
        <v>41</v>
      </c>
      <c r="U129" s="3" t="s">
        <v>34</v>
      </c>
      <c r="V129" s="3" t="s">
        <v>35</v>
      </c>
      <c r="W129" s="3" t="s">
        <v>585</v>
      </c>
      <c r="X129" s="3"/>
      <c r="Y129" s="5">
        <v>480000</v>
      </c>
      <c r="Z129" s="5">
        <v>2</v>
      </c>
    </row>
    <row r="130" spans="1:26" ht="15.75" customHeight="1" x14ac:dyDescent="0.35">
      <c r="A130" s="2"/>
      <c r="B130" s="3" t="s">
        <v>586</v>
      </c>
      <c r="C130" s="3" t="s">
        <v>64</v>
      </c>
      <c r="D130" s="3" t="s">
        <v>76</v>
      </c>
      <c r="E130" s="3" t="s">
        <v>587</v>
      </c>
      <c r="F130" s="4" t="s">
        <v>588</v>
      </c>
      <c r="G130" s="4" t="s">
        <v>589</v>
      </c>
      <c r="H130" s="5">
        <v>1051200</v>
      </c>
      <c r="I130" s="5">
        <v>0</v>
      </c>
      <c r="J130" s="5">
        <v>1051200</v>
      </c>
      <c r="K130" s="5">
        <v>0</v>
      </c>
      <c r="L130" s="5">
        <v>0</v>
      </c>
      <c r="M130" s="5">
        <v>0</v>
      </c>
      <c r="N130" s="5">
        <v>0</v>
      </c>
      <c r="O130" s="5">
        <v>1051200</v>
      </c>
      <c r="P130" s="5">
        <v>0</v>
      </c>
      <c r="Q130" s="3" t="s">
        <v>590</v>
      </c>
      <c r="R130" s="3" t="s">
        <v>34</v>
      </c>
      <c r="S130" s="3" t="s">
        <v>34</v>
      </c>
      <c r="T130" s="3" t="s">
        <v>48</v>
      </c>
      <c r="U130" s="3" t="s">
        <v>34</v>
      </c>
      <c r="V130" s="3" t="s">
        <v>35</v>
      </c>
      <c r="W130" s="3" t="s">
        <v>591</v>
      </c>
      <c r="X130" s="3" t="s">
        <v>592</v>
      </c>
      <c r="Y130" s="5">
        <v>525600</v>
      </c>
      <c r="Z130" s="5">
        <v>2</v>
      </c>
    </row>
    <row r="131" spans="1:26" ht="15.75" customHeight="1" x14ac:dyDescent="0.35">
      <c r="A131" s="2"/>
      <c r="B131" s="3" t="s">
        <v>556</v>
      </c>
      <c r="C131" s="3" t="s">
        <v>64</v>
      </c>
      <c r="D131" s="3" t="s">
        <v>65</v>
      </c>
      <c r="E131" s="3" t="s">
        <v>593</v>
      </c>
      <c r="F131" s="4" t="s">
        <v>594</v>
      </c>
      <c r="G131" s="4" t="s">
        <v>595</v>
      </c>
      <c r="H131" s="5">
        <v>570000</v>
      </c>
      <c r="I131" s="5">
        <v>0</v>
      </c>
      <c r="J131" s="5">
        <v>570000</v>
      </c>
      <c r="K131" s="5">
        <v>0</v>
      </c>
      <c r="L131" s="5">
        <v>50800</v>
      </c>
      <c r="M131" s="5">
        <v>0</v>
      </c>
      <c r="N131" s="5">
        <v>519200</v>
      </c>
      <c r="O131" s="5">
        <v>0</v>
      </c>
      <c r="P131" s="5">
        <v>0</v>
      </c>
      <c r="Q131" s="3" t="s">
        <v>596</v>
      </c>
      <c r="R131" s="3" t="s">
        <v>34</v>
      </c>
      <c r="S131" s="3" t="s">
        <v>34</v>
      </c>
      <c r="T131" s="3" t="s">
        <v>41</v>
      </c>
      <c r="U131" s="3" t="s">
        <v>34</v>
      </c>
      <c r="V131" s="3" t="s">
        <v>35</v>
      </c>
      <c r="W131" s="3" t="s">
        <v>597</v>
      </c>
      <c r="X131" s="3"/>
      <c r="Y131" s="5">
        <v>570000</v>
      </c>
      <c r="Z131" s="5">
        <v>1</v>
      </c>
    </row>
    <row r="132" spans="1:26" ht="15.75" customHeight="1" x14ac:dyDescent="0.35">
      <c r="A132" s="2"/>
      <c r="B132" s="3" t="s">
        <v>511</v>
      </c>
      <c r="C132" s="3" t="s">
        <v>64</v>
      </c>
      <c r="D132" s="3" t="s">
        <v>89</v>
      </c>
      <c r="E132" s="3" t="s">
        <v>598</v>
      </c>
      <c r="F132" s="4" t="s">
        <v>599</v>
      </c>
      <c r="G132" s="4" t="s">
        <v>600</v>
      </c>
      <c r="H132" s="5">
        <v>525600</v>
      </c>
      <c r="I132" s="5">
        <v>0</v>
      </c>
      <c r="J132" s="5">
        <v>525600</v>
      </c>
      <c r="K132" s="5">
        <v>0</v>
      </c>
      <c r="L132" s="5">
        <v>0</v>
      </c>
      <c r="M132" s="5">
        <v>0</v>
      </c>
      <c r="N132" s="5">
        <v>0</v>
      </c>
      <c r="O132" s="5">
        <v>525600</v>
      </c>
      <c r="P132" s="5">
        <v>0</v>
      </c>
      <c r="Q132" s="3" t="s">
        <v>601</v>
      </c>
      <c r="R132" s="3" t="s">
        <v>34</v>
      </c>
      <c r="S132" s="3" t="s">
        <v>34</v>
      </c>
      <c r="T132" s="3" t="s">
        <v>48</v>
      </c>
      <c r="U132" s="3" t="s">
        <v>34</v>
      </c>
      <c r="V132" s="3" t="s">
        <v>35</v>
      </c>
      <c r="W132" s="3" t="s">
        <v>602</v>
      </c>
      <c r="X132" s="3" t="s">
        <v>603</v>
      </c>
      <c r="Y132" s="5">
        <v>525600</v>
      </c>
      <c r="Z132" s="5">
        <v>1</v>
      </c>
    </row>
    <row r="133" spans="1:26" ht="15.75" customHeight="1" x14ac:dyDescent="0.35">
      <c r="A133" s="2"/>
      <c r="B133" s="3" t="s">
        <v>512</v>
      </c>
      <c r="C133" s="3" t="s">
        <v>59</v>
      </c>
      <c r="D133" s="3" t="s">
        <v>60</v>
      </c>
      <c r="E133" s="3" t="s">
        <v>571</v>
      </c>
      <c r="F133" s="4" t="s">
        <v>599</v>
      </c>
      <c r="G133" s="4" t="s">
        <v>604</v>
      </c>
      <c r="H133" s="5">
        <v>525600</v>
      </c>
      <c r="I133" s="5">
        <v>0</v>
      </c>
      <c r="J133" s="5">
        <v>525600</v>
      </c>
      <c r="K133" s="5">
        <v>0</v>
      </c>
      <c r="L133" s="5">
        <v>0</v>
      </c>
      <c r="M133" s="5">
        <v>0</v>
      </c>
      <c r="N133" s="5">
        <v>0</v>
      </c>
      <c r="O133" s="5">
        <v>525600</v>
      </c>
      <c r="P133" s="5">
        <v>0</v>
      </c>
      <c r="Q133" s="3" t="s">
        <v>34</v>
      </c>
      <c r="R133" s="3" t="s">
        <v>34</v>
      </c>
      <c r="S133" s="3" t="s">
        <v>34</v>
      </c>
      <c r="T133" s="3" t="s">
        <v>48</v>
      </c>
      <c r="U133" s="3" t="s">
        <v>34</v>
      </c>
      <c r="V133" s="3" t="s">
        <v>35</v>
      </c>
      <c r="W133" s="3" t="s">
        <v>605</v>
      </c>
      <c r="X133" s="3" t="s">
        <v>606</v>
      </c>
      <c r="Y133" s="5">
        <v>525600</v>
      </c>
      <c r="Z133" s="5">
        <v>1</v>
      </c>
    </row>
    <row r="134" spans="1:26" ht="15.75" customHeight="1" x14ac:dyDescent="0.35">
      <c r="A134" s="2"/>
      <c r="B134" s="3" t="s">
        <v>591</v>
      </c>
      <c r="C134" s="3" t="s">
        <v>71</v>
      </c>
      <c r="D134" s="3" t="s">
        <v>95</v>
      </c>
      <c r="E134" s="3" t="s">
        <v>607</v>
      </c>
      <c r="F134" s="4" t="s">
        <v>608</v>
      </c>
      <c r="G134" s="4" t="s">
        <v>609</v>
      </c>
      <c r="H134" s="5">
        <v>1100000</v>
      </c>
      <c r="I134" s="5">
        <v>0</v>
      </c>
      <c r="J134" s="5">
        <v>1100000</v>
      </c>
      <c r="K134" s="5">
        <v>0</v>
      </c>
      <c r="L134" s="5">
        <v>0</v>
      </c>
      <c r="M134" s="5">
        <v>0</v>
      </c>
      <c r="N134" s="5">
        <v>1100000</v>
      </c>
      <c r="O134" s="5">
        <v>0</v>
      </c>
      <c r="P134" s="5">
        <v>0</v>
      </c>
      <c r="Q134" s="3"/>
      <c r="R134" s="3"/>
      <c r="S134" s="3"/>
      <c r="T134" s="3" t="s">
        <v>41</v>
      </c>
      <c r="U134" s="3" t="s">
        <v>34</v>
      </c>
      <c r="V134" s="3" t="s">
        <v>35</v>
      </c>
      <c r="W134" s="3" t="s">
        <v>610</v>
      </c>
      <c r="X134" s="3"/>
      <c r="Y134" s="5">
        <v>550000</v>
      </c>
      <c r="Z134" s="5">
        <v>2</v>
      </c>
    </row>
    <row r="135" spans="1:26" ht="15.75" customHeight="1" x14ac:dyDescent="0.35">
      <c r="A135" s="2"/>
      <c r="B135" s="3" t="s">
        <v>575</v>
      </c>
      <c r="C135" s="3" t="s">
        <v>64</v>
      </c>
      <c r="D135" s="3" t="s">
        <v>89</v>
      </c>
      <c r="E135" s="3" t="s">
        <v>611</v>
      </c>
      <c r="F135" s="4" t="s">
        <v>612</v>
      </c>
      <c r="G135" s="4" t="s">
        <v>613</v>
      </c>
      <c r="H135" s="5">
        <v>406000</v>
      </c>
      <c r="I135" s="5">
        <v>0</v>
      </c>
      <c r="J135" s="5">
        <v>406000</v>
      </c>
      <c r="K135" s="5">
        <v>0</v>
      </c>
      <c r="L135" s="5">
        <v>0</v>
      </c>
      <c r="M135" s="5">
        <v>0</v>
      </c>
      <c r="N135" s="5">
        <v>406000</v>
      </c>
      <c r="O135" s="5">
        <v>0</v>
      </c>
      <c r="P135" s="5">
        <v>0</v>
      </c>
      <c r="Q135" s="3" t="s">
        <v>614</v>
      </c>
      <c r="R135" s="3" t="s">
        <v>34</v>
      </c>
      <c r="S135" s="3" t="s">
        <v>34</v>
      </c>
      <c r="T135" s="3" t="s">
        <v>53</v>
      </c>
      <c r="U135" s="3" t="s">
        <v>34</v>
      </c>
      <c r="V135" s="3" t="s">
        <v>35</v>
      </c>
      <c r="W135" s="3" t="s">
        <v>615</v>
      </c>
      <c r="X135" s="3"/>
      <c r="Y135" s="5">
        <v>406000</v>
      </c>
      <c r="Z135" s="5">
        <v>1</v>
      </c>
    </row>
    <row r="136" spans="1:26" ht="15.75" customHeight="1" x14ac:dyDescent="0.35">
      <c r="A136" s="2"/>
      <c r="B136" s="3" t="s">
        <v>309</v>
      </c>
      <c r="C136" s="3" t="s">
        <v>29</v>
      </c>
      <c r="D136" s="3" t="s">
        <v>43</v>
      </c>
      <c r="E136" s="3" t="s">
        <v>616</v>
      </c>
      <c r="F136" s="4" t="s">
        <v>608</v>
      </c>
      <c r="G136" s="4" t="s">
        <v>617</v>
      </c>
      <c r="H136" s="5">
        <v>2067833</v>
      </c>
      <c r="I136" s="5">
        <v>0</v>
      </c>
      <c r="J136" s="5">
        <v>2067833</v>
      </c>
      <c r="K136" s="5">
        <v>0</v>
      </c>
      <c r="L136" s="5">
        <v>0</v>
      </c>
      <c r="M136" s="5">
        <v>0</v>
      </c>
      <c r="N136" s="5">
        <v>0</v>
      </c>
      <c r="O136" s="5">
        <v>2067833</v>
      </c>
      <c r="P136" s="5">
        <v>0</v>
      </c>
      <c r="Q136" s="3" t="s">
        <v>618</v>
      </c>
      <c r="R136" s="3" t="s">
        <v>34</v>
      </c>
      <c r="S136" s="3" t="s">
        <v>34</v>
      </c>
      <c r="T136" s="3" t="s">
        <v>48</v>
      </c>
      <c r="U136" s="3" t="s">
        <v>34</v>
      </c>
      <c r="V136" s="3" t="s">
        <v>35</v>
      </c>
      <c r="W136" s="3" t="s">
        <v>409</v>
      </c>
      <c r="X136" s="3" t="s">
        <v>619</v>
      </c>
      <c r="Y136" s="5">
        <v>689277.6666</v>
      </c>
      <c r="Z136" s="5">
        <v>3</v>
      </c>
    </row>
    <row r="137" spans="1:26" ht="15.75" customHeight="1" x14ac:dyDescent="0.35">
      <c r="A137" s="2"/>
      <c r="B137" s="3" t="s">
        <v>510</v>
      </c>
      <c r="C137" s="3" t="s">
        <v>29</v>
      </c>
      <c r="D137" s="3" t="s">
        <v>30</v>
      </c>
      <c r="E137" s="3" t="s">
        <v>620</v>
      </c>
      <c r="F137" s="4" t="s">
        <v>621</v>
      </c>
      <c r="G137" s="4" t="s">
        <v>617</v>
      </c>
      <c r="H137" s="5">
        <v>1500000</v>
      </c>
      <c r="I137" s="5">
        <v>38000</v>
      </c>
      <c r="J137" s="5">
        <v>1538000</v>
      </c>
      <c r="K137" s="5">
        <v>0</v>
      </c>
      <c r="L137" s="5">
        <v>1538000</v>
      </c>
      <c r="M137" s="5">
        <v>0</v>
      </c>
      <c r="N137" s="5">
        <v>0</v>
      </c>
      <c r="O137" s="5">
        <v>0</v>
      </c>
      <c r="P137" s="5">
        <v>0</v>
      </c>
      <c r="Q137" s="3" t="s">
        <v>622</v>
      </c>
      <c r="R137" s="3" t="s">
        <v>34</v>
      </c>
      <c r="S137" s="3" t="s">
        <v>34</v>
      </c>
      <c r="T137" s="3" t="s">
        <v>41</v>
      </c>
      <c r="U137" s="3" t="s">
        <v>34</v>
      </c>
      <c r="V137" s="3" t="s">
        <v>35</v>
      </c>
      <c r="W137" s="3" t="s">
        <v>623</v>
      </c>
      <c r="X137" s="3"/>
      <c r="Y137" s="5">
        <v>500000</v>
      </c>
      <c r="Z137" s="5">
        <v>3</v>
      </c>
    </row>
    <row r="138" spans="1:26" ht="15.75" customHeight="1" x14ac:dyDescent="0.35">
      <c r="A138" s="2"/>
      <c r="B138" s="3" t="s">
        <v>518</v>
      </c>
      <c r="C138" s="3" t="s">
        <v>64</v>
      </c>
      <c r="D138" s="3" t="s">
        <v>65</v>
      </c>
      <c r="E138" s="3" t="s">
        <v>624</v>
      </c>
      <c r="F138" s="4" t="s">
        <v>625</v>
      </c>
      <c r="G138" s="4" t="s">
        <v>626</v>
      </c>
      <c r="H138" s="5">
        <v>444960</v>
      </c>
      <c r="I138" s="5">
        <v>0</v>
      </c>
      <c r="J138" s="5">
        <v>444960</v>
      </c>
      <c r="K138" s="5">
        <v>0</v>
      </c>
      <c r="L138" s="5">
        <v>0</v>
      </c>
      <c r="M138" s="5">
        <v>0</v>
      </c>
      <c r="N138" s="5">
        <v>0</v>
      </c>
      <c r="O138" s="5">
        <v>444960</v>
      </c>
      <c r="P138" s="5">
        <v>0</v>
      </c>
      <c r="Q138" s="3" t="s">
        <v>34</v>
      </c>
      <c r="R138" s="3" t="s">
        <v>34</v>
      </c>
      <c r="S138" s="3" t="s">
        <v>34</v>
      </c>
      <c r="T138" s="3" t="s">
        <v>48</v>
      </c>
      <c r="U138" s="3" t="s">
        <v>34</v>
      </c>
      <c r="V138" s="3" t="s">
        <v>35</v>
      </c>
      <c r="W138" s="3" t="s">
        <v>627</v>
      </c>
      <c r="X138" s="3" t="s">
        <v>628</v>
      </c>
      <c r="Y138" s="5">
        <v>444960</v>
      </c>
      <c r="Z138" s="5">
        <v>1</v>
      </c>
    </row>
    <row r="139" spans="1:26" ht="15.75" customHeight="1" x14ac:dyDescent="0.35">
      <c r="A139" s="2"/>
      <c r="B139" s="3" t="s">
        <v>629</v>
      </c>
      <c r="C139" s="3" t="s">
        <v>64</v>
      </c>
      <c r="D139" s="3" t="s">
        <v>76</v>
      </c>
      <c r="E139" s="3" t="s">
        <v>587</v>
      </c>
      <c r="F139" s="4" t="s">
        <v>630</v>
      </c>
      <c r="G139" s="4" t="s">
        <v>631</v>
      </c>
      <c r="H139" s="5">
        <v>1496160</v>
      </c>
      <c r="I139" s="5">
        <v>127000</v>
      </c>
      <c r="J139" s="5">
        <v>1623160</v>
      </c>
      <c r="K139" s="5">
        <v>0</v>
      </c>
      <c r="L139" s="5">
        <v>38000</v>
      </c>
      <c r="M139" s="5">
        <v>0</v>
      </c>
      <c r="N139" s="5">
        <v>89000</v>
      </c>
      <c r="O139" s="5">
        <v>1496160</v>
      </c>
      <c r="P139" s="5">
        <v>0</v>
      </c>
      <c r="Q139" s="3" t="s">
        <v>34</v>
      </c>
      <c r="R139" s="3" t="s">
        <v>34</v>
      </c>
      <c r="S139" s="3" t="s">
        <v>34</v>
      </c>
      <c r="T139" s="3" t="s">
        <v>48</v>
      </c>
      <c r="U139" s="3" t="s">
        <v>34</v>
      </c>
      <c r="V139" s="3" t="s">
        <v>35</v>
      </c>
      <c r="W139" s="3" t="s">
        <v>632</v>
      </c>
      <c r="X139" s="3" t="s">
        <v>633</v>
      </c>
      <c r="Y139" s="5">
        <v>498720</v>
      </c>
      <c r="Z139" s="5">
        <v>3</v>
      </c>
    </row>
    <row r="140" spans="1:26" ht="15.75" customHeight="1" x14ac:dyDescent="0.35">
      <c r="A140" s="2"/>
      <c r="B140" s="3" t="s">
        <v>543</v>
      </c>
      <c r="C140" s="3" t="s">
        <v>64</v>
      </c>
      <c r="D140" s="3" t="s">
        <v>99</v>
      </c>
      <c r="E140" s="3" t="s">
        <v>226</v>
      </c>
      <c r="F140" s="4" t="s">
        <v>634</v>
      </c>
      <c r="G140" s="4" t="s">
        <v>631</v>
      </c>
      <c r="H140" s="5">
        <v>990000</v>
      </c>
      <c r="I140" s="5">
        <v>0</v>
      </c>
      <c r="J140" s="5">
        <v>990000</v>
      </c>
      <c r="K140" s="5">
        <v>0</v>
      </c>
      <c r="L140" s="5">
        <v>0</v>
      </c>
      <c r="M140" s="5">
        <v>0</v>
      </c>
      <c r="N140" s="5">
        <v>990000</v>
      </c>
      <c r="O140" s="5">
        <v>0</v>
      </c>
      <c r="P140" s="5">
        <v>0</v>
      </c>
      <c r="Q140" s="3"/>
      <c r="R140" s="3"/>
      <c r="S140" s="3"/>
      <c r="T140" s="3" t="s">
        <v>41</v>
      </c>
      <c r="U140" s="3" t="s">
        <v>34</v>
      </c>
      <c r="V140" s="3" t="s">
        <v>35</v>
      </c>
      <c r="W140" s="3" t="s">
        <v>635</v>
      </c>
      <c r="X140" s="3"/>
      <c r="Y140" s="5">
        <v>495000</v>
      </c>
      <c r="Z140" s="5">
        <v>2</v>
      </c>
    </row>
    <row r="141" spans="1:26" ht="15.75" customHeight="1" x14ac:dyDescent="0.35">
      <c r="A141" s="2"/>
      <c r="B141" s="3" t="s">
        <v>636</v>
      </c>
      <c r="C141" s="3" t="s">
        <v>59</v>
      </c>
      <c r="D141" s="3" t="s">
        <v>193</v>
      </c>
      <c r="E141" s="3" t="s">
        <v>637</v>
      </c>
      <c r="F141" s="4" t="s">
        <v>638</v>
      </c>
      <c r="G141" s="4" t="s">
        <v>631</v>
      </c>
      <c r="H141" s="5">
        <v>1160000</v>
      </c>
      <c r="I141" s="5">
        <v>400000</v>
      </c>
      <c r="J141" s="5">
        <v>1560000</v>
      </c>
      <c r="K141" s="5">
        <v>0</v>
      </c>
      <c r="L141" s="5">
        <v>0</v>
      </c>
      <c r="M141" s="5">
        <v>0</v>
      </c>
      <c r="N141" s="5">
        <v>1560000</v>
      </c>
      <c r="O141" s="5">
        <v>0</v>
      </c>
      <c r="P141" s="5">
        <v>0</v>
      </c>
      <c r="Q141" s="3" t="s">
        <v>639</v>
      </c>
      <c r="R141" s="3"/>
      <c r="S141" s="3"/>
      <c r="T141" s="3" t="s">
        <v>41</v>
      </c>
      <c r="U141" s="3" t="s">
        <v>34</v>
      </c>
      <c r="V141" s="3" t="s">
        <v>35</v>
      </c>
      <c r="W141" s="3" t="s">
        <v>640</v>
      </c>
      <c r="X141" s="3"/>
      <c r="Y141" s="5">
        <v>580000</v>
      </c>
      <c r="Z141" s="5">
        <v>2</v>
      </c>
    </row>
    <row r="142" spans="1:26" ht="15.75" customHeight="1" x14ac:dyDescent="0.35">
      <c r="A142" s="2"/>
      <c r="B142" s="3" t="s">
        <v>538</v>
      </c>
      <c r="C142" s="3" t="s">
        <v>59</v>
      </c>
      <c r="D142" s="3" t="s">
        <v>182</v>
      </c>
      <c r="E142" s="3" t="s">
        <v>641</v>
      </c>
      <c r="F142" s="4" t="s">
        <v>642</v>
      </c>
      <c r="G142" s="4" t="s">
        <v>643</v>
      </c>
      <c r="H142" s="5">
        <v>550000</v>
      </c>
      <c r="I142" s="5">
        <v>0</v>
      </c>
      <c r="J142" s="5">
        <v>550000</v>
      </c>
      <c r="K142" s="5">
        <v>0</v>
      </c>
      <c r="L142" s="5">
        <v>-100000</v>
      </c>
      <c r="M142" s="5">
        <v>0</v>
      </c>
      <c r="N142" s="5">
        <v>100000</v>
      </c>
      <c r="O142" s="5">
        <v>550000</v>
      </c>
      <c r="P142" s="5">
        <v>0</v>
      </c>
      <c r="Q142" s="3"/>
      <c r="R142" s="3"/>
      <c r="S142" s="3"/>
      <c r="T142" s="3" t="s">
        <v>41</v>
      </c>
      <c r="U142" s="3" t="s">
        <v>34</v>
      </c>
      <c r="V142" s="3" t="s">
        <v>35</v>
      </c>
      <c r="W142" s="3" t="s">
        <v>644</v>
      </c>
      <c r="X142" s="3"/>
      <c r="Y142" s="5">
        <v>550000</v>
      </c>
      <c r="Z142" s="5">
        <v>1</v>
      </c>
    </row>
    <row r="143" spans="1:26" ht="15.75" customHeight="1" x14ac:dyDescent="0.35">
      <c r="A143" s="2"/>
      <c r="B143" s="3" t="s">
        <v>543</v>
      </c>
      <c r="C143" s="3" t="s">
        <v>29</v>
      </c>
      <c r="D143" s="3" t="s">
        <v>413</v>
      </c>
      <c r="E143" s="3" t="s">
        <v>645</v>
      </c>
      <c r="F143" s="4" t="s">
        <v>634</v>
      </c>
      <c r="G143" s="4" t="s">
        <v>646</v>
      </c>
      <c r="H143" s="5">
        <v>1230000</v>
      </c>
      <c r="I143" s="5">
        <v>85000</v>
      </c>
      <c r="J143" s="5">
        <v>1315000</v>
      </c>
      <c r="K143" s="5">
        <v>0</v>
      </c>
      <c r="L143" s="5">
        <v>0</v>
      </c>
      <c r="M143" s="5">
        <v>0</v>
      </c>
      <c r="N143" s="5">
        <v>1315000</v>
      </c>
      <c r="O143" s="5">
        <v>0</v>
      </c>
      <c r="P143" s="5">
        <v>0</v>
      </c>
      <c r="Q143" s="3"/>
      <c r="R143" s="3"/>
      <c r="S143" s="3"/>
      <c r="T143" s="3" t="s">
        <v>41</v>
      </c>
      <c r="U143" s="3" t="s">
        <v>34</v>
      </c>
      <c r="V143" s="3" t="s">
        <v>35</v>
      </c>
      <c r="W143" s="3" t="s">
        <v>647</v>
      </c>
      <c r="X143" s="3"/>
      <c r="Y143" s="5">
        <v>615000</v>
      </c>
      <c r="Z143" s="5">
        <v>2</v>
      </c>
    </row>
    <row r="144" spans="1:26" ht="15.75" customHeight="1" x14ac:dyDescent="0.35">
      <c r="A144" s="2"/>
      <c r="B144" s="3" t="s">
        <v>534</v>
      </c>
      <c r="C144" s="3" t="s">
        <v>71</v>
      </c>
      <c r="D144" s="3" t="s">
        <v>95</v>
      </c>
      <c r="E144" s="3" t="s">
        <v>648</v>
      </c>
      <c r="F144" s="4" t="s">
        <v>649</v>
      </c>
      <c r="G144" s="4" t="s">
        <v>650</v>
      </c>
      <c r="H144" s="5">
        <v>790000</v>
      </c>
      <c r="I144" s="5">
        <v>0</v>
      </c>
      <c r="J144" s="5">
        <v>790000</v>
      </c>
      <c r="K144" s="5">
        <v>0</v>
      </c>
      <c r="L144" s="5">
        <v>0</v>
      </c>
      <c r="M144" s="5">
        <v>0</v>
      </c>
      <c r="N144" s="5">
        <v>790000</v>
      </c>
      <c r="O144" s="5">
        <v>0</v>
      </c>
      <c r="P144" s="5">
        <v>0</v>
      </c>
      <c r="Q144" s="3" t="s">
        <v>34</v>
      </c>
      <c r="R144" s="3" t="s">
        <v>34</v>
      </c>
      <c r="S144" s="3" t="s">
        <v>651</v>
      </c>
      <c r="T144" s="3" t="s">
        <v>41</v>
      </c>
      <c r="U144" s="3" t="s">
        <v>34</v>
      </c>
      <c r="V144" s="3" t="s">
        <v>35</v>
      </c>
      <c r="W144" s="3" t="s">
        <v>652</v>
      </c>
      <c r="X144" s="3"/>
      <c r="Y144" s="5">
        <v>790000</v>
      </c>
      <c r="Z144" s="5">
        <v>1</v>
      </c>
    </row>
    <row r="145" spans="1:26" ht="15.75" customHeight="1" x14ac:dyDescent="0.35">
      <c r="A145" s="2"/>
      <c r="B145" s="3" t="s">
        <v>534</v>
      </c>
      <c r="C145" s="3" t="s">
        <v>29</v>
      </c>
      <c r="D145" s="3" t="s">
        <v>30</v>
      </c>
      <c r="E145" s="3" t="s">
        <v>648</v>
      </c>
      <c r="F145" s="4" t="s">
        <v>649</v>
      </c>
      <c r="G145" s="4" t="s">
        <v>650</v>
      </c>
      <c r="H145" s="5">
        <v>970000</v>
      </c>
      <c r="I145" s="5">
        <v>0</v>
      </c>
      <c r="J145" s="5">
        <v>970000</v>
      </c>
      <c r="K145" s="5">
        <v>0</v>
      </c>
      <c r="L145" s="5">
        <v>0</v>
      </c>
      <c r="M145" s="5">
        <v>0</v>
      </c>
      <c r="N145" s="5">
        <v>970000</v>
      </c>
      <c r="O145" s="5">
        <v>0</v>
      </c>
      <c r="P145" s="5">
        <v>0</v>
      </c>
      <c r="Q145" s="3" t="s">
        <v>653</v>
      </c>
      <c r="R145" s="3"/>
      <c r="S145" s="3"/>
      <c r="T145" s="3" t="s">
        <v>41</v>
      </c>
      <c r="U145" s="3" t="s">
        <v>34</v>
      </c>
      <c r="V145" s="3" t="s">
        <v>35</v>
      </c>
      <c r="W145" s="3" t="s">
        <v>654</v>
      </c>
      <c r="X145" s="3"/>
      <c r="Y145" s="5">
        <v>970000</v>
      </c>
      <c r="Z145" s="5">
        <v>1</v>
      </c>
    </row>
    <row r="146" spans="1:26" ht="15.75" customHeight="1" x14ac:dyDescent="0.35">
      <c r="A146" s="2"/>
      <c r="B146" s="3" t="s">
        <v>591</v>
      </c>
      <c r="C146" s="3" t="s">
        <v>71</v>
      </c>
      <c r="D146" s="3" t="s">
        <v>72</v>
      </c>
      <c r="E146" s="3" t="s">
        <v>607</v>
      </c>
      <c r="F146" s="4" t="s">
        <v>608</v>
      </c>
      <c r="G146" s="4" t="s">
        <v>655</v>
      </c>
      <c r="H146" s="5">
        <v>2200000</v>
      </c>
      <c r="I146" s="5">
        <v>200000</v>
      </c>
      <c r="J146" s="5">
        <v>2400000</v>
      </c>
      <c r="K146" s="5">
        <v>0</v>
      </c>
      <c r="L146" s="5">
        <v>200000</v>
      </c>
      <c r="M146" s="5">
        <v>0</v>
      </c>
      <c r="N146" s="5">
        <v>2200000</v>
      </c>
      <c r="O146" s="5">
        <v>0</v>
      </c>
      <c r="P146" s="5">
        <v>0</v>
      </c>
      <c r="Q146" s="3"/>
      <c r="R146" s="3"/>
      <c r="S146" s="3"/>
      <c r="T146" s="3" t="s">
        <v>41</v>
      </c>
      <c r="U146" s="3" t="s">
        <v>34</v>
      </c>
      <c r="V146" s="3" t="s">
        <v>35</v>
      </c>
      <c r="W146" s="3" t="s">
        <v>656</v>
      </c>
      <c r="X146" s="3"/>
      <c r="Y146" s="5">
        <v>550000</v>
      </c>
      <c r="Z146" s="5">
        <v>4</v>
      </c>
    </row>
    <row r="147" spans="1:26" ht="15.75" customHeight="1" x14ac:dyDescent="0.35">
      <c r="A147" s="2"/>
      <c r="B147" s="3" t="s">
        <v>657</v>
      </c>
      <c r="C147" s="3" t="s">
        <v>64</v>
      </c>
      <c r="D147" s="3" t="s">
        <v>83</v>
      </c>
      <c r="E147" s="3" t="s">
        <v>658</v>
      </c>
      <c r="F147" s="4" t="s">
        <v>659</v>
      </c>
      <c r="G147" s="4" t="s">
        <v>660</v>
      </c>
      <c r="H147" s="5">
        <v>2835000</v>
      </c>
      <c r="I147" s="5">
        <v>399000</v>
      </c>
      <c r="J147" s="5">
        <v>3234000</v>
      </c>
      <c r="K147" s="5">
        <v>0</v>
      </c>
      <c r="L147" s="5">
        <v>5779000</v>
      </c>
      <c r="M147" s="5">
        <v>0</v>
      </c>
      <c r="N147" s="5">
        <v>500000</v>
      </c>
      <c r="O147" s="5">
        <v>0</v>
      </c>
      <c r="P147" s="5">
        <v>-3045000</v>
      </c>
      <c r="Q147" s="3" t="s">
        <v>661</v>
      </c>
      <c r="R147" s="3" t="s">
        <v>34</v>
      </c>
      <c r="S147" s="3" t="s">
        <v>662</v>
      </c>
      <c r="T147" s="3" t="s">
        <v>41</v>
      </c>
      <c r="U147" s="3" t="s">
        <v>34</v>
      </c>
      <c r="V147" s="3" t="s">
        <v>35</v>
      </c>
      <c r="W147" s="3" t="s">
        <v>663</v>
      </c>
      <c r="X147" s="3"/>
      <c r="Y147" s="5">
        <v>567000</v>
      </c>
      <c r="Z147" s="5">
        <v>5</v>
      </c>
    </row>
    <row r="148" spans="1:26" ht="15.75" customHeight="1" x14ac:dyDescent="0.35">
      <c r="A148" s="2"/>
      <c r="B148" s="3" t="s">
        <v>657</v>
      </c>
      <c r="C148" s="3" t="s">
        <v>59</v>
      </c>
      <c r="D148" s="3" t="s">
        <v>122</v>
      </c>
      <c r="E148" s="3" t="s">
        <v>664</v>
      </c>
      <c r="F148" s="4" t="s">
        <v>659</v>
      </c>
      <c r="G148" s="4" t="s">
        <v>660</v>
      </c>
      <c r="H148" s="5">
        <v>3325000</v>
      </c>
      <c r="I148" s="5">
        <v>0</v>
      </c>
      <c r="J148" s="5">
        <v>3325000</v>
      </c>
      <c r="K148" s="5">
        <v>0</v>
      </c>
      <c r="L148" s="5">
        <v>280000</v>
      </c>
      <c r="M148" s="5">
        <v>0</v>
      </c>
      <c r="N148" s="5">
        <v>0</v>
      </c>
      <c r="O148" s="5">
        <v>0</v>
      </c>
      <c r="P148" s="5">
        <v>3045000</v>
      </c>
      <c r="Q148" s="3" t="s">
        <v>34</v>
      </c>
      <c r="R148" s="3" t="s">
        <v>34</v>
      </c>
      <c r="S148" s="3" t="s">
        <v>665</v>
      </c>
      <c r="T148" s="3" t="s">
        <v>41</v>
      </c>
      <c r="U148" s="3" t="s">
        <v>34</v>
      </c>
      <c r="V148" s="3" t="s">
        <v>35</v>
      </c>
      <c r="W148" s="3" t="s">
        <v>666</v>
      </c>
      <c r="X148" s="3"/>
      <c r="Y148" s="5">
        <v>665000</v>
      </c>
      <c r="Z148" s="5">
        <v>5</v>
      </c>
    </row>
    <row r="149" spans="1:26" ht="15.75" customHeight="1" x14ac:dyDescent="0.35">
      <c r="A149" s="2"/>
      <c r="B149" s="3" t="s">
        <v>627</v>
      </c>
      <c r="C149" s="3" t="s">
        <v>59</v>
      </c>
      <c r="D149" s="3" t="s">
        <v>60</v>
      </c>
      <c r="E149" s="3" t="s">
        <v>667</v>
      </c>
      <c r="F149" s="4" t="s">
        <v>668</v>
      </c>
      <c r="G149" s="4" t="s">
        <v>669</v>
      </c>
      <c r="H149" s="5">
        <v>989000</v>
      </c>
      <c r="I149" s="5">
        <v>0</v>
      </c>
      <c r="J149" s="5">
        <v>989000</v>
      </c>
      <c r="K149" s="5">
        <v>0</v>
      </c>
      <c r="L149" s="5">
        <v>350000</v>
      </c>
      <c r="M149" s="5">
        <v>0</v>
      </c>
      <c r="N149" s="5">
        <v>639000</v>
      </c>
      <c r="O149" s="5">
        <v>0</v>
      </c>
      <c r="P149" s="5">
        <v>0</v>
      </c>
      <c r="Q149" s="3" t="s">
        <v>34</v>
      </c>
      <c r="R149" s="3" t="s">
        <v>34</v>
      </c>
      <c r="S149" s="3" t="s">
        <v>34</v>
      </c>
      <c r="T149" s="3" t="s">
        <v>41</v>
      </c>
      <c r="U149" s="3" t="s">
        <v>34</v>
      </c>
      <c r="V149" s="3" t="s">
        <v>35</v>
      </c>
      <c r="W149" s="3" t="s">
        <v>670</v>
      </c>
      <c r="X149" s="3"/>
      <c r="Y149" s="5">
        <v>989000</v>
      </c>
      <c r="Z149" s="5">
        <v>1</v>
      </c>
    </row>
    <row r="150" spans="1:26" ht="15.75" customHeight="1" x14ac:dyDescent="0.35">
      <c r="A150" s="2"/>
      <c r="B150" s="3" t="s">
        <v>569</v>
      </c>
      <c r="C150" s="3" t="s">
        <v>29</v>
      </c>
      <c r="D150" s="3" t="s">
        <v>30</v>
      </c>
      <c r="E150" s="3" t="s">
        <v>671</v>
      </c>
      <c r="F150" s="4" t="s">
        <v>672</v>
      </c>
      <c r="G150" s="4" t="s">
        <v>673</v>
      </c>
      <c r="H150" s="5">
        <v>449000</v>
      </c>
      <c r="I150" s="5">
        <v>0</v>
      </c>
      <c r="J150" s="5">
        <v>449000</v>
      </c>
      <c r="K150" s="5">
        <v>0</v>
      </c>
      <c r="L150" s="5">
        <v>0</v>
      </c>
      <c r="M150" s="5">
        <v>0</v>
      </c>
      <c r="N150" s="5">
        <v>449000</v>
      </c>
      <c r="O150" s="5">
        <v>0</v>
      </c>
      <c r="P150" s="5">
        <v>0</v>
      </c>
      <c r="Q150" s="3" t="s">
        <v>674</v>
      </c>
      <c r="R150" s="3" t="s">
        <v>34</v>
      </c>
      <c r="S150" s="3" t="s">
        <v>675</v>
      </c>
      <c r="T150" s="3" t="s">
        <v>41</v>
      </c>
      <c r="U150" s="3" t="s">
        <v>34</v>
      </c>
      <c r="V150" s="3" t="s">
        <v>35</v>
      </c>
      <c r="W150" s="3" t="s">
        <v>676</v>
      </c>
      <c r="X150" s="3"/>
      <c r="Y150" s="5">
        <v>449000</v>
      </c>
      <c r="Z150" s="5">
        <v>1</v>
      </c>
    </row>
    <row r="151" spans="1:26" ht="15.75" customHeight="1" x14ac:dyDescent="0.35">
      <c r="A151" s="2"/>
      <c r="B151" s="3" t="s">
        <v>582</v>
      </c>
      <c r="C151" s="3" t="s">
        <v>64</v>
      </c>
      <c r="D151" s="3" t="s">
        <v>65</v>
      </c>
      <c r="E151" s="3" t="s">
        <v>677</v>
      </c>
      <c r="F151" s="4" t="s">
        <v>678</v>
      </c>
      <c r="G151" s="4" t="s">
        <v>679</v>
      </c>
      <c r="H151" s="5">
        <v>450000</v>
      </c>
      <c r="I151" s="5">
        <v>0</v>
      </c>
      <c r="J151" s="5">
        <v>450000</v>
      </c>
      <c r="K151" s="5">
        <v>0</v>
      </c>
      <c r="L151" s="5">
        <v>0</v>
      </c>
      <c r="M151" s="5">
        <v>0</v>
      </c>
      <c r="N151" s="5">
        <v>450000</v>
      </c>
      <c r="O151" s="5">
        <v>0</v>
      </c>
      <c r="P151" s="5">
        <v>0</v>
      </c>
      <c r="Q151" s="3" t="s">
        <v>384</v>
      </c>
      <c r="R151" s="3" t="s">
        <v>34</v>
      </c>
      <c r="S151" s="3" t="s">
        <v>34</v>
      </c>
      <c r="T151" s="3" t="s">
        <v>41</v>
      </c>
      <c r="U151" s="3" t="s">
        <v>34</v>
      </c>
      <c r="V151" s="3" t="s">
        <v>35</v>
      </c>
      <c r="W151" s="3" t="s">
        <v>680</v>
      </c>
      <c r="X151" s="3"/>
      <c r="Y151" s="5">
        <v>450000</v>
      </c>
      <c r="Z151" s="5">
        <v>1</v>
      </c>
    </row>
    <row r="152" spans="1:26" ht="15.75" customHeight="1" x14ac:dyDescent="0.35">
      <c r="A152" s="2"/>
      <c r="B152" s="3" t="s">
        <v>681</v>
      </c>
      <c r="C152" s="3" t="s">
        <v>64</v>
      </c>
      <c r="D152" s="3" t="s">
        <v>89</v>
      </c>
      <c r="E152" s="3" t="s">
        <v>682</v>
      </c>
      <c r="F152" s="4" t="s">
        <v>683</v>
      </c>
      <c r="G152" s="4" t="s">
        <v>684</v>
      </c>
      <c r="H152" s="5">
        <v>889920</v>
      </c>
      <c r="I152" s="5">
        <v>0</v>
      </c>
      <c r="J152" s="5">
        <v>889920</v>
      </c>
      <c r="K152" s="5">
        <v>0</v>
      </c>
      <c r="L152" s="5">
        <v>0</v>
      </c>
      <c r="M152" s="5">
        <v>0</v>
      </c>
      <c r="N152" s="5">
        <v>0</v>
      </c>
      <c r="O152" s="5">
        <v>889920</v>
      </c>
      <c r="P152" s="5">
        <v>0</v>
      </c>
      <c r="Q152" s="3" t="s">
        <v>685</v>
      </c>
      <c r="R152" s="3" t="s">
        <v>34</v>
      </c>
      <c r="S152" s="3" t="s">
        <v>686</v>
      </c>
      <c r="T152" s="3" t="s">
        <v>48</v>
      </c>
      <c r="U152" s="3" t="s">
        <v>34</v>
      </c>
      <c r="V152" s="3" t="s">
        <v>35</v>
      </c>
      <c r="W152" s="3" t="s">
        <v>687</v>
      </c>
      <c r="X152" s="3" t="s">
        <v>688</v>
      </c>
      <c r="Y152" s="5">
        <v>444960</v>
      </c>
      <c r="Z152" s="5">
        <v>2</v>
      </c>
    </row>
    <row r="153" spans="1:26" ht="15.75" customHeight="1" x14ac:dyDescent="0.35">
      <c r="A153" s="2"/>
      <c r="B153" s="3" t="s">
        <v>561</v>
      </c>
      <c r="C153" s="3" t="s">
        <v>64</v>
      </c>
      <c r="D153" s="3" t="s">
        <v>99</v>
      </c>
      <c r="E153" s="3" t="s">
        <v>689</v>
      </c>
      <c r="F153" s="4" t="s">
        <v>690</v>
      </c>
      <c r="G153" s="4" t="s">
        <v>691</v>
      </c>
      <c r="H153" s="5">
        <v>495000</v>
      </c>
      <c r="I153" s="5">
        <v>0</v>
      </c>
      <c r="J153" s="5">
        <v>495000</v>
      </c>
      <c r="K153" s="5">
        <v>0</v>
      </c>
      <c r="L153" s="5">
        <v>0</v>
      </c>
      <c r="M153" s="5">
        <v>0</v>
      </c>
      <c r="N153" s="5">
        <v>495000</v>
      </c>
      <c r="O153" s="5">
        <v>0</v>
      </c>
      <c r="P153" s="5">
        <v>0</v>
      </c>
      <c r="Q153" s="3" t="s">
        <v>692</v>
      </c>
      <c r="R153" s="3"/>
      <c r="S153" s="3"/>
      <c r="T153" s="3" t="s">
        <v>41</v>
      </c>
      <c r="U153" s="3" t="s">
        <v>34</v>
      </c>
      <c r="V153" s="3" t="s">
        <v>35</v>
      </c>
      <c r="W153" s="3" t="s">
        <v>693</v>
      </c>
      <c r="X153" s="3"/>
      <c r="Y153" s="5">
        <v>495000</v>
      </c>
      <c r="Z153" s="5">
        <v>1</v>
      </c>
    </row>
    <row r="154" spans="1:26" ht="15.75" customHeight="1" x14ac:dyDescent="0.35">
      <c r="A154" s="2"/>
      <c r="B154" s="3" t="s">
        <v>502</v>
      </c>
      <c r="C154" s="3" t="s">
        <v>64</v>
      </c>
      <c r="D154" s="3" t="s">
        <v>76</v>
      </c>
      <c r="E154" s="3" t="s">
        <v>694</v>
      </c>
      <c r="F154" s="4" t="s">
        <v>695</v>
      </c>
      <c r="G154" s="4" t="s">
        <v>696</v>
      </c>
      <c r="H154" s="5">
        <v>1727000</v>
      </c>
      <c r="I154" s="5">
        <v>0</v>
      </c>
      <c r="J154" s="5">
        <v>1562300</v>
      </c>
      <c r="K154" s="5">
        <v>0</v>
      </c>
      <c r="L154" s="5">
        <v>1562300</v>
      </c>
      <c r="M154" s="5">
        <v>0</v>
      </c>
      <c r="N154" s="5">
        <v>0</v>
      </c>
      <c r="O154" s="5">
        <v>0</v>
      </c>
      <c r="P154" s="5">
        <v>0</v>
      </c>
      <c r="Q154" s="3" t="s">
        <v>34</v>
      </c>
      <c r="R154" s="3" t="s">
        <v>34</v>
      </c>
      <c r="S154" s="3" t="s">
        <v>697</v>
      </c>
      <c r="T154" s="3" t="s">
        <v>48</v>
      </c>
      <c r="U154" s="3" t="s">
        <v>34</v>
      </c>
      <c r="V154" s="3" t="s">
        <v>35</v>
      </c>
      <c r="W154" s="3" t="s">
        <v>553</v>
      </c>
      <c r="X154" s="3" t="s">
        <v>698</v>
      </c>
      <c r="Y154" s="5">
        <v>575666.6666</v>
      </c>
      <c r="Z154" s="5">
        <v>3</v>
      </c>
    </row>
    <row r="155" spans="1:26" ht="15.75" customHeight="1" x14ac:dyDescent="0.35">
      <c r="A155" s="2"/>
      <c r="B155" s="3" t="s">
        <v>502</v>
      </c>
      <c r="C155" s="3" t="s">
        <v>29</v>
      </c>
      <c r="D155" s="3" t="s">
        <v>43</v>
      </c>
      <c r="E155" s="3" t="s">
        <v>699</v>
      </c>
      <c r="F155" s="4" t="s">
        <v>695</v>
      </c>
      <c r="G155" s="4" t="s">
        <v>696</v>
      </c>
      <c r="H155" s="5">
        <v>2507000</v>
      </c>
      <c r="I155" s="5">
        <v>0</v>
      </c>
      <c r="J155" s="5">
        <v>2342300</v>
      </c>
      <c r="K155" s="5">
        <v>0</v>
      </c>
      <c r="L155" s="5">
        <v>860000</v>
      </c>
      <c r="M155" s="5">
        <v>0</v>
      </c>
      <c r="N155" s="5">
        <v>1482300</v>
      </c>
      <c r="O155" s="5">
        <v>0</v>
      </c>
      <c r="P155" s="5">
        <v>0</v>
      </c>
      <c r="Q155" s="3" t="s">
        <v>700</v>
      </c>
      <c r="R155" s="3" t="s">
        <v>701</v>
      </c>
      <c r="S155" s="3" t="s">
        <v>702</v>
      </c>
      <c r="T155" s="3" t="s">
        <v>48</v>
      </c>
      <c r="U155" s="3" t="s">
        <v>34</v>
      </c>
      <c r="V155" s="3" t="s">
        <v>35</v>
      </c>
      <c r="W155" s="3" t="s">
        <v>586</v>
      </c>
      <c r="X155" s="3" t="s">
        <v>698</v>
      </c>
      <c r="Y155" s="5">
        <v>835666.6666</v>
      </c>
      <c r="Z155" s="5">
        <v>3</v>
      </c>
    </row>
    <row r="156" spans="1:26" ht="15.75" customHeight="1" x14ac:dyDescent="0.35">
      <c r="A156" s="2"/>
      <c r="B156" s="3" t="s">
        <v>502</v>
      </c>
      <c r="C156" s="3" t="s">
        <v>29</v>
      </c>
      <c r="D156" s="3" t="s">
        <v>37</v>
      </c>
      <c r="E156" s="3" t="s">
        <v>34</v>
      </c>
      <c r="F156" s="4" t="s">
        <v>695</v>
      </c>
      <c r="G156" s="4" t="s">
        <v>696</v>
      </c>
      <c r="H156" s="5">
        <v>2507000</v>
      </c>
      <c r="I156" s="5">
        <v>0</v>
      </c>
      <c r="J156" s="5">
        <v>2342300</v>
      </c>
      <c r="K156" s="5">
        <v>0</v>
      </c>
      <c r="L156" s="5">
        <v>1624300</v>
      </c>
      <c r="M156" s="5">
        <v>0</v>
      </c>
      <c r="N156" s="5">
        <v>718000</v>
      </c>
      <c r="O156" s="5">
        <v>0</v>
      </c>
      <c r="P156" s="5">
        <v>0</v>
      </c>
      <c r="Q156" s="3" t="s">
        <v>34</v>
      </c>
      <c r="R156" s="3" t="s">
        <v>34</v>
      </c>
      <c r="S156" s="3" t="s">
        <v>703</v>
      </c>
      <c r="T156" s="3" t="s">
        <v>48</v>
      </c>
      <c r="U156" s="3" t="s">
        <v>34</v>
      </c>
      <c r="V156" s="3" t="s">
        <v>35</v>
      </c>
      <c r="W156" s="3" t="s">
        <v>629</v>
      </c>
      <c r="X156" s="3" t="s">
        <v>698</v>
      </c>
      <c r="Y156" s="5">
        <v>835666.6666</v>
      </c>
      <c r="Z156" s="5">
        <v>3</v>
      </c>
    </row>
    <row r="157" spans="1:26" ht="15.75" customHeight="1" x14ac:dyDescent="0.35">
      <c r="A157" s="2"/>
      <c r="B157" s="3" t="s">
        <v>585</v>
      </c>
      <c r="C157" s="3" t="s">
        <v>64</v>
      </c>
      <c r="D157" s="3" t="s">
        <v>83</v>
      </c>
      <c r="E157" s="3" t="s">
        <v>704</v>
      </c>
      <c r="F157" s="4" t="s">
        <v>705</v>
      </c>
      <c r="G157" s="4" t="s">
        <v>706</v>
      </c>
      <c r="H157" s="5">
        <v>1000000</v>
      </c>
      <c r="I157" s="5">
        <v>0</v>
      </c>
      <c r="J157" s="5">
        <v>1000000</v>
      </c>
      <c r="K157" s="5">
        <v>0</v>
      </c>
      <c r="L157" s="5">
        <v>500000</v>
      </c>
      <c r="M157" s="5">
        <v>0</v>
      </c>
      <c r="N157" s="5">
        <v>500000</v>
      </c>
      <c r="O157" s="5">
        <v>0</v>
      </c>
      <c r="P157" s="5">
        <v>0</v>
      </c>
      <c r="Q157" s="3" t="s">
        <v>707</v>
      </c>
      <c r="R157" s="3"/>
      <c r="S157" s="3"/>
      <c r="T157" s="3" t="s">
        <v>41</v>
      </c>
      <c r="U157" s="3" t="s">
        <v>34</v>
      </c>
      <c r="V157" s="3" t="s">
        <v>35</v>
      </c>
      <c r="W157" s="3" t="s">
        <v>708</v>
      </c>
      <c r="X157" s="3"/>
      <c r="Y157" s="5">
        <v>500000</v>
      </c>
      <c r="Z157" s="5">
        <v>2</v>
      </c>
    </row>
    <row r="158" spans="1:26" ht="15.75" customHeight="1" x14ac:dyDescent="0.35">
      <c r="A158" s="2"/>
      <c r="B158" s="3" t="s">
        <v>566</v>
      </c>
      <c r="C158" s="3" t="s">
        <v>64</v>
      </c>
      <c r="D158" s="3" t="s">
        <v>99</v>
      </c>
      <c r="E158" s="3" t="s">
        <v>709</v>
      </c>
      <c r="F158" s="4" t="s">
        <v>710</v>
      </c>
      <c r="G158" s="4" t="s">
        <v>711</v>
      </c>
      <c r="H158" s="5">
        <v>1496160</v>
      </c>
      <c r="I158" s="5">
        <v>0</v>
      </c>
      <c r="J158" s="5">
        <v>1496160</v>
      </c>
      <c r="K158" s="5">
        <v>0</v>
      </c>
      <c r="L158" s="5">
        <v>0</v>
      </c>
      <c r="M158" s="5">
        <v>0</v>
      </c>
      <c r="N158" s="5">
        <v>0</v>
      </c>
      <c r="O158" s="5">
        <v>1496160</v>
      </c>
      <c r="P158" s="5">
        <v>0</v>
      </c>
      <c r="Q158" s="3" t="s">
        <v>34</v>
      </c>
      <c r="R158" s="3" t="s">
        <v>34</v>
      </c>
      <c r="S158" s="3" t="s">
        <v>712</v>
      </c>
      <c r="T158" s="3" t="s">
        <v>48</v>
      </c>
      <c r="U158" s="3" t="s">
        <v>34</v>
      </c>
      <c r="V158" s="3" t="s">
        <v>35</v>
      </c>
      <c r="W158" s="3" t="s">
        <v>713</v>
      </c>
      <c r="X158" s="3" t="s">
        <v>714</v>
      </c>
      <c r="Y158" s="5">
        <v>1496160</v>
      </c>
      <c r="Z158" s="5">
        <v>1</v>
      </c>
    </row>
    <row r="159" spans="1:26" ht="15.75" customHeight="1" x14ac:dyDescent="0.35">
      <c r="A159" s="2"/>
      <c r="B159" s="3" t="s">
        <v>602</v>
      </c>
      <c r="C159" s="3" t="s">
        <v>59</v>
      </c>
      <c r="D159" s="3" t="s">
        <v>182</v>
      </c>
      <c r="E159" s="3" t="s">
        <v>709</v>
      </c>
      <c r="F159" s="4" t="s">
        <v>710</v>
      </c>
      <c r="G159" s="4" t="s">
        <v>711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3" t="s">
        <v>34</v>
      </c>
      <c r="R159" s="3" t="s">
        <v>34</v>
      </c>
      <c r="S159" s="3" t="s">
        <v>712</v>
      </c>
      <c r="T159" s="3" t="s">
        <v>41</v>
      </c>
      <c r="U159" s="3" t="s">
        <v>34</v>
      </c>
      <c r="V159" s="3" t="s">
        <v>35</v>
      </c>
      <c r="W159" s="3" t="s">
        <v>715</v>
      </c>
      <c r="X159" s="3"/>
      <c r="Y159" s="5">
        <v>0</v>
      </c>
      <c r="Z159" s="5">
        <v>1</v>
      </c>
    </row>
    <row r="160" spans="1:26" ht="15.75" customHeight="1" x14ac:dyDescent="0.35">
      <c r="A160" s="2"/>
      <c r="B160" s="3" t="s">
        <v>610</v>
      </c>
      <c r="C160" s="3" t="s">
        <v>59</v>
      </c>
      <c r="D160" s="3" t="s">
        <v>122</v>
      </c>
      <c r="E160" s="3" t="s">
        <v>716</v>
      </c>
      <c r="F160" s="4" t="s">
        <v>717</v>
      </c>
      <c r="G160" s="4" t="s">
        <v>718</v>
      </c>
      <c r="H160" s="5">
        <v>585000</v>
      </c>
      <c r="I160" s="5">
        <v>200000</v>
      </c>
      <c r="J160" s="5">
        <v>785000</v>
      </c>
      <c r="K160" s="5">
        <v>0</v>
      </c>
      <c r="L160" s="5">
        <v>0</v>
      </c>
      <c r="M160" s="5">
        <v>0</v>
      </c>
      <c r="N160" s="5">
        <v>785000</v>
      </c>
      <c r="O160" s="5">
        <v>0</v>
      </c>
      <c r="P160" s="5">
        <v>0</v>
      </c>
      <c r="Q160" s="3" t="s">
        <v>719</v>
      </c>
      <c r="R160" s="3" t="s">
        <v>34</v>
      </c>
      <c r="S160" s="3" t="s">
        <v>34</v>
      </c>
      <c r="T160" s="3" t="s">
        <v>41</v>
      </c>
      <c r="U160" s="3" t="s">
        <v>34</v>
      </c>
      <c r="V160" s="3" t="s">
        <v>35</v>
      </c>
      <c r="W160" s="3" t="s">
        <v>720</v>
      </c>
      <c r="X160" s="3"/>
      <c r="Y160" s="5">
        <v>585000</v>
      </c>
      <c r="Z160" s="5">
        <v>1</v>
      </c>
    </row>
    <row r="161" spans="1:26" ht="15.75" customHeight="1" x14ac:dyDescent="0.35">
      <c r="A161" s="2"/>
      <c r="B161" s="3" t="s">
        <v>597</v>
      </c>
      <c r="C161" s="3" t="s">
        <v>71</v>
      </c>
      <c r="D161" s="3" t="s">
        <v>95</v>
      </c>
      <c r="E161" s="3" t="s">
        <v>721</v>
      </c>
      <c r="F161" s="4" t="s">
        <v>722</v>
      </c>
      <c r="G161" s="4" t="s">
        <v>723</v>
      </c>
      <c r="H161" s="5">
        <v>543600</v>
      </c>
      <c r="I161" s="5">
        <v>0</v>
      </c>
      <c r="J161" s="5">
        <v>543600</v>
      </c>
      <c r="K161" s="5">
        <v>0</v>
      </c>
      <c r="L161" s="5">
        <v>0</v>
      </c>
      <c r="M161" s="5">
        <v>0</v>
      </c>
      <c r="N161" s="5">
        <v>0</v>
      </c>
      <c r="O161" s="5">
        <v>543600</v>
      </c>
      <c r="P161" s="5">
        <v>0</v>
      </c>
      <c r="Q161" s="3" t="s">
        <v>724</v>
      </c>
      <c r="R161" s="3" t="s">
        <v>725</v>
      </c>
      <c r="S161" s="3" t="s">
        <v>34</v>
      </c>
      <c r="T161" s="3" t="s">
        <v>48</v>
      </c>
      <c r="U161" s="3" t="s">
        <v>34</v>
      </c>
      <c r="V161" s="3" t="s">
        <v>35</v>
      </c>
      <c r="W161" s="3" t="s">
        <v>726</v>
      </c>
      <c r="X161" s="3" t="s">
        <v>727</v>
      </c>
      <c r="Y161" s="5">
        <v>543600</v>
      </c>
      <c r="Z161" s="5">
        <v>1</v>
      </c>
    </row>
    <row r="162" spans="1:26" ht="15.75" customHeight="1" x14ac:dyDescent="0.35">
      <c r="A162" s="2"/>
      <c r="B162" s="3" t="s">
        <v>547</v>
      </c>
      <c r="C162" s="3" t="s">
        <v>29</v>
      </c>
      <c r="D162" s="3" t="s">
        <v>30</v>
      </c>
      <c r="E162" s="3" t="s">
        <v>728</v>
      </c>
      <c r="F162" s="4" t="s">
        <v>729</v>
      </c>
      <c r="G162" s="4" t="s">
        <v>730</v>
      </c>
      <c r="H162" s="5">
        <v>1392343</v>
      </c>
      <c r="I162" s="5">
        <v>0</v>
      </c>
      <c r="J162" s="5">
        <v>1392343</v>
      </c>
      <c r="K162" s="5">
        <v>0</v>
      </c>
      <c r="L162" s="5">
        <v>0</v>
      </c>
      <c r="M162" s="5">
        <v>0</v>
      </c>
      <c r="N162" s="5">
        <v>0</v>
      </c>
      <c r="O162" s="5">
        <v>1392343</v>
      </c>
      <c r="P162" s="5">
        <v>0</v>
      </c>
      <c r="Q162" s="3" t="s">
        <v>731</v>
      </c>
      <c r="R162" s="3" t="s">
        <v>34</v>
      </c>
      <c r="S162" s="3" t="s">
        <v>34</v>
      </c>
      <c r="T162" s="3" t="s">
        <v>48</v>
      </c>
      <c r="U162" s="3" t="s">
        <v>34</v>
      </c>
      <c r="V162" s="3" t="s">
        <v>35</v>
      </c>
      <c r="W162" s="3" t="s">
        <v>732</v>
      </c>
      <c r="X162" s="3" t="s">
        <v>733</v>
      </c>
      <c r="Y162" s="5">
        <v>696171.5</v>
      </c>
      <c r="Z162" s="5">
        <v>2</v>
      </c>
    </row>
    <row r="163" spans="1:26" ht="15.75" customHeight="1" x14ac:dyDescent="0.35">
      <c r="A163" s="2"/>
      <c r="B163" s="3" t="s">
        <v>734</v>
      </c>
      <c r="C163" s="3" t="s">
        <v>64</v>
      </c>
      <c r="D163" s="3" t="s">
        <v>65</v>
      </c>
      <c r="E163" s="3" t="s">
        <v>735</v>
      </c>
      <c r="F163" s="4" t="s">
        <v>736</v>
      </c>
      <c r="G163" s="4" t="s">
        <v>737</v>
      </c>
      <c r="H163" s="5">
        <v>889920</v>
      </c>
      <c r="I163" s="5">
        <v>0</v>
      </c>
      <c r="J163" s="5">
        <v>889920</v>
      </c>
      <c r="K163" s="5">
        <v>0</v>
      </c>
      <c r="L163" s="5">
        <v>0</v>
      </c>
      <c r="M163" s="5">
        <v>0</v>
      </c>
      <c r="N163" s="5">
        <v>0</v>
      </c>
      <c r="O163" s="5">
        <v>889920</v>
      </c>
      <c r="P163" s="5">
        <v>0</v>
      </c>
      <c r="Q163" s="3" t="s">
        <v>738</v>
      </c>
      <c r="R163" s="3" t="s">
        <v>34</v>
      </c>
      <c r="S163" s="3" t="s">
        <v>34</v>
      </c>
      <c r="T163" s="3" t="s">
        <v>48</v>
      </c>
      <c r="U163" s="3" t="s">
        <v>34</v>
      </c>
      <c r="V163" s="3" t="s">
        <v>35</v>
      </c>
      <c r="W163" s="3" t="s">
        <v>739</v>
      </c>
      <c r="X163" s="3" t="s">
        <v>740</v>
      </c>
      <c r="Y163" s="5">
        <v>444960</v>
      </c>
      <c r="Z163" s="5">
        <v>2</v>
      </c>
    </row>
    <row r="164" spans="1:26" ht="15.75" customHeight="1" x14ac:dyDescent="0.35">
      <c r="A164" s="2"/>
      <c r="B164" s="3" t="s">
        <v>647</v>
      </c>
      <c r="C164" s="3" t="s">
        <v>29</v>
      </c>
      <c r="D164" s="3" t="s">
        <v>30</v>
      </c>
      <c r="E164" s="3" t="s">
        <v>741</v>
      </c>
      <c r="F164" s="4" t="s">
        <v>742</v>
      </c>
      <c r="G164" s="4" t="s">
        <v>743</v>
      </c>
      <c r="H164" s="5">
        <v>696172</v>
      </c>
      <c r="I164" s="5">
        <v>0</v>
      </c>
      <c r="J164" s="5">
        <v>696172</v>
      </c>
      <c r="K164" s="5">
        <v>0</v>
      </c>
      <c r="L164" s="5">
        <v>0</v>
      </c>
      <c r="M164" s="5">
        <v>0</v>
      </c>
      <c r="N164" s="5">
        <v>0</v>
      </c>
      <c r="O164" s="5">
        <v>696172</v>
      </c>
      <c r="P164" s="5">
        <v>0</v>
      </c>
      <c r="Q164" s="3"/>
      <c r="R164" s="3"/>
      <c r="S164" s="3"/>
      <c r="T164" s="3" t="s">
        <v>41</v>
      </c>
      <c r="U164" s="3" t="s">
        <v>34</v>
      </c>
      <c r="V164" s="3" t="s">
        <v>35</v>
      </c>
      <c r="W164" s="3" t="s">
        <v>413</v>
      </c>
      <c r="X164" s="3"/>
      <c r="Y164" s="5">
        <v>696172</v>
      </c>
      <c r="Z164" s="5">
        <v>1</v>
      </c>
    </row>
    <row r="165" spans="1:26" ht="15.75" customHeight="1" x14ac:dyDescent="0.35">
      <c r="A165" s="2"/>
      <c r="B165" s="3" t="s">
        <v>584</v>
      </c>
      <c r="C165" s="3" t="s">
        <v>71</v>
      </c>
      <c r="D165" s="3" t="s">
        <v>72</v>
      </c>
      <c r="E165" s="3" t="s">
        <v>234</v>
      </c>
      <c r="F165" s="4" t="s">
        <v>744</v>
      </c>
      <c r="G165" s="4" t="s">
        <v>745</v>
      </c>
      <c r="H165" s="5">
        <v>929529</v>
      </c>
      <c r="I165" s="5">
        <v>0</v>
      </c>
      <c r="J165" s="5">
        <v>929529</v>
      </c>
      <c r="K165" s="5">
        <v>0</v>
      </c>
      <c r="L165" s="5">
        <v>0</v>
      </c>
      <c r="M165" s="5">
        <v>0</v>
      </c>
      <c r="N165" s="5">
        <v>0</v>
      </c>
      <c r="O165" s="5">
        <v>929529</v>
      </c>
      <c r="P165" s="5">
        <v>0</v>
      </c>
      <c r="Q165" s="3" t="s">
        <v>237</v>
      </c>
      <c r="R165" s="3" t="s">
        <v>34</v>
      </c>
      <c r="S165" s="3" t="s">
        <v>34</v>
      </c>
      <c r="T165" s="3" t="s">
        <v>48</v>
      </c>
      <c r="U165" s="3" t="s">
        <v>34</v>
      </c>
      <c r="V165" s="3" t="s">
        <v>35</v>
      </c>
      <c r="W165" s="3" t="s">
        <v>746</v>
      </c>
      <c r="X165" s="3" t="s">
        <v>747</v>
      </c>
      <c r="Y165" s="5">
        <v>464764.5</v>
      </c>
      <c r="Z165" s="5">
        <v>2</v>
      </c>
    </row>
    <row r="166" spans="1:26" ht="15.75" customHeight="1" x14ac:dyDescent="0.35">
      <c r="A166" s="2"/>
      <c r="B166" s="3" t="s">
        <v>583</v>
      </c>
      <c r="C166" s="3" t="s">
        <v>64</v>
      </c>
      <c r="D166" s="3" t="s">
        <v>89</v>
      </c>
      <c r="E166" s="3" t="s">
        <v>682</v>
      </c>
      <c r="F166" s="4" t="s">
        <v>748</v>
      </c>
      <c r="G166" s="4" t="s">
        <v>749</v>
      </c>
      <c r="H166" s="5">
        <v>1575000</v>
      </c>
      <c r="I166" s="5">
        <v>0</v>
      </c>
      <c r="J166" s="5">
        <v>1575000</v>
      </c>
      <c r="K166" s="5">
        <v>0</v>
      </c>
      <c r="L166" s="5">
        <v>1575000</v>
      </c>
      <c r="M166" s="5">
        <v>0</v>
      </c>
      <c r="N166" s="5">
        <v>0</v>
      </c>
      <c r="O166" s="5">
        <v>0</v>
      </c>
      <c r="P166" s="5">
        <v>0</v>
      </c>
      <c r="Q166" s="3" t="s">
        <v>685</v>
      </c>
      <c r="R166" s="3" t="s">
        <v>34</v>
      </c>
      <c r="S166" s="3" t="s">
        <v>686</v>
      </c>
      <c r="T166" s="3" t="s">
        <v>41</v>
      </c>
      <c r="U166" s="3" t="s">
        <v>34</v>
      </c>
      <c r="V166" s="3" t="s">
        <v>35</v>
      </c>
      <c r="W166" s="3" t="s">
        <v>750</v>
      </c>
      <c r="X166" s="3"/>
      <c r="Y166" s="5">
        <v>525000</v>
      </c>
      <c r="Z166" s="5">
        <v>3</v>
      </c>
    </row>
    <row r="167" spans="1:26" ht="15.75" customHeight="1" x14ac:dyDescent="0.35">
      <c r="A167" s="2"/>
      <c r="B167" s="3" t="s">
        <v>615</v>
      </c>
      <c r="C167" s="3" t="s">
        <v>64</v>
      </c>
      <c r="D167" s="3" t="s">
        <v>65</v>
      </c>
      <c r="E167" s="3" t="s">
        <v>751</v>
      </c>
      <c r="F167" s="4" t="s">
        <v>752</v>
      </c>
      <c r="G167" s="4" t="s">
        <v>753</v>
      </c>
      <c r="H167" s="5">
        <v>680000</v>
      </c>
      <c r="I167" s="5">
        <v>0</v>
      </c>
      <c r="J167" s="5">
        <v>680000</v>
      </c>
      <c r="K167" s="5">
        <v>0</v>
      </c>
      <c r="L167" s="5">
        <v>680000</v>
      </c>
      <c r="M167" s="5">
        <v>0</v>
      </c>
      <c r="N167" s="5">
        <v>0</v>
      </c>
      <c r="O167" s="5">
        <v>0</v>
      </c>
      <c r="P167" s="5">
        <v>0</v>
      </c>
      <c r="Q167" s="3" t="s">
        <v>34</v>
      </c>
      <c r="R167" s="3" t="s">
        <v>34</v>
      </c>
      <c r="S167" s="3" t="s">
        <v>754</v>
      </c>
      <c r="T167" s="3" t="s">
        <v>41</v>
      </c>
      <c r="U167" s="3" t="s">
        <v>34</v>
      </c>
      <c r="V167" s="3" t="s">
        <v>35</v>
      </c>
      <c r="W167" s="3" t="s">
        <v>755</v>
      </c>
      <c r="X167" s="3"/>
      <c r="Y167" s="5">
        <v>680000</v>
      </c>
      <c r="Z167" s="5">
        <v>1</v>
      </c>
    </row>
    <row r="168" spans="1:26" ht="15.75" customHeight="1" x14ac:dyDescent="0.35">
      <c r="A168" s="2"/>
      <c r="B168" s="3" t="s">
        <v>524</v>
      </c>
      <c r="C168" s="3" t="s">
        <v>71</v>
      </c>
      <c r="D168" s="3" t="s">
        <v>95</v>
      </c>
      <c r="E168" s="3" t="s">
        <v>756</v>
      </c>
      <c r="F168" s="4" t="s">
        <v>757</v>
      </c>
      <c r="G168" s="4" t="s">
        <v>758</v>
      </c>
      <c r="H168" s="5">
        <v>525600</v>
      </c>
      <c r="I168" s="5">
        <v>0</v>
      </c>
      <c r="J168" s="5">
        <v>525600</v>
      </c>
      <c r="K168" s="5">
        <v>0</v>
      </c>
      <c r="L168" s="5">
        <v>0</v>
      </c>
      <c r="M168" s="5">
        <v>0</v>
      </c>
      <c r="N168" s="5">
        <v>0</v>
      </c>
      <c r="O168" s="5">
        <v>525600</v>
      </c>
      <c r="P168" s="5">
        <v>0</v>
      </c>
      <c r="Q168" s="3" t="s">
        <v>34</v>
      </c>
      <c r="R168" s="3" t="s">
        <v>34</v>
      </c>
      <c r="S168" s="3" t="s">
        <v>34</v>
      </c>
      <c r="T168" s="3" t="s">
        <v>48</v>
      </c>
      <c r="U168" s="3" t="s">
        <v>34</v>
      </c>
      <c r="V168" s="3" t="s">
        <v>35</v>
      </c>
      <c r="W168" s="3" t="s">
        <v>759</v>
      </c>
      <c r="X168" s="3" t="s">
        <v>760</v>
      </c>
      <c r="Y168" s="5">
        <v>525600</v>
      </c>
      <c r="Z168" s="5">
        <v>1</v>
      </c>
    </row>
    <row r="169" spans="1:26" ht="15.75" customHeight="1" x14ac:dyDescent="0.35">
      <c r="A169" s="2"/>
      <c r="B169" s="3" t="s">
        <v>761</v>
      </c>
      <c r="C169" s="3" t="s">
        <v>64</v>
      </c>
      <c r="D169" s="3" t="s">
        <v>83</v>
      </c>
      <c r="E169" s="3" t="s">
        <v>762</v>
      </c>
      <c r="F169" s="4" t="s">
        <v>763</v>
      </c>
      <c r="G169" s="4" t="s">
        <v>764</v>
      </c>
      <c r="H169" s="5">
        <v>1098000</v>
      </c>
      <c r="I169" s="5">
        <v>0</v>
      </c>
      <c r="J169" s="5">
        <v>1098000</v>
      </c>
      <c r="K169" s="5">
        <v>0</v>
      </c>
      <c r="L169" s="5">
        <v>498000</v>
      </c>
      <c r="M169" s="5">
        <v>0</v>
      </c>
      <c r="N169" s="5">
        <v>600000</v>
      </c>
      <c r="O169" s="5">
        <v>0</v>
      </c>
      <c r="P169" s="5">
        <v>0</v>
      </c>
      <c r="Q169" s="3" t="s">
        <v>765</v>
      </c>
      <c r="R169" s="3" t="s">
        <v>34</v>
      </c>
      <c r="S169" s="3" t="s">
        <v>34</v>
      </c>
      <c r="T169" s="3" t="s">
        <v>41</v>
      </c>
      <c r="U169" s="3" t="s">
        <v>34</v>
      </c>
      <c r="V169" s="3" t="s">
        <v>35</v>
      </c>
      <c r="W169" s="3" t="s">
        <v>557</v>
      </c>
      <c r="X169" s="3"/>
      <c r="Y169" s="5">
        <v>549000</v>
      </c>
      <c r="Z169" s="5">
        <v>2</v>
      </c>
    </row>
    <row r="170" spans="1:26" ht="15.75" customHeight="1" x14ac:dyDescent="0.35">
      <c r="A170" s="2"/>
      <c r="B170" s="3" t="s">
        <v>652</v>
      </c>
      <c r="C170" s="3" t="s">
        <v>59</v>
      </c>
      <c r="D170" s="3" t="s">
        <v>60</v>
      </c>
      <c r="E170" s="3" t="s">
        <v>766</v>
      </c>
      <c r="F170" s="4" t="s">
        <v>767</v>
      </c>
      <c r="G170" s="4" t="s">
        <v>764</v>
      </c>
      <c r="H170" s="5">
        <v>1000000</v>
      </c>
      <c r="I170" s="5">
        <v>0</v>
      </c>
      <c r="J170" s="5">
        <v>1000000</v>
      </c>
      <c r="K170" s="5">
        <v>0</v>
      </c>
      <c r="L170" s="5">
        <v>1000000</v>
      </c>
      <c r="M170" s="5">
        <v>0</v>
      </c>
      <c r="N170" s="5">
        <v>0</v>
      </c>
      <c r="O170" s="5">
        <v>0</v>
      </c>
      <c r="P170" s="5">
        <v>0</v>
      </c>
      <c r="Q170" s="3" t="s">
        <v>34</v>
      </c>
      <c r="R170" s="3" t="s">
        <v>34</v>
      </c>
      <c r="S170" s="3" t="s">
        <v>768</v>
      </c>
      <c r="T170" s="3" t="s">
        <v>41</v>
      </c>
      <c r="U170" s="3" t="s">
        <v>34</v>
      </c>
      <c r="V170" s="3" t="s">
        <v>35</v>
      </c>
      <c r="W170" s="3" t="s">
        <v>769</v>
      </c>
      <c r="X170" s="3"/>
      <c r="Y170" s="5">
        <v>500000</v>
      </c>
      <c r="Z170" s="5">
        <v>2</v>
      </c>
    </row>
    <row r="171" spans="1:26" ht="15.75" customHeight="1" x14ac:dyDescent="0.35">
      <c r="A171" s="2"/>
      <c r="B171" s="3" t="s">
        <v>770</v>
      </c>
      <c r="C171" s="3" t="s">
        <v>29</v>
      </c>
      <c r="D171" s="3" t="s">
        <v>110</v>
      </c>
      <c r="E171" s="3" t="s">
        <v>771</v>
      </c>
      <c r="F171" s="4" t="s">
        <v>772</v>
      </c>
      <c r="G171" s="4" t="s">
        <v>773</v>
      </c>
      <c r="H171" s="5">
        <v>8537252</v>
      </c>
      <c r="I171" s="5">
        <v>0</v>
      </c>
      <c r="J171" s="5">
        <v>8537252</v>
      </c>
      <c r="K171" s="5">
        <v>0</v>
      </c>
      <c r="L171" s="5">
        <v>0</v>
      </c>
      <c r="M171" s="5">
        <v>0</v>
      </c>
      <c r="N171" s="5">
        <v>0</v>
      </c>
      <c r="O171" s="5">
        <v>8537252</v>
      </c>
      <c r="P171" s="5">
        <v>0</v>
      </c>
      <c r="Q171" s="3" t="s">
        <v>774</v>
      </c>
      <c r="R171" s="3" t="s">
        <v>34</v>
      </c>
      <c r="S171" s="3" t="s">
        <v>34</v>
      </c>
      <c r="T171" s="3" t="s">
        <v>48</v>
      </c>
      <c r="U171" s="3" t="s">
        <v>34</v>
      </c>
      <c r="V171" s="3" t="s">
        <v>35</v>
      </c>
      <c r="W171" s="3" t="s">
        <v>520</v>
      </c>
      <c r="X171" s="3" t="s">
        <v>775</v>
      </c>
      <c r="Y171" s="5">
        <v>776113.81810000003</v>
      </c>
      <c r="Z171" s="5">
        <v>11</v>
      </c>
    </row>
    <row r="172" spans="1:26" ht="15.75" customHeight="1" x14ac:dyDescent="0.35">
      <c r="A172" s="2"/>
      <c r="B172" s="3" t="s">
        <v>640</v>
      </c>
      <c r="C172" s="3" t="s">
        <v>29</v>
      </c>
      <c r="D172" s="3" t="s">
        <v>43</v>
      </c>
      <c r="E172" s="3" t="s">
        <v>776</v>
      </c>
      <c r="F172" s="4" t="s">
        <v>777</v>
      </c>
      <c r="G172" s="4" t="s">
        <v>778</v>
      </c>
      <c r="H172" s="5">
        <v>1700000</v>
      </c>
      <c r="I172" s="5">
        <v>0</v>
      </c>
      <c r="J172" s="5">
        <v>1700000</v>
      </c>
      <c r="K172" s="5">
        <v>0</v>
      </c>
      <c r="L172" s="5">
        <v>0</v>
      </c>
      <c r="M172" s="5">
        <v>0</v>
      </c>
      <c r="N172" s="5">
        <v>1700000</v>
      </c>
      <c r="O172" s="5">
        <v>0</v>
      </c>
      <c r="P172" s="5">
        <v>0</v>
      </c>
      <c r="Q172" s="3" t="s">
        <v>779</v>
      </c>
      <c r="R172" s="3" t="s">
        <v>34</v>
      </c>
      <c r="S172" s="3" t="s">
        <v>34</v>
      </c>
      <c r="T172" s="3" t="s">
        <v>41</v>
      </c>
      <c r="U172" s="3" t="s">
        <v>34</v>
      </c>
      <c r="V172" s="3" t="s">
        <v>35</v>
      </c>
      <c r="W172" s="3" t="s">
        <v>780</v>
      </c>
      <c r="X172" s="3"/>
      <c r="Y172" s="5">
        <v>850000</v>
      </c>
      <c r="Z172" s="5">
        <v>2</v>
      </c>
    </row>
    <row r="173" spans="1:26" ht="15.75" customHeight="1" x14ac:dyDescent="0.35">
      <c r="A173" s="2"/>
      <c r="B173" s="3" t="s">
        <v>781</v>
      </c>
      <c r="C173" s="3" t="s">
        <v>71</v>
      </c>
      <c r="D173" s="3" t="s">
        <v>72</v>
      </c>
      <c r="E173" s="3" t="s">
        <v>782</v>
      </c>
      <c r="F173" s="4" t="s">
        <v>783</v>
      </c>
      <c r="G173" s="4" t="s">
        <v>778</v>
      </c>
      <c r="H173" s="5">
        <v>444960</v>
      </c>
      <c r="I173" s="5">
        <v>0</v>
      </c>
      <c r="J173" s="5">
        <v>444960</v>
      </c>
      <c r="K173" s="5">
        <v>0</v>
      </c>
      <c r="L173" s="5">
        <v>0</v>
      </c>
      <c r="M173" s="5">
        <v>0</v>
      </c>
      <c r="N173" s="5">
        <v>0</v>
      </c>
      <c r="O173" s="5">
        <v>444960</v>
      </c>
      <c r="P173" s="5">
        <v>0</v>
      </c>
      <c r="Q173" s="3" t="s">
        <v>784</v>
      </c>
      <c r="R173" s="3" t="s">
        <v>34</v>
      </c>
      <c r="S173" s="3" t="s">
        <v>785</v>
      </c>
      <c r="T173" s="3" t="s">
        <v>48</v>
      </c>
      <c r="U173" s="3" t="s">
        <v>34</v>
      </c>
      <c r="V173" s="3" t="s">
        <v>35</v>
      </c>
      <c r="W173" s="3" t="s">
        <v>786</v>
      </c>
      <c r="X173" s="3" t="s">
        <v>787</v>
      </c>
      <c r="Y173" s="5">
        <v>444960</v>
      </c>
      <c r="Z173" s="5">
        <v>1</v>
      </c>
    </row>
    <row r="174" spans="1:26" ht="15.75" customHeight="1" x14ac:dyDescent="0.35">
      <c r="A174" s="2"/>
      <c r="B174" s="3" t="s">
        <v>670</v>
      </c>
      <c r="C174" s="3" t="s">
        <v>71</v>
      </c>
      <c r="D174" s="3" t="s">
        <v>95</v>
      </c>
      <c r="E174" s="3" t="s">
        <v>788</v>
      </c>
      <c r="F174" s="4" t="s">
        <v>789</v>
      </c>
      <c r="G174" s="4" t="s">
        <v>778</v>
      </c>
      <c r="H174" s="5">
        <v>629000</v>
      </c>
      <c r="I174" s="5">
        <v>0</v>
      </c>
      <c r="J174" s="5">
        <v>629000</v>
      </c>
      <c r="K174" s="5">
        <v>0</v>
      </c>
      <c r="L174" s="5">
        <v>-61000</v>
      </c>
      <c r="M174" s="5">
        <v>0</v>
      </c>
      <c r="N174" s="5">
        <v>690000</v>
      </c>
      <c r="O174" s="5">
        <v>0</v>
      </c>
      <c r="P174" s="5">
        <v>0</v>
      </c>
      <c r="Q174" s="3" t="s">
        <v>790</v>
      </c>
      <c r="R174" s="3" t="s">
        <v>34</v>
      </c>
      <c r="S174" s="3" t="s">
        <v>791</v>
      </c>
      <c r="T174" s="3" t="s">
        <v>41</v>
      </c>
      <c r="U174" s="3" t="s">
        <v>34</v>
      </c>
      <c r="V174" s="3" t="s">
        <v>35</v>
      </c>
      <c r="W174" s="3" t="s">
        <v>792</v>
      </c>
      <c r="X174" s="3"/>
      <c r="Y174" s="5">
        <v>629000</v>
      </c>
      <c r="Z174" s="5">
        <v>1</v>
      </c>
    </row>
    <row r="175" spans="1:26" ht="15.75" customHeight="1" x14ac:dyDescent="0.35">
      <c r="A175" s="2"/>
      <c r="B175" s="3" t="s">
        <v>793</v>
      </c>
      <c r="C175" s="3" t="s">
        <v>59</v>
      </c>
      <c r="D175" s="3" t="s">
        <v>182</v>
      </c>
      <c r="E175" s="3" t="s">
        <v>794</v>
      </c>
      <c r="F175" s="4" t="s">
        <v>795</v>
      </c>
      <c r="G175" s="4" t="s">
        <v>796</v>
      </c>
      <c r="H175" s="5">
        <v>1662000</v>
      </c>
      <c r="I175" s="5">
        <v>0</v>
      </c>
      <c r="J175" s="5">
        <v>1662000</v>
      </c>
      <c r="K175" s="5">
        <v>0</v>
      </c>
      <c r="L175" s="5">
        <v>0</v>
      </c>
      <c r="M175" s="5">
        <v>0</v>
      </c>
      <c r="N175" s="5">
        <v>0</v>
      </c>
      <c r="O175" s="5">
        <v>1662000</v>
      </c>
      <c r="P175" s="5">
        <v>0</v>
      </c>
      <c r="Q175" s="3" t="s">
        <v>34</v>
      </c>
      <c r="R175" s="3" t="s">
        <v>34</v>
      </c>
      <c r="S175" s="3" t="s">
        <v>797</v>
      </c>
      <c r="T175" s="3" t="s">
        <v>41</v>
      </c>
      <c r="U175" s="3" t="s">
        <v>34</v>
      </c>
      <c r="V175" s="3" t="s">
        <v>35</v>
      </c>
      <c r="W175" s="3" t="s">
        <v>798</v>
      </c>
      <c r="X175" s="3"/>
      <c r="Y175" s="5">
        <v>554000</v>
      </c>
      <c r="Z175" s="5">
        <v>3</v>
      </c>
    </row>
    <row r="176" spans="1:26" ht="15.75" customHeight="1" x14ac:dyDescent="0.35">
      <c r="A176" s="2"/>
      <c r="B176" s="3" t="s">
        <v>394</v>
      </c>
      <c r="C176" s="3" t="s">
        <v>64</v>
      </c>
      <c r="D176" s="3" t="s">
        <v>65</v>
      </c>
      <c r="E176" s="3" t="s">
        <v>799</v>
      </c>
      <c r="F176" s="4" t="s">
        <v>800</v>
      </c>
      <c r="G176" s="4" t="s">
        <v>801</v>
      </c>
      <c r="H176" s="5">
        <v>549000</v>
      </c>
      <c r="I176" s="5">
        <v>0</v>
      </c>
      <c r="J176" s="5">
        <v>494100</v>
      </c>
      <c r="K176" s="5">
        <v>0</v>
      </c>
      <c r="L176" s="5">
        <v>0</v>
      </c>
      <c r="M176" s="5">
        <v>0</v>
      </c>
      <c r="N176" s="5">
        <v>494100</v>
      </c>
      <c r="O176" s="5">
        <v>0</v>
      </c>
      <c r="P176" s="5">
        <v>0</v>
      </c>
      <c r="Q176" s="3" t="s">
        <v>802</v>
      </c>
      <c r="R176" s="3" t="s">
        <v>803</v>
      </c>
      <c r="S176" s="3" t="s">
        <v>804</v>
      </c>
      <c r="T176" s="3" t="s">
        <v>41</v>
      </c>
      <c r="U176" s="3" t="s">
        <v>34</v>
      </c>
      <c r="V176" s="3" t="s">
        <v>35</v>
      </c>
      <c r="W176" s="3" t="s">
        <v>173</v>
      </c>
      <c r="X176" s="3" t="s">
        <v>805</v>
      </c>
      <c r="Y176" s="5">
        <v>549000</v>
      </c>
      <c r="Z176" s="5">
        <v>1</v>
      </c>
    </row>
    <row r="177" spans="1:26" ht="15.75" customHeight="1" x14ac:dyDescent="0.35">
      <c r="A177" s="2"/>
      <c r="B177" s="3" t="s">
        <v>394</v>
      </c>
      <c r="C177" s="3" t="s">
        <v>64</v>
      </c>
      <c r="D177" s="3" t="s">
        <v>83</v>
      </c>
      <c r="E177" s="3" t="s">
        <v>806</v>
      </c>
      <c r="F177" s="4" t="s">
        <v>800</v>
      </c>
      <c r="G177" s="4" t="s">
        <v>801</v>
      </c>
      <c r="H177" s="5">
        <v>549000</v>
      </c>
      <c r="I177" s="5">
        <v>0</v>
      </c>
      <c r="J177" s="5">
        <v>494100</v>
      </c>
      <c r="K177" s="5">
        <v>0</v>
      </c>
      <c r="L177" s="5">
        <v>488200</v>
      </c>
      <c r="M177" s="5">
        <v>0</v>
      </c>
      <c r="N177" s="5">
        <v>5900</v>
      </c>
      <c r="O177" s="5">
        <v>0</v>
      </c>
      <c r="P177" s="5">
        <v>0</v>
      </c>
      <c r="Q177" s="3" t="s">
        <v>34</v>
      </c>
      <c r="R177" s="3" t="s">
        <v>34</v>
      </c>
      <c r="S177" s="3" t="s">
        <v>807</v>
      </c>
      <c r="T177" s="3" t="s">
        <v>41</v>
      </c>
      <c r="U177" s="3" t="s">
        <v>34</v>
      </c>
      <c r="V177" s="3" t="s">
        <v>35</v>
      </c>
      <c r="W177" s="3" t="s">
        <v>193</v>
      </c>
      <c r="X177" s="3" t="s">
        <v>805</v>
      </c>
      <c r="Y177" s="5">
        <v>549000</v>
      </c>
      <c r="Z177" s="5">
        <v>1</v>
      </c>
    </row>
    <row r="178" spans="1:26" ht="15.75" customHeight="1" x14ac:dyDescent="0.35">
      <c r="A178" s="2"/>
      <c r="B178" s="3" t="s">
        <v>708</v>
      </c>
      <c r="C178" s="3" t="s">
        <v>71</v>
      </c>
      <c r="D178" s="3" t="s">
        <v>95</v>
      </c>
      <c r="E178" s="3" t="s">
        <v>808</v>
      </c>
      <c r="F178" s="4" t="s">
        <v>809</v>
      </c>
      <c r="G178" s="4" t="s">
        <v>810</v>
      </c>
      <c r="H178" s="5">
        <v>585000</v>
      </c>
      <c r="I178" s="5">
        <v>0</v>
      </c>
      <c r="J178" s="5">
        <v>585000</v>
      </c>
      <c r="K178" s="5">
        <v>0</v>
      </c>
      <c r="L178" s="5">
        <v>0</v>
      </c>
      <c r="M178" s="5">
        <v>0</v>
      </c>
      <c r="N178" s="5">
        <v>585000</v>
      </c>
      <c r="O178" s="5">
        <v>0</v>
      </c>
      <c r="P178" s="5">
        <v>0</v>
      </c>
      <c r="Q178" s="3" t="s">
        <v>34</v>
      </c>
      <c r="R178" s="3" t="s">
        <v>34</v>
      </c>
      <c r="S178" s="3" t="s">
        <v>34</v>
      </c>
      <c r="T178" s="3" t="s">
        <v>41</v>
      </c>
      <c r="U178" s="3" t="s">
        <v>34</v>
      </c>
      <c r="V178" s="3" t="s">
        <v>35</v>
      </c>
      <c r="W178" s="3" t="s">
        <v>811</v>
      </c>
      <c r="X178" s="3"/>
      <c r="Y178" s="5">
        <v>585000</v>
      </c>
      <c r="Z178" s="5">
        <v>1</v>
      </c>
    </row>
    <row r="179" spans="1:26" ht="15.75" customHeight="1" x14ac:dyDescent="0.35">
      <c r="A179" s="2"/>
      <c r="B179" s="3" t="s">
        <v>739</v>
      </c>
      <c r="C179" s="3" t="s">
        <v>59</v>
      </c>
      <c r="D179" s="3" t="s">
        <v>60</v>
      </c>
      <c r="E179" s="3" t="s">
        <v>812</v>
      </c>
      <c r="F179" s="4" t="s">
        <v>813</v>
      </c>
      <c r="G179" s="4" t="s">
        <v>814</v>
      </c>
      <c r="H179" s="5">
        <v>1000000</v>
      </c>
      <c r="I179" s="5">
        <v>0</v>
      </c>
      <c r="J179" s="5">
        <v>1000000</v>
      </c>
      <c r="K179" s="5">
        <v>0</v>
      </c>
      <c r="L179" s="5">
        <v>1000000</v>
      </c>
      <c r="M179" s="5">
        <v>0</v>
      </c>
      <c r="N179" s="5">
        <v>0</v>
      </c>
      <c r="O179" s="5">
        <v>0</v>
      </c>
      <c r="P179" s="5">
        <v>0</v>
      </c>
      <c r="Q179" s="3"/>
      <c r="R179" s="3"/>
      <c r="S179" s="3"/>
      <c r="T179" s="3" t="s">
        <v>41</v>
      </c>
      <c r="U179" s="3" t="s">
        <v>34</v>
      </c>
      <c r="V179" s="3" t="s">
        <v>35</v>
      </c>
      <c r="W179" s="3" t="s">
        <v>815</v>
      </c>
      <c r="X179" s="3"/>
      <c r="Y179" s="5">
        <v>500000</v>
      </c>
      <c r="Z179" s="5">
        <v>2</v>
      </c>
    </row>
    <row r="180" spans="1:26" ht="15.75" customHeight="1" x14ac:dyDescent="0.35">
      <c r="A180" s="2"/>
      <c r="B180" s="3" t="s">
        <v>739</v>
      </c>
      <c r="C180" s="3" t="s">
        <v>29</v>
      </c>
      <c r="D180" s="3" t="s">
        <v>37</v>
      </c>
      <c r="E180" s="3" t="s">
        <v>226</v>
      </c>
      <c r="F180" s="4" t="s">
        <v>813</v>
      </c>
      <c r="G180" s="4" t="s">
        <v>814</v>
      </c>
      <c r="H180" s="5">
        <v>1500000</v>
      </c>
      <c r="I180" s="5">
        <v>0</v>
      </c>
      <c r="J180" s="5">
        <v>1500000</v>
      </c>
      <c r="K180" s="5">
        <v>0</v>
      </c>
      <c r="L180" s="5">
        <v>1500000</v>
      </c>
      <c r="M180" s="5">
        <v>0</v>
      </c>
      <c r="N180" s="5">
        <v>0</v>
      </c>
      <c r="O180" s="5">
        <v>0</v>
      </c>
      <c r="P180" s="5">
        <v>0</v>
      </c>
      <c r="Q180" s="3"/>
      <c r="R180" s="3"/>
      <c r="S180" s="3"/>
      <c r="T180" s="3" t="s">
        <v>41</v>
      </c>
      <c r="U180" s="3" t="s">
        <v>34</v>
      </c>
      <c r="V180" s="3" t="s">
        <v>35</v>
      </c>
      <c r="W180" s="3" t="s">
        <v>816</v>
      </c>
      <c r="X180" s="3"/>
      <c r="Y180" s="5">
        <v>750000</v>
      </c>
      <c r="Z180" s="5">
        <v>2</v>
      </c>
    </row>
    <row r="181" spans="1:26" ht="15.75" customHeight="1" x14ac:dyDescent="0.35">
      <c r="A181" s="2"/>
      <c r="B181" s="3" t="s">
        <v>732</v>
      </c>
      <c r="C181" s="3" t="s">
        <v>59</v>
      </c>
      <c r="D181" s="3" t="s">
        <v>182</v>
      </c>
      <c r="E181" s="3" t="s">
        <v>817</v>
      </c>
      <c r="F181" s="4" t="s">
        <v>818</v>
      </c>
      <c r="G181" s="4" t="s">
        <v>814</v>
      </c>
      <c r="H181" s="5">
        <v>500000</v>
      </c>
      <c r="I181" s="5">
        <v>0</v>
      </c>
      <c r="J181" s="5">
        <v>500000</v>
      </c>
      <c r="K181" s="5">
        <v>0</v>
      </c>
      <c r="L181" s="5">
        <v>500000</v>
      </c>
      <c r="M181" s="5">
        <v>0</v>
      </c>
      <c r="N181" s="5">
        <v>0</v>
      </c>
      <c r="O181" s="5">
        <v>0</v>
      </c>
      <c r="P181" s="5">
        <v>0</v>
      </c>
      <c r="Q181" s="3" t="s">
        <v>34</v>
      </c>
      <c r="R181" s="3" t="s">
        <v>34</v>
      </c>
      <c r="S181" s="3" t="s">
        <v>34</v>
      </c>
      <c r="T181" s="3" t="s">
        <v>41</v>
      </c>
      <c r="U181" s="3" t="s">
        <v>34</v>
      </c>
      <c r="V181" s="3" t="s">
        <v>35</v>
      </c>
      <c r="W181" s="3" t="s">
        <v>819</v>
      </c>
      <c r="X181" s="3"/>
      <c r="Y181" s="5">
        <v>500000</v>
      </c>
      <c r="Z181" s="5">
        <v>1</v>
      </c>
    </row>
    <row r="182" spans="1:26" ht="15.75" customHeight="1" x14ac:dyDescent="0.35">
      <c r="A182" s="2"/>
      <c r="B182" s="3" t="s">
        <v>820</v>
      </c>
      <c r="C182" s="3" t="s">
        <v>59</v>
      </c>
      <c r="D182" s="3" t="s">
        <v>182</v>
      </c>
      <c r="E182" s="3" t="s">
        <v>821</v>
      </c>
      <c r="F182" s="4" t="s">
        <v>822</v>
      </c>
      <c r="G182" s="4" t="s">
        <v>823</v>
      </c>
      <c r="H182" s="5">
        <v>400000</v>
      </c>
      <c r="I182" s="5">
        <v>0</v>
      </c>
      <c r="J182" s="5">
        <v>400000</v>
      </c>
      <c r="K182" s="5">
        <v>0</v>
      </c>
      <c r="L182" s="5">
        <v>400000</v>
      </c>
      <c r="M182" s="5">
        <v>0</v>
      </c>
      <c r="N182" s="5">
        <v>0</v>
      </c>
      <c r="O182" s="5">
        <v>0</v>
      </c>
      <c r="P182" s="5">
        <v>0</v>
      </c>
      <c r="Q182" s="3"/>
      <c r="R182" s="3"/>
      <c r="S182" s="3"/>
      <c r="T182" s="3" t="s">
        <v>41</v>
      </c>
      <c r="U182" s="3" t="s">
        <v>34</v>
      </c>
      <c r="V182" s="3" t="s">
        <v>35</v>
      </c>
      <c r="W182" s="3" t="s">
        <v>824</v>
      </c>
      <c r="X182" s="3"/>
      <c r="Y182" s="5">
        <v>400000</v>
      </c>
      <c r="Z182" s="5">
        <v>1</v>
      </c>
    </row>
    <row r="183" spans="1:26" ht="15.75" customHeight="1" x14ac:dyDescent="0.35">
      <c r="A183" s="2"/>
      <c r="B183" s="3" t="s">
        <v>635</v>
      </c>
      <c r="C183" s="3" t="s">
        <v>59</v>
      </c>
      <c r="D183" s="3" t="s">
        <v>193</v>
      </c>
      <c r="E183" s="3" t="s">
        <v>825</v>
      </c>
      <c r="F183" s="4" t="s">
        <v>826</v>
      </c>
      <c r="G183" s="4" t="s">
        <v>827</v>
      </c>
      <c r="H183" s="5">
        <v>1150000</v>
      </c>
      <c r="I183" s="5">
        <v>0</v>
      </c>
      <c r="J183" s="5">
        <v>1150000</v>
      </c>
      <c r="K183" s="5">
        <v>0</v>
      </c>
      <c r="L183" s="5">
        <v>650000</v>
      </c>
      <c r="M183" s="5">
        <v>0</v>
      </c>
      <c r="N183" s="5">
        <v>500000</v>
      </c>
      <c r="O183" s="5">
        <v>0</v>
      </c>
      <c r="P183" s="5">
        <v>0</v>
      </c>
      <c r="Q183" s="3" t="s">
        <v>828</v>
      </c>
      <c r="R183" s="3" t="s">
        <v>34</v>
      </c>
      <c r="S183" s="3" t="s">
        <v>829</v>
      </c>
      <c r="T183" s="3" t="s">
        <v>41</v>
      </c>
      <c r="U183" s="3" t="s">
        <v>34</v>
      </c>
      <c r="V183" s="3" t="s">
        <v>35</v>
      </c>
      <c r="W183" s="3" t="s">
        <v>182</v>
      </c>
      <c r="X183" s="3"/>
      <c r="Y183" s="5">
        <v>575000</v>
      </c>
      <c r="Z183" s="5">
        <v>2</v>
      </c>
    </row>
    <row r="184" spans="1:26" ht="15.75" customHeight="1" x14ac:dyDescent="0.35">
      <c r="A184" s="2"/>
      <c r="B184" s="3" t="s">
        <v>830</v>
      </c>
      <c r="C184" s="3" t="s">
        <v>59</v>
      </c>
      <c r="D184" s="3" t="s">
        <v>122</v>
      </c>
      <c r="E184" s="3" t="s">
        <v>831</v>
      </c>
      <c r="F184" s="4" t="s">
        <v>832</v>
      </c>
      <c r="G184" s="4" t="s">
        <v>833</v>
      </c>
      <c r="H184" s="5">
        <v>2183760</v>
      </c>
      <c r="I184" s="5">
        <v>0</v>
      </c>
      <c r="J184" s="5">
        <v>2183760</v>
      </c>
      <c r="K184" s="5">
        <v>0</v>
      </c>
      <c r="L184" s="5">
        <v>0</v>
      </c>
      <c r="M184" s="5">
        <v>0</v>
      </c>
      <c r="N184" s="5">
        <v>0</v>
      </c>
      <c r="O184" s="5">
        <v>2183760</v>
      </c>
      <c r="P184" s="5">
        <v>0</v>
      </c>
      <c r="Q184" s="3" t="s">
        <v>34</v>
      </c>
      <c r="R184" s="3" t="s">
        <v>34</v>
      </c>
      <c r="S184" s="3" t="s">
        <v>34</v>
      </c>
      <c r="T184" s="3" t="s">
        <v>48</v>
      </c>
      <c r="U184" s="3" t="s">
        <v>34</v>
      </c>
      <c r="V184" s="3" t="s">
        <v>35</v>
      </c>
      <c r="W184" s="3" t="s">
        <v>657</v>
      </c>
      <c r="X184" s="3" t="s">
        <v>834</v>
      </c>
      <c r="Y184" s="5">
        <v>545940</v>
      </c>
      <c r="Z184" s="5">
        <v>4</v>
      </c>
    </row>
    <row r="185" spans="1:26" ht="15.75" customHeight="1" x14ac:dyDescent="0.35">
      <c r="A185" s="2"/>
      <c r="B185" s="3" t="s">
        <v>687</v>
      </c>
      <c r="C185" s="3" t="s">
        <v>64</v>
      </c>
      <c r="D185" s="3" t="s">
        <v>83</v>
      </c>
      <c r="E185" s="3" t="s">
        <v>835</v>
      </c>
      <c r="F185" s="4" t="s">
        <v>836</v>
      </c>
      <c r="G185" s="4" t="s">
        <v>837</v>
      </c>
      <c r="H185" s="5">
        <v>1098000</v>
      </c>
      <c r="I185" s="5">
        <v>0</v>
      </c>
      <c r="J185" s="5">
        <v>988200</v>
      </c>
      <c r="K185" s="5">
        <v>0</v>
      </c>
      <c r="L185" s="5">
        <v>488200</v>
      </c>
      <c r="M185" s="5">
        <v>0</v>
      </c>
      <c r="N185" s="5">
        <v>500000</v>
      </c>
      <c r="O185" s="5">
        <v>0</v>
      </c>
      <c r="P185" s="5">
        <v>0</v>
      </c>
      <c r="Q185" s="3" t="s">
        <v>838</v>
      </c>
      <c r="R185" s="3" t="s">
        <v>839</v>
      </c>
      <c r="S185" s="3" t="s">
        <v>840</v>
      </c>
      <c r="T185" s="3" t="s">
        <v>41</v>
      </c>
      <c r="U185" s="3" t="s">
        <v>34</v>
      </c>
      <c r="V185" s="3" t="s">
        <v>35</v>
      </c>
      <c r="W185" s="3" t="s">
        <v>841</v>
      </c>
      <c r="X185" s="3" t="s">
        <v>842</v>
      </c>
      <c r="Y185" s="5">
        <v>549000</v>
      </c>
      <c r="Z185" s="5">
        <v>2</v>
      </c>
    </row>
    <row r="186" spans="1:26" ht="15.75" customHeight="1" x14ac:dyDescent="0.35">
      <c r="A186" s="2"/>
      <c r="B186" s="3" t="s">
        <v>843</v>
      </c>
      <c r="C186" s="3" t="s">
        <v>64</v>
      </c>
      <c r="D186" s="3" t="s">
        <v>99</v>
      </c>
      <c r="E186" s="3" t="s">
        <v>844</v>
      </c>
      <c r="F186" s="4" t="s">
        <v>845</v>
      </c>
      <c r="G186" s="4" t="s">
        <v>846</v>
      </c>
      <c r="H186" s="5">
        <v>2470000</v>
      </c>
      <c r="I186" s="5">
        <v>0</v>
      </c>
      <c r="J186" s="5">
        <v>2470000</v>
      </c>
      <c r="K186" s="5">
        <v>0</v>
      </c>
      <c r="L186" s="5">
        <v>0</v>
      </c>
      <c r="M186" s="5">
        <v>0</v>
      </c>
      <c r="N186" s="5">
        <v>2470000</v>
      </c>
      <c r="O186" s="5">
        <v>0</v>
      </c>
      <c r="P186" s="5">
        <v>0</v>
      </c>
      <c r="Q186" s="3" t="s">
        <v>847</v>
      </c>
      <c r="R186" s="3" t="s">
        <v>34</v>
      </c>
      <c r="S186" s="3" t="s">
        <v>34</v>
      </c>
      <c r="T186" s="3" t="s">
        <v>41</v>
      </c>
      <c r="U186" s="3" t="s">
        <v>34</v>
      </c>
      <c r="V186" s="3" t="s">
        <v>35</v>
      </c>
      <c r="W186" s="3" t="s">
        <v>848</v>
      </c>
      <c r="X186" s="3"/>
      <c r="Y186" s="5">
        <v>494000</v>
      </c>
      <c r="Z186" s="5">
        <v>5</v>
      </c>
    </row>
    <row r="187" spans="1:26" ht="15.75" customHeight="1" x14ac:dyDescent="0.35">
      <c r="A187" s="2"/>
      <c r="B187" s="3" t="s">
        <v>849</v>
      </c>
      <c r="C187" s="3" t="s">
        <v>59</v>
      </c>
      <c r="D187" s="3" t="s">
        <v>60</v>
      </c>
      <c r="E187" s="3" t="s">
        <v>850</v>
      </c>
      <c r="F187" s="4" t="s">
        <v>851</v>
      </c>
      <c r="G187" s="4" t="s">
        <v>852</v>
      </c>
      <c r="H187" s="5">
        <v>1100000</v>
      </c>
      <c r="I187" s="5">
        <v>0</v>
      </c>
      <c r="J187" s="5">
        <v>1100000</v>
      </c>
      <c r="K187" s="5">
        <v>0</v>
      </c>
      <c r="L187" s="5">
        <v>0</v>
      </c>
      <c r="M187" s="5">
        <v>0</v>
      </c>
      <c r="N187" s="5">
        <v>1100000</v>
      </c>
      <c r="O187" s="5">
        <v>0</v>
      </c>
      <c r="P187" s="5">
        <v>0</v>
      </c>
      <c r="Q187" s="3" t="s">
        <v>853</v>
      </c>
      <c r="R187" s="3" t="s">
        <v>34</v>
      </c>
      <c r="S187" s="3" t="s">
        <v>854</v>
      </c>
      <c r="T187" s="3" t="s">
        <v>41</v>
      </c>
      <c r="U187" s="3" t="s">
        <v>34</v>
      </c>
      <c r="V187" s="3" t="s">
        <v>35</v>
      </c>
      <c r="W187" s="3" t="s">
        <v>855</v>
      </c>
      <c r="X187" s="3"/>
      <c r="Y187" s="5">
        <v>550000</v>
      </c>
      <c r="Z187" s="5">
        <v>2</v>
      </c>
    </row>
    <row r="188" spans="1:26" ht="15.75" customHeight="1" x14ac:dyDescent="0.35">
      <c r="A188" s="2"/>
      <c r="B188" s="3" t="s">
        <v>182</v>
      </c>
      <c r="C188" s="3" t="s">
        <v>59</v>
      </c>
      <c r="D188" s="3" t="s">
        <v>122</v>
      </c>
      <c r="E188" s="3" t="s">
        <v>856</v>
      </c>
      <c r="F188" s="4" t="s">
        <v>857</v>
      </c>
      <c r="G188" s="4" t="s">
        <v>858</v>
      </c>
      <c r="H188" s="5">
        <v>500000</v>
      </c>
      <c r="I188" s="5">
        <v>0</v>
      </c>
      <c r="J188" s="5">
        <v>500000</v>
      </c>
      <c r="K188" s="5">
        <v>0</v>
      </c>
      <c r="L188" s="5">
        <v>500000</v>
      </c>
      <c r="M188" s="5">
        <v>0</v>
      </c>
      <c r="N188" s="5">
        <v>0</v>
      </c>
      <c r="O188" s="5">
        <v>0</v>
      </c>
      <c r="P188" s="5">
        <v>0</v>
      </c>
      <c r="Q188" s="3" t="s">
        <v>34</v>
      </c>
      <c r="R188" s="3" t="s">
        <v>34</v>
      </c>
      <c r="S188" s="3" t="s">
        <v>859</v>
      </c>
      <c r="T188" s="3" t="s">
        <v>34</v>
      </c>
      <c r="U188" s="3" t="s">
        <v>34</v>
      </c>
      <c r="V188" s="3" t="s">
        <v>35</v>
      </c>
      <c r="W188" s="3" t="s">
        <v>860</v>
      </c>
      <c r="X188" s="3"/>
      <c r="Y188" s="5">
        <v>500000</v>
      </c>
      <c r="Z188" s="5">
        <v>1</v>
      </c>
    </row>
    <row r="189" spans="1:26" ht="15.75" customHeight="1" x14ac:dyDescent="0.35">
      <c r="A189" s="2"/>
      <c r="B189" s="3" t="s">
        <v>663</v>
      </c>
      <c r="C189" s="3" t="s">
        <v>64</v>
      </c>
      <c r="D189" s="3" t="s">
        <v>76</v>
      </c>
      <c r="E189" s="3" t="s">
        <v>861</v>
      </c>
      <c r="F189" s="4" t="s">
        <v>862</v>
      </c>
      <c r="G189" s="4" t="s">
        <v>863</v>
      </c>
      <c r="H189" s="5">
        <v>3094000</v>
      </c>
      <c r="I189" s="5">
        <v>0</v>
      </c>
      <c r="J189" s="5">
        <v>3094000</v>
      </c>
      <c r="K189" s="5">
        <v>0</v>
      </c>
      <c r="L189" s="5">
        <v>0</v>
      </c>
      <c r="M189" s="5">
        <v>0</v>
      </c>
      <c r="N189" s="5">
        <v>0</v>
      </c>
      <c r="O189" s="5">
        <v>3094000</v>
      </c>
      <c r="P189" s="5">
        <v>0</v>
      </c>
      <c r="Q189" s="3" t="s">
        <v>864</v>
      </c>
      <c r="R189" s="3" t="s">
        <v>34</v>
      </c>
      <c r="S189" s="3" t="s">
        <v>865</v>
      </c>
      <c r="T189" s="3" t="s">
        <v>48</v>
      </c>
      <c r="U189" s="3" t="s">
        <v>34</v>
      </c>
      <c r="V189" s="3" t="s">
        <v>35</v>
      </c>
      <c r="W189" s="3" t="s">
        <v>793</v>
      </c>
      <c r="X189" s="3" t="s">
        <v>866</v>
      </c>
      <c r="Y189" s="5">
        <v>442000</v>
      </c>
      <c r="Z189" s="5">
        <v>7</v>
      </c>
    </row>
    <row r="190" spans="1:26" ht="15.75" customHeight="1" x14ac:dyDescent="0.35">
      <c r="A190" s="2"/>
      <c r="B190" s="3" t="s">
        <v>99</v>
      </c>
      <c r="C190" s="3" t="s">
        <v>71</v>
      </c>
      <c r="D190" s="3" t="s">
        <v>72</v>
      </c>
      <c r="E190" s="3" t="s">
        <v>867</v>
      </c>
      <c r="F190" s="4" t="s">
        <v>868</v>
      </c>
      <c r="G190" s="4" t="s">
        <v>869</v>
      </c>
      <c r="H190" s="5">
        <v>543600</v>
      </c>
      <c r="I190" s="5">
        <v>0</v>
      </c>
      <c r="J190" s="5">
        <v>543600</v>
      </c>
      <c r="K190" s="5">
        <v>0</v>
      </c>
      <c r="L190" s="5">
        <v>0</v>
      </c>
      <c r="M190" s="5">
        <v>0</v>
      </c>
      <c r="N190" s="5">
        <v>0</v>
      </c>
      <c r="O190" s="5">
        <v>543600</v>
      </c>
      <c r="P190" s="5">
        <v>0</v>
      </c>
      <c r="Q190" s="3" t="s">
        <v>870</v>
      </c>
      <c r="R190" s="3" t="s">
        <v>871</v>
      </c>
      <c r="S190" s="3" t="s">
        <v>872</v>
      </c>
      <c r="T190" s="3" t="s">
        <v>48</v>
      </c>
      <c r="U190" s="3" t="s">
        <v>34</v>
      </c>
      <c r="V190" s="3" t="s">
        <v>35</v>
      </c>
      <c r="W190" s="3" t="s">
        <v>873</v>
      </c>
      <c r="X190" s="3" t="s">
        <v>874</v>
      </c>
      <c r="Y190" s="5">
        <v>543600</v>
      </c>
      <c r="Z190" s="5">
        <v>1</v>
      </c>
    </row>
    <row r="191" spans="1:26" ht="15.75" customHeight="1" x14ac:dyDescent="0.35">
      <c r="A191" s="2"/>
      <c r="B191" s="3" t="s">
        <v>875</v>
      </c>
      <c r="C191" s="3" t="s">
        <v>64</v>
      </c>
      <c r="D191" s="3" t="s">
        <v>83</v>
      </c>
      <c r="E191" s="3" t="s">
        <v>876</v>
      </c>
      <c r="F191" s="4" t="s">
        <v>877</v>
      </c>
      <c r="G191" s="4" t="s">
        <v>878</v>
      </c>
      <c r="H191" s="5">
        <v>927484</v>
      </c>
      <c r="I191" s="5">
        <v>0</v>
      </c>
      <c r="J191" s="5">
        <v>927484</v>
      </c>
      <c r="K191" s="5">
        <v>0</v>
      </c>
      <c r="L191" s="5">
        <v>0</v>
      </c>
      <c r="M191" s="5">
        <v>0</v>
      </c>
      <c r="N191" s="5">
        <v>0</v>
      </c>
      <c r="O191" s="5">
        <v>927484</v>
      </c>
      <c r="P191" s="5">
        <v>0</v>
      </c>
      <c r="Q191" s="3" t="s">
        <v>879</v>
      </c>
      <c r="R191" s="3" t="s">
        <v>34</v>
      </c>
      <c r="S191" s="3" t="s">
        <v>34</v>
      </c>
      <c r="T191" s="3" t="s">
        <v>48</v>
      </c>
      <c r="U191" s="3" t="s">
        <v>34</v>
      </c>
      <c r="V191" s="3" t="s">
        <v>35</v>
      </c>
      <c r="W191" s="3" t="s">
        <v>880</v>
      </c>
      <c r="X191" s="3" t="s">
        <v>881</v>
      </c>
      <c r="Y191" s="5">
        <v>463742</v>
      </c>
      <c r="Z191" s="5">
        <v>2</v>
      </c>
    </row>
    <row r="192" spans="1:26" ht="15.75" customHeight="1" x14ac:dyDescent="0.35">
      <c r="A192" s="2"/>
      <c r="B192" s="3" t="s">
        <v>676</v>
      </c>
      <c r="C192" s="3" t="s">
        <v>71</v>
      </c>
      <c r="D192" s="3" t="s">
        <v>95</v>
      </c>
      <c r="E192" s="3" t="s">
        <v>882</v>
      </c>
      <c r="F192" s="4" t="s">
        <v>868</v>
      </c>
      <c r="G192" s="4" t="s">
        <v>883</v>
      </c>
      <c r="H192" s="5">
        <v>500000</v>
      </c>
      <c r="I192" s="5">
        <v>0</v>
      </c>
      <c r="J192" s="5">
        <v>500000</v>
      </c>
      <c r="K192" s="5">
        <v>0</v>
      </c>
      <c r="L192" s="5">
        <v>0</v>
      </c>
      <c r="M192" s="5">
        <v>0</v>
      </c>
      <c r="N192" s="5">
        <v>500000</v>
      </c>
      <c r="O192" s="5">
        <v>0</v>
      </c>
      <c r="P192" s="5">
        <v>0</v>
      </c>
      <c r="Q192" s="3" t="s">
        <v>884</v>
      </c>
      <c r="R192" s="3" t="s">
        <v>34</v>
      </c>
      <c r="S192" s="3" t="s">
        <v>34</v>
      </c>
      <c r="T192" s="3" t="s">
        <v>41</v>
      </c>
      <c r="U192" s="3" t="s">
        <v>34</v>
      </c>
      <c r="V192" s="3" t="s">
        <v>35</v>
      </c>
      <c r="W192" s="3" t="s">
        <v>885</v>
      </c>
      <c r="X192" s="3"/>
      <c r="Y192" s="5">
        <v>500000</v>
      </c>
      <c r="Z192" s="5">
        <v>1</v>
      </c>
    </row>
    <row r="193" spans="1:26" ht="15.75" customHeight="1" x14ac:dyDescent="0.35">
      <c r="A193" s="2"/>
      <c r="B193" s="3" t="s">
        <v>886</v>
      </c>
      <c r="C193" s="3" t="s">
        <v>29</v>
      </c>
      <c r="D193" s="3" t="s">
        <v>506</v>
      </c>
      <c r="E193" s="3" t="s">
        <v>887</v>
      </c>
      <c r="F193" s="4" t="s">
        <v>888</v>
      </c>
      <c r="G193" s="4" t="s">
        <v>889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3"/>
      <c r="R193" s="3"/>
      <c r="S193" s="3"/>
      <c r="T193" s="3" t="s">
        <v>34</v>
      </c>
      <c r="U193" s="3" t="s">
        <v>34</v>
      </c>
      <c r="V193" s="3" t="s">
        <v>35</v>
      </c>
      <c r="W193" s="3" t="s">
        <v>890</v>
      </c>
      <c r="X193" s="3"/>
      <c r="Y193" s="5">
        <v>0</v>
      </c>
      <c r="Z193" s="5">
        <v>3</v>
      </c>
    </row>
    <row r="194" spans="1:26" ht="15.75" customHeight="1" x14ac:dyDescent="0.35">
      <c r="A194" s="2"/>
      <c r="B194" s="3" t="s">
        <v>713</v>
      </c>
      <c r="C194" s="3" t="s">
        <v>64</v>
      </c>
      <c r="D194" s="3" t="s">
        <v>99</v>
      </c>
      <c r="E194" s="3" t="s">
        <v>891</v>
      </c>
      <c r="F194" s="4" t="s">
        <v>892</v>
      </c>
      <c r="G194" s="4" t="s">
        <v>893</v>
      </c>
      <c r="H194" s="5">
        <v>495000</v>
      </c>
      <c r="I194" s="5">
        <v>150000</v>
      </c>
      <c r="J194" s="5">
        <v>645000</v>
      </c>
      <c r="K194" s="5">
        <v>0</v>
      </c>
      <c r="L194" s="5">
        <v>150000</v>
      </c>
      <c r="M194" s="5">
        <v>0</v>
      </c>
      <c r="N194" s="5">
        <v>495000</v>
      </c>
      <c r="O194" s="5">
        <v>0</v>
      </c>
      <c r="P194" s="5">
        <v>0</v>
      </c>
      <c r="Q194" s="3" t="s">
        <v>894</v>
      </c>
      <c r="R194" s="3" t="s">
        <v>34</v>
      </c>
      <c r="S194" s="3" t="s">
        <v>895</v>
      </c>
      <c r="T194" s="3" t="s">
        <v>41</v>
      </c>
      <c r="U194" s="3" t="s">
        <v>34</v>
      </c>
      <c r="V194" s="3" t="s">
        <v>35</v>
      </c>
      <c r="W194" s="3" t="s">
        <v>896</v>
      </c>
      <c r="X194" s="3"/>
      <c r="Y194" s="5">
        <v>495000</v>
      </c>
      <c r="Z194" s="5">
        <v>1</v>
      </c>
    </row>
    <row r="195" spans="1:26" ht="15.75" customHeight="1" x14ac:dyDescent="0.35">
      <c r="A195" s="2"/>
      <c r="B195" s="3" t="s">
        <v>713</v>
      </c>
      <c r="C195" s="3" t="s">
        <v>59</v>
      </c>
      <c r="D195" s="3" t="s">
        <v>60</v>
      </c>
      <c r="E195" s="3" t="s">
        <v>897</v>
      </c>
      <c r="F195" s="4" t="s">
        <v>892</v>
      </c>
      <c r="G195" s="4" t="s">
        <v>893</v>
      </c>
      <c r="H195" s="5">
        <v>495000</v>
      </c>
      <c r="I195" s="5">
        <v>0</v>
      </c>
      <c r="J195" s="5">
        <v>495000</v>
      </c>
      <c r="K195" s="5">
        <v>0</v>
      </c>
      <c r="L195" s="5">
        <v>0</v>
      </c>
      <c r="M195" s="5">
        <v>0</v>
      </c>
      <c r="N195" s="5">
        <v>495000</v>
      </c>
      <c r="O195" s="5">
        <v>0</v>
      </c>
      <c r="P195" s="5">
        <v>0</v>
      </c>
      <c r="Q195" s="3" t="s">
        <v>894</v>
      </c>
      <c r="R195" s="3" t="s">
        <v>34</v>
      </c>
      <c r="S195" s="3" t="s">
        <v>898</v>
      </c>
      <c r="T195" s="3" t="s">
        <v>41</v>
      </c>
      <c r="U195" s="3" t="s">
        <v>34</v>
      </c>
      <c r="V195" s="3" t="s">
        <v>35</v>
      </c>
      <c r="W195" s="3" t="s">
        <v>899</v>
      </c>
      <c r="X195" s="3"/>
      <c r="Y195" s="5">
        <v>495000</v>
      </c>
      <c r="Z195" s="5">
        <v>1</v>
      </c>
    </row>
    <row r="196" spans="1:26" ht="15.75" customHeight="1" x14ac:dyDescent="0.35">
      <c r="A196" s="2"/>
      <c r="B196" s="3" t="s">
        <v>726</v>
      </c>
      <c r="C196" s="3" t="s">
        <v>59</v>
      </c>
      <c r="D196" s="3" t="s">
        <v>193</v>
      </c>
      <c r="E196" s="3" t="s">
        <v>900</v>
      </c>
      <c r="F196" s="4" t="s">
        <v>901</v>
      </c>
      <c r="G196" s="4" t="s">
        <v>902</v>
      </c>
      <c r="H196" s="5">
        <v>495000</v>
      </c>
      <c r="I196" s="5">
        <v>0</v>
      </c>
      <c r="J196" s="5">
        <v>495000</v>
      </c>
      <c r="K196" s="5">
        <v>0</v>
      </c>
      <c r="L196" s="5">
        <v>295000</v>
      </c>
      <c r="M196" s="5">
        <v>0</v>
      </c>
      <c r="N196" s="5">
        <v>200000</v>
      </c>
      <c r="O196" s="5">
        <v>0</v>
      </c>
      <c r="P196" s="5">
        <v>0</v>
      </c>
      <c r="Q196" s="3" t="s">
        <v>903</v>
      </c>
      <c r="R196" s="3" t="s">
        <v>34</v>
      </c>
      <c r="S196" s="3" t="s">
        <v>904</v>
      </c>
      <c r="T196" s="3" t="s">
        <v>41</v>
      </c>
      <c r="U196" s="3" t="s">
        <v>34</v>
      </c>
      <c r="V196" s="3" t="s">
        <v>35</v>
      </c>
      <c r="W196" s="3" t="s">
        <v>905</v>
      </c>
      <c r="X196" s="3"/>
      <c r="Y196" s="5">
        <v>495000</v>
      </c>
      <c r="Z196" s="5">
        <v>1</v>
      </c>
    </row>
    <row r="197" spans="1:26" ht="15.75" customHeight="1" x14ac:dyDescent="0.35">
      <c r="A197" s="2"/>
      <c r="B197" s="3" t="s">
        <v>798</v>
      </c>
      <c r="C197" s="3" t="s">
        <v>29</v>
      </c>
      <c r="D197" s="3" t="s">
        <v>385</v>
      </c>
      <c r="E197" s="3" t="s">
        <v>900</v>
      </c>
      <c r="F197" s="4" t="s">
        <v>906</v>
      </c>
      <c r="G197" s="4" t="s">
        <v>907</v>
      </c>
      <c r="H197" s="5">
        <v>550000</v>
      </c>
      <c r="I197" s="5">
        <v>0</v>
      </c>
      <c r="J197" s="5">
        <v>550000</v>
      </c>
      <c r="K197" s="5">
        <v>0</v>
      </c>
      <c r="L197" s="5">
        <v>550000</v>
      </c>
      <c r="M197" s="5">
        <v>0</v>
      </c>
      <c r="N197" s="5">
        <v>0</v>
      </c>
      <c r="O197" s="5">
        <v>0</v>
      </c>
      <c r="P197" s="5">
        <v>0</v>
      </c>
      <c r="Q197" s="3" t="s">
        <v>903</v>
      </c>
      <c r="R197" s="3" t="s">
        <v>34</v>
      </c>
      <c r="S197" s="3" t="s">
        <v>904</v>
      </c>
      <c r="T197" s="3" t="s">
        <v>41</v>
      </c>
      <c r="U197" s="3" t="s">
        <v>34</v>
      </c>
      <c r="V197" s="3" t="s">
        <v>35</v>
      </c>
      <c r="W197" s="3" t="s">
        <v>908</v>
      </c>
      <c r="X197" s="3"/>
      <c r="Y197" s="5">
        <v>550000</v>
      </c>
      <c r="Z197" s="5">
        <v>1</v>
      </c>
    </row>
    <row r="198" spans="1:26" ht="15.75" customHeight="1" x14ac:dyDescent="0.35">
      <c r="A198" s="2"/>
      <c r="B198" s="3" t="s">
        <v>848</v>
      </c>
      <c r="C198" s="3" t="s">
        <v>71</v>
      </c>
      <c r="D198" s="3" t="s">
        <v>72</v>
      </c>
      <c r="E198" s="3" t="s">
        <v>226</v>
      </c>
      <c r="F198" s="4" t="s">
        <v>909</v>
      </c>
      <c r="G198" s="4" t="s">
        <v>910</v>
      </c>
      <c r="H198" s="5">
        <v>350000</v>
      </c>
      <c r="I198" s="5">
        <v>0</v>
      </c>
      <c r="J198" s="5">
        <v>350000</v>
      </c>
      <c r="K198" s="5">
        <v>0</v>
      </c>
      <c r="L198" s="5">
        <v>350000</v>
      </c>
      <c r="M198" s="5">
        <v>0</v>
      </c>
      <c r="N198" s="5">
        <v>0</v>
      </c>
      <c r="O198" s="5">
        <v>0</v>
      </c>
      <c r="P198" s="5">
        <v>0</v>
      </c>
      <c r="Q198" s="3"/>
      <c r="R198" s="3"/>
      <c r="S198" s="3"/>
      <c r="T198" s="3" t="s">
        <v>41</v>
      </c>
      <c r="U198" s="3" t="s">
        <v>34</v>
      </c>
      <c r="V198" s="3" t="s">
        <v>35</v>
      </c>
      <c r="W198" s="3" t="s">
        <v>911</v>
      </c>
      <c r="X198" s="3"/>
      <c r="Y198" s="5">
        <v>350000</v>
      </c>
      <c r="Z198" s="5">
        <v>1</v>
      </c>
    </row>
    <row r="199" spans="1:26" ht="15.75" customHeight="1" x14ac:dyDescent="0.35">
      <c r="A199" s="2"/>
      <c r="B199" s="3" t="s">
        <v>780</v>
      </c>
      <c r="C199" s="3" t="s">
        <v>59</v>
      </c>
      <c r="D199" s="3" t="s">
        <v>122</v>
      </c>
      <c r="E199" s="3" t="s">
        <v>912</v>
      </c>
      <c r="F199" s="4" t="s">
        <v>868</v>
      </c>
      <c r="G199" s="4" t="s">
        <v>913</v>
      </c>
      <c r="H199" s="5">
        <v>1132560</v>
      </c>
      <c r="I199" s="5">
        <v>0</v>
      </c>
      <c r="J199" s="5">
        <v>1132560</v>
      </c>
      <c r="K199" s="5">
        <v>0</v>
      </c>
      <c r="L199" s="5">
        <v>0</v>
      </c>
      <c r="M199" s="5">
        <v>0</v>
      </c>
      <c r="N199" s="5">
        <v>0</v>
      </c>
      <c r="O199" s="5">
        <v>1132560</v>
      </c>
      <c r="P199" s="5">
        <v>0</v>
      </c>
      <c r="Q199" s="3" t="s">
        <v>914</v>
      </c>
      <c r="R199" s="3" t="s">
        <v>34</v>
      </c>
      <c r="S199" s="3" t="s">
        <v>915</v>
      </c>
      <c r="T199" s="3" t="s">
        <v>48</v>
      </c>
      <c r="U199" s="3" t="s">
        <v>34</v>
      </c>
      <c r="V199" s="3" t="s">
        <v>35</v>
      </c>
      <c r="W199" s="3" t="s">
        <v>916</v>
      </c>
      <c r="X199" s="3" t="s">
        <v>917</v>
      </c>
      <c r="Y199" s="5">
        <v>566280</v>
      </c>
      <c r="Z199" s="5">
        <v>2</v>
      </c>
    </row>
    <row r="200" spans="1:26" ht="15.75" customHeight="1" x14ac:dyDescent="0.35">
      <c r="A200" s="2"/>
      <c r="B200" s="3" t="s">
        <v>918</v>
      </c>
      <c r="C200" s="3" t="s">
        <v>71</v>
      </c>
      <c r="D200" s="3" t="s">
        <v>95</v>
      </c>
      <c r="E200" s="3" t="s">
        <v>887</v>
      </c>
      <c r="F200" s="4" t="s">
        <v>919</v>
      </c>
      <c r="G200" s="4" t="s">
        <v>913</v>
      </c>
      <c r="H200" s="5">
        <v>629000</v>
      </c>
      <c r="I200" s="5">
        <v>0</v>
      </c>
      <c r="J200" s="5">
        <v>629000</v>
      </c>
      <c r="K200" s="5">
        <v>0</v>
      </c>
      <c r="L200" s="5">
        <v>329000</v>
      </c>
      <c r="M200" s="5">
        <v>0</v>
      </c>
      <c r="N200" s="5">
        <v>300000</v>
      </c>
      <c r="O200" s="5">
        <v>0</v>
      </c>
      <c r="P200" s="5">
        <v>0</v>
      </c>
      <c r="Q200" s="3"/>
      <c r="R200" s="3"/>
      <c r="S200" s="3"/>
      <c r="T200" s="3" t="s">
        <v>41</v>
      </c>
      <c r="U200" s="3" t="s">
        <v>34</v>
      </c>
      <c r="V200" s="3" t="s">
        <v>35</v>
      </c>
      <c r="W200" s="3" t="s">
        <v>920</v>
      </c>
      <c r="X200" s="3"/>
      <c r="Y200" s="5">
        <v>629000</v>
      </c>
      <c r="Z200" s="5">
        <v>1</v>
      </c>
    </row>
    <row r="201" spans="1:26" ht="15.75" customHeight="1" x14ac:dyDescent="0.35">
      <c r="A201" s="2"/>
      <c r="B201" s="3" t="s">
        <v>921</v>
      </c>
      <c r="C201" s="3" t="s">
        <v>29</v>
      </c>
      <c r="D201" s="3" t="s">
        <v>30</v>
      </c>
      <c r="E201" s="3" t="s">
        <v>922</v>
      </c>
      <c r="F201" s="4" t="s">
        <v>923</v>
      </c>
      <c r="G201" s="4" t="s">
        <v>924</v>
      </c>
      <c r="H201" s="5">
        <v>2025000</v>
      </c>
      <c r="I201" s="5">
        <v>0</v>
      </c>
      <c r="J201" s="5">
        <v>2025000</v>
      </c>
      <c r="K201" s="5">
        <v>0</v>
      </c>
      <c r="L201" s="5">
        <v>1350000</v>
      </c>
      <c r="M201" s="5">
        <v>0</v>
      </c>
      <c r="N201" s="5">
        <v>675000</v>
      </c>
      <c r="O201" s="5">
        <v>0</v>
      </c>
      <c r="P201" s="5">
        <v>0</v>
      </c>
      <c r="Q201" s="3" t="s">
        <v>925</v>
      </c>
      <c r="R201" s="3" t="s">
        <v>34</v>
      </c>
      <c r="S201" s="3" t="s">
        <v>926</v>
      </c>
      <c r="T201" s="3" t="s">
        <v>41</v>
      </c>
      <c r="U201" s="3" t="s">
        <v>34</v>
      </c>
      <c r="V201" s="3" t="s">
        <v>35</v>
      </c>
      <c r="W201" s="3" t="s">
        <v>927</v>
      </c>
      <c r="X201" s="3"/>
      <c r="Y201" s="5">
        <v>675000</v>
      </c>
      <c r="Z201" s="5">
        <v>3</v>
      </c>
    </row>
    <row r="202" spans="1:26" ht="15.75" customHeight="1" x14ac:dyDescent="0.35">
      <c r="A202" s="2"/>
      <c r="B202" s="3" t="s">
        <v>816</v>
      </c>
      <c r="C202" s="3" t="s">
        <v>59</v>
      </c>
      <c r="D202" s="3" t="s">
        <v>122</v>
      </c>
      <c r="E202" s="3" t="s">
        <v>928</v>
      </c>
      <c r="F202" s="4" t="s">
        <v>929</v>
      </c>
      <c r="G202" s="4" t="s">
        <v>924</v>
      </c>
      <c r="H202" s="5">
        <v>400000</v>
      </c>
      <c r="I202" s="5">
        <v>0</v>
      </c>
      <c r="J202" s="5">
        <v>400000</v>
      </c>
      <c r="K202" s="5">
        <v>0</v>
      </c>
      <c r="L202" s="5">
        <v>400000</v>
      </c>
      <c r="M202" s="5">
        <v>0</v>
      </c>
      <c r="N202" s="5">
        <v>0</v>
      </c>
      <c r="O202" s="5">
        <v>0</v>
      </c>
      <c r="P202" s="5">
        <v>0</v>
      </c>
      <c r="Q202" s="3" t="s">
        <v>34</v>
      </c>
      <c r="R202" s="3" t="s">
        <v>34</v>
      </c>
      <c r="S202" s="3" t="s">
        <v>930</v>
      </c>
      <c r="T202" s="3" t="s">
        <v>41</v>
      </c>
      <c r="U202" s="3" t="s">
        <v>34</v>
      </c>
      <c r="V202" s="3" t="s">
        <v>35</v>
      </c>
      <c r="W202" s="3" t="s">
        <v>931</v>
      </c>
      <c r="X202" s="3"/>
      <c r="Y202" s="5">
        <v>400000</v>
      </c>
      <c r="Z202" s="5">
        <v>1</v>
      </c>
    </row>
    <row r="203" spans="1:26" ht="15.75" customHeight="1" x14ac:dyDescent="0.35">
      <c r="A203" s="2"/>
      <c r="B203" s="3" t="s">
        <v>841</v>
      </c>
      <c r="C203" s="3" t="s">
        <v>59</v>
      </c>
      <c r="D203" s="3" t="s">
        <v>193</v>
      </c>
      <c r="E203" s="3" t="s">
        <v>932</v>
      </c>
      <c r="F203" s="4" t="s">
        <v>933</v>
      </c>
      <c r="G203" s="4" t="s">
        <v>934</v>
      </c>
      <c r="H203" s="5">
        <v>585000</v>
      </c>
      <c r="I203" s="5">
        <v>0</v>
      </c>
      <c r="J203" s="5">
        <v>585000</v>
      </c>
      <c r="K203" s="5">
        <v>0</v>
      </c>
      <c r="L203" s="5">
        <v>0</v>
      </c>
      <c r="M203" s="5">
        <v>0</v>
      </c>
      <c r="N203" s="5">
        <v>585000</v>
      </c>
      <c r="O203" s="5">
        <v>0</v>
      </c>
      <c r="P203" s="5">
        <v>0</v>
      </c>
      <c r="Q203" s="3" t="s">
        <v>935</v>
      </c>
      <c r="R203" s="3" t="s">
        <v>34</v>
      </c>
      <c r="S203" s="3" t="s">
        <v>936</v>
      </c>
      <c r="T203" s="3" t="s">
        <v>41</v>
      </c>
      <c r="U203" s="3" t="s">
        <v>34</v>
      </c>
      <c r="V203" s="3" t="s">
        <v>35</v>
      </c>
      <c r="W203" s="3" t="s">
        <v>937</v>
      </c>
      <c r="X203" s="3"/>
      <c r="Y203" s="5">
        <v>585000</v>
      </c>
      <c r="Z203" s="5">
        <v>1</v>
      </c>
    </row>
    <row r="204" spans="1:26" ht="15.75" customHeight="1" x14ac:dyDescent="0.35">
      <c r="A204" s="2"/>
      <c r="B204" s="3" t="s">
        <v>413</v>
      </c>
      <c r="C204" s="3" t="s">
        <v>64</v>
      </c>
      <c r="D204" s="3" t="s">
        <v>83</v>
      </c>
      <c r="E204" s="3" t="s">
        <v>938</v>
      </c>
      <c r="F204" s="4" t="s">
        <v>939</v>
      </c>
      <c r="G204" s="4" t="s">
        <v>940</v>
      </c>
      <c r="H204" s="5">
        <v>875600</v>
      </c>
      <c r="I204" s="5">
        <v>0</v>
      </c>
      <c r="J204" s="5">
        <v>875600</v>
      </c>
      <c r="K204" s="5">
        <v>0</v>
      </c>
      <c r="L204" s="5">
        <v>350000</v>
      </c>
      <c r="M204" s="5">
        <v>0</v>
      </c>
      <c r="N204" s="5">
        <v>0</v>
      </c>
      <c r="O204" s="5">
        <v>525600</v>
      </c>
      <c r="P204" s="5">
        <v>0</v>
      </c>
      <c r="Q204" s="3" t="s">
        <v>941</v>
      </c>
      <c r="R204" s="3" t="s">
        <v>34</v>
      </c>
      <c r="S204" s="3" t="s">
        <v>942</v>
      </c>
      <c r="T204" s="3" t="s">
        <v>48</v>
      </c>
      <c r="U204" s="3" t="s">
        <v>34</v>
      </c>
      <c r="V204" s="3" t="s">
        <v>35</v>
      </c>
      <c r="W204" s="3" t="s">
        <v>943</v>
      </c>
      <c r="X204" s="3" t="s">
        <v>944</v>
      </c>
      <c r="Y204" s="5">
        <v>875600</v>
      </c>
      <c r="Z204" s="5">
        <v>1</v>
      </c>
    </row>
    <row r="205" spans="1:26" ht="15.75" customHeight="1" x14ac:dyDescent="0.35">
      <c r="A205" s="2"/>
      <c r="B205" s="3" t="s">
        <v>945</v>
      </c>
      <c r="C205" s="3" t="s">
        <v>59</v>
      </c>
      <c r="D205" s="3" t="s">
        <v>60</v>
      </c>
      <c r="E205" s="3" t="s">
        <v>946</v>
      </c>
      <c r="F205" s="4" t="s">
        <v>947</v>
      </c>
      <c r="G205" s="4" t="s">
        <v>940</v>
      </c>
      <c r="H205" s="5">
        <v>1424160</v>
      </c>
      <c r="I205" s="5">
        <v>0</v>
      </c>
      <c r="J205" s="5">
        <v>1424160</v>
      </c>
      <c r="K205" s="5">
        <v>0</v>
      </c>
      <c r="L205" s="5">
        <v>0</v>
      </c>
      <c r="M205" s="5">
        <v>0</v>
      </c>
      <c r="N205" s="5">
        <v>0</v>
      </c>
      <c r="O205" s="5">
        <v>1424160</v>
      </c>
      <c r="P205" s="5">
        <v>0</v>
      </c>
      <c r="Q205" s="3" t="s">
        <v>948</v>
      </c>
      <c r="R205" s="3" t="s">
        <v>949</v>
      </c>
      <c r="S205" s="3" t="s">
        <v>34</v>
      </c>
      <c r="T205" s="3" t="s">
        <v>48</v>
      </c>
      <c r="U205" s="3" t="s">
        <v>34</v>
      </c>
      <c r="V205" s="3" t="s">
        <v>35</v>
      </c>
      <c r="W205" s="3" t="s">
        <v>950</v>
      </c>
      <c r="X205" s="3" t="s">
        <v>951</v>
      </c>
      <c r="Y205" s="5">
        <v>712080</v>
      </c>
      <c r="Z205" s="5">
        <v>2</v>
      </c>
    </row>
    <row r="206" spans="1:26" ht="15.75" customHeight="1" x14ac:dyDescent="0.35">
      <c r="A206" s="2"/>
      <c r="B206" s="3" t="s">
        <v>952</v>
      </c>
      <c r="C206" s="3" t="s">
        <v>29</v>
      </c>
      <c r="D206" s="3" t="s">
        <v>37</v>
      </c>
      <c r="E206" s="3" t="s">
        <v>953</v>
      </c>
      <c r="F206" s="4" t="s">
        <v>954</v>
      </c>
      <c r="G206" s="4" t="s">
        <v>940</v>
      </c>
      <c r="H206" s="5">
        <v>850000</v>
      </c>
      <c r="I206" s="5">
        <v>0</v>
      </c>
      <c r="J206" s="5">
        <v>850000</v>
      </c>
      <c r="K206" s="5">
        <v>0</v>
      </c>
      <c r="L206" s="5">
        <v>400000</v>
      </c>
      <c r="M206" s="5">
        <v>0</v>
      </c>
      <c r="N206" s="5">
        <v>450000</v>
      </c>
      <c r="O206" s="5">
        <v>0</v>
      </c>
      <c r="P206" s="5">
        <v>0</v>
      </c>
      <c r="Q206" s="3" t="s">
        <v>955</v>
      </c>
      <c r="R206" s="3" t="s">
        <v>34</v>
      </c>
      <c r="S206" s="3" t="s">
        <v>956</v>
      </c>
      <c r="T206" s="3" t="s">
        <v>41</v>
      </c>
      <c r="U206" s="3" t="s">
        <v>34</v>
      </c>
      <c r="V206" s="3" t="s">
        <v>35</v>
      </c>
      <c r="W206" s="3" t="s">
        <v>957</v>
      </c>
      <c r="X206" s="3"/>
      <c r="Y206" s="5">
        <v>850000</v>
      </c>
      <c r="Z206" s="5">
        <v>1</v>
      </c>
    </row>
    <row r="207" spans="1:26" ht="15.75" customHeight="1" x14ac:dyDescent="0.35">
      <c r="A207" s="2"/>
      <c r="B207" s="3" t="s">
        <v>958</v>
      </c>
      <c r="C207" s="3" t="s">
        <v>71</v>
      </c>
      <c r="D207" s="3" t="s">
        <v>95</v>
      </c>
      <c r="E207" s="3" t="s">
        <v>959</v>
      </c>
      <c r="F207" s="4" t="s">
        <v>960</v>
      </c>
      <c r="G207" s="4" t="s">
        <v>961</v>
      </c>
      <c r="H207" s="5">
        <v>300000</v>
      </c>
      <c r="I207" s="5">
        <v>0</v>
      </c>
      <c r="J207" s="5">
        <v>300000</v>
      </c>
      <c r="K207" s="5">
        <v>0</v>
      </c>
      <c r="L207" s="5">
        <v>300000</v>
      </c>
      <c r="M207" s="5">
        <v>0</v>
      </c>
      <c r="N207" s="5">
        <v>0</v>
      </c>
      <c r="O207" s="5">
        <v>0</v>
      </c>
      <c r="P207" s="5">
        <v>0</v>
      </c>
      <c r="Q207" s="3" t="s">
        <v>962</v>
      </c>
      <c r="R207" s="3"/>
      <c r="S207" s="3"/>
      <c r="T207" s="3" t="s">
        <v>41</v>
      </c>
      <c r="U207" s="3" t="s">
        <v>34</v>
      </c>
      <c r="V207" s="3" t="s">
        <v>35</v>
      </c>
      <c r="W207" s="3" t="s">
        <v>963</v>
      </c>
      <c r="X207" s="3"/>
      <c r="Y207" s="5">
        <v>300000</v>
      </c>
      <c r="Z207" s="5">
        <v>1</v>
      </c>
    </row>
    <row r="208" spans="1:26" ht="15.75" customHeight="1" x14ac:dyDescent="0.35">
      <c r="A208" s="2"/>
      <c r="B208" s="3" t="s">
        <v>605</v>
      </c>
      <c r="C208" s="3" t="s">
        <v>29</v>
      </c>
      <c r="D208" s="3" t="s">
        <v>43</v>
      </c>
      <c r="E208" s="3" t="s">
        <v>964</v>
      </c>
      <c r="F208" s="4" t="s">
        <v>965</v>
      </c>
      <c r="G208" s="4" t="s">
        <v>966</v>
      </c>
      <c r="H208" s="5">
        <v>1415732</v>
      </c>
      <c r="I208" s="5">
        <v>0</v>
      </c>
      <c r="J208" s="5">
        <v>1415732</v>
      </c>
      <c r="K208" s="5">
        <v>0</v>
      </c>
      <c r="L208" s="5">
        <v>0</v>
      </c>
      <c r="M208" s="5">
        <v>0</v>
      </c>
      <c r="N208" s="5">
        <v>0</v>
      </c>
      <c r="O208" s="5">
        <v>1415732</v>
      </c>
      <c r="P208" s="5">
        <v>0</v>
      </c>
      <c r="Q208" s="3" t="s">
        <v>967</v>
      </c>
      <c r="R208" s="3" t="s">
        <v>34</v>
      </c>
      <c r="S208" s="3" t="s">
        <v>968</v>
      </c>
      <c r="T208" s="3" t="s">
        <v>48</v>
      </c>
      <c r="U208" s="3" t="s">
        <v>34</v>
      </c>
      <c r="V208" s="3" t="s">
        <v>35</v>
      </c>
      <c r="W208" s="3" t="s">
        <v>99</v>
      </c>
      <c r="X208" s="3" t="s">
        <v>969</v>
      </c>
      <c r="Y208" s="5">
        <v>707866</v>
      </c>
      <c r="Z208" s="5">
        <v>2</v>
      </c>
    </row>
    <row r="209" spans="1:26" ht="15.75" customHeight="1" x14ac:dyDescent="0.35">
      <c r="A209" s="2"/>
      <c r="B209" s="3" t="s">
        <v>623</v>
      </c>
      <c r="C209" s="3" t="s">
        <v>64</v>
      </c>
      <c r="D209" s="3" t="s">
        <v>83</v>
      </c>
      <c r="E209" s="3" t="s">
        <v>970</v>
      </c>
      <c r="F209" s="4" t="s">
        <v>971</v>
      </c>
      <c r="G209" s="4" t="s">
        <v>972</v>
      </c>
      <c r="H209" s="5">
        <v>494000</v>
      </c>
      <c r="I209" s="5">
        <v>200000</v>
      </c>
      <c r="J209" s="5">
        <v>694000</v>
      </c>
      <c r="K209" s="5">
        <v>0</v>
      </c>
      <c r="L209" s="5">
        <v>0</v>
      </c>
      <c r="M209" s="5">
        <v>0</v>
      </c>
      <c r="N209" s="5">
        <v>500000</v>
      </c>
      <c r="O209" s="5">
        <v>194000</v>
      </c>
      <c r="P209" s="5">
        <v>0</v>
      </c>
      <c r="Q209" s="3"/>
      <c r="R209" s="3"/>
      <c r="S209" s="3"/>
      <c r="T209" s="3" t="s">
        <v>41</v>
      </c>
      <c r="U209" s="3" t="s">
        <v>34</v>
      </c>
      <c r="V209" s="3" t="s">
        <v>35</v>
      </c>
      <c r="W209" s="3" t="s">
        <v>973</v>
      </c>
      <c r="X209" s="3"/>
      <c r="Y209" s="5">
        <v>494000</v>
      </c>
      <c r="Z209" s="5">
        <v>1</v>
      </c>
    </row>
    <row r="210" spans="1:26" ht="15.75" customHeight="1" x14ac:dyDescent="0.35">
      <c r="A210" s="2"/>
      <c r="B210" s="3" t="s">
        <v>974</v>
      </c>
      <c r="C210" s="3" t="s">
        <v>71</v>
      </c>
      <c r="D210" s="3" t="s">
        <v>72</v>
      </c>
      <c r="E210" s="3" t="s">
        <v>975</v>
      </c>
      <c r="F210" s="4" t="s">
        <v>976</v>
      </c>
      <c r="G210" s="4" t="s">
        <v>977</v>
      </c>
      <c r="H210" s="5">
        <v>1260000</v>
      </c>
      <c r="I210" s="5">
        <v>0</v>
      </c>
      <c r="J210" s="5">
        <v>1260000</v>
      </c>
      <c r="K210" s="5">
        <v>0</v>
      </c>
      <c r="L210" s="5">
        <v>0</v>
      </c>
      <c r="M210" s="5">
        <v>0</v>
      </c>
      <c r="N210" s="5">
        <v>0</v>
      </c>
      <c r="O210" s="5">
        <v>1260000</v>
      </c>
      <c r="P210" s="5">
        <v>0</v>
      </c>
      <c r="Q210" s="3" t="s">
        <v>34</v>
      </c>
      <c r="R210" s="3" t="s">
        <v>34</v>
      </c>
      <c r="S210" s="3" t="s">
        <v>978</v>
      </c>
      <c r="T210" s="3" t="s">
        <v>41</v>
      </c>
      <c r="U210" s="3" t="s">
        <v>34</v>
      </c>
      <c r="V210" s="3" t="s">
        <v>35</v>
      </c>
      <c r="W210" s="3" t="s">
        <v>979</v>
      </c>
      <c r="X210" s="3"/>
      <c r="Y210" s="5">
        <v>630000</v>
      </c>
      <c r="Z210" s="5">
        <v>2</v>
      </c>
    </row>
    <row r="211" spans="1:26" ht="15.75" customHeight="1" x14ac:dyDescent="0.35">
      <c r="A211" s="2"/>
      <c r="B211" s="3" t="s">
        <v>811</v>
      </c>
      <c r="C211" s="3" t="s">
        <v>59</v>
      </c>
      <c r="D211" s="3" t="s">
        <v>122</v>
      </c>
      <c r="E211" s="3" t="s">
        <v>850</v>
      </c>
      <c r="F211" s="4" t="s">
        <v>980</v>
      </c>
      <c r="G211" s="4" t="s">
        <v>977</v>
      </c>
      <c r="H211" s="5">
        <v>1000000</v>
      </c>
      <c r="I211" s="5">
        <v>0</v>
      </c>
      <c r="J211" s="5">
        <v>1000000</v>
      </c>
      <c r="K211" s="5">
        <v>0</v>
      </c>
      <c r="L211" s="5">
        <v>1000000</v>
      </c>
      <c r="M211" s="5">
        <v>0</v>
      </c>
      <c r="N211" s="5">
        <v>0</v>
      </c>
      <c r="O211" s="5">
        <v>0</v>
      </c>
      <c r="P211" s="5">
        <v>0</v>
      </c>
      <c r="Q211" s="3" t="s">
        <v>853</v>
      </c>
      <c r="R211" s="3" t="s">
        <v>34</v>
      </c>
      <c r="S211" s="3" t="s">
        <v>854</v>
      </c>
      <c r="T211" s="3" t="s">
        <v>41</v>
      </c>
      <c r="U211" s="3" t="s">
        <v>34</v>
      </c>
      <c r="V211" s="3" t="s">
        <v>35</v>
      </c>
      <c r="W211" s="3" t="s">
        <v>981</v>
      </c>
      <c r="X211" s="3"/>
      <c r="Y211" s="5">
        <v>1000000</v>
      </c>
      <c r="Z211" s="5">
        <v>1</v>
      </c>
    </row>
    <row r="212" spans="1:26" ht="15.75" customHeight="1" x14ac:dyDescent="0.35">
      <c r="A212" s="2"/>
      <c r="B212" s="3" t="s">
        <v>786</v>
      </c>
      <c r="C212" s="3" t="s">
        <v>29</v>
      </c>
      <c r="D212" s="3" t="s">
        <v>30</v>
      </c>
      <c r="E212" s="3" t="s">
        <v>982</v>
      </c>
      <c r="F212" s="4" t="s">
        <v>983</v>
      </c>
      <c r="G212" s="4" t="s">
        <v>984</v>
      </c>
      <c r="H212" s="5">
        <v>1400000</v>
      </c>
      <c r="I212" s="5">
        <v>0</v>
      </c>
      <c r="J212" s="5">
        <v>1400000</v>
      </c>
      <c r="K212" s="5">
        <v>0</v>
      </c>
      <c r="L212" s="5">
        <v>1400000</v>
      </c>
      <c r="M212" s="5">
        <v>0</v>
      </c>
      <c r="N212" s="5">
        <v>0</v>
      </c>
      <c r="O212" s="5">
        <v>0</v>
      </c>
      <c r="P212" s="5">
        <v>0</v>
      </c>
      <c r="Q212" s="3"/>
      <c r="R212" s="3"/>
      <c r="S212" s="3"/>
      <c r="T212" s="3" t="s">
        <v>41</v>
      </c>
      <c r="U212" s="3" t="s">
        <v>34</v>
      </c>
      <c r="V212" s="3" t="s">
        <v>35</v>
      </c>
      <c r="W212" s="3" t="s">
        <v>985</v>
      </c>
      <c r="X212" s="3"/>
      <c r="Y212" s="5">
        <v>700000</v>
      </c>
      <c r="Z212" s="5">
        <v>2</v>
      </c>
    </row>
    <row r="213" spans="1:26" ht="15.75" customHeight="1" x14ac:dyDescent="0.35">
      <c r="A213" s="2"/>
      <c r="B213" s="3" t="s">
        <v>786</v>
      </c>
      <c r="C213" s="3" t="s">
        <v>29</v>
      </c>
      <c r="D213" s="3" t="s">
        <v>37</v>
      </c>
      <c r="E213" s="3" t="s">
        <v>226</v>
      </c>
      <c r="F213" s="4" t="s">
        <v>983</v>
      </c>
      <c r="G213" s="4" t="s">
        <v>984</v>
      </c>
      <c r="H213" s="5">
        <v>1400000</v>
      </c>
      <c r="I213" s="5">
        <v>0</v>
      </c>
      <c r="J213" s="5">
        <v>1400000</v>
      </c>
      <c r="K213" s="5">
        <v>0</v>
      </c>
      <c r="L213" s="5">
        <v>1400000</v>
      </c>
      <c r="M213" s="5">
        <v>0</v>
      </c>
      <c r="N213" s="5">
        <v>0</v>
      </c>
      <c r="O213" s="5">
        <v>0</v>
      </c>
      <c r="P213" s="5">
        <v>0</v>
      </c>
      <c r="Q213" s="3"/>
      <c r="R213" s="3"/>
      <c r="S213" s="3"/>
      <c r="T213" s="3" t="s">
        <v>41</v>
      </c>
      <c r="U213" s="3" t="s">
        <v>34</v>
      </c>
      <c r="V213" s="3" t="s">
        <v>35</v>
      </c>
      <c r="W213" s="3" t="s">
        <v>986</v>
      </c>
      <c r="X213" s="3"/>
      <c r="Y213" s="5">
        <v>700000</v>
      </c>
      <c r="Z213" s="5">
        <v>2</v>
      </c>
    </row>
    <row r="214" spans="1:26" ht="15.75" customHeight="1" x14ac:dyDescent="0.35">
      <c r="A214" s="2"/>
      <c r="B214" s="3" t="s">
        <v>987</v>
      </c>
      <c r="C214" s="3" t="s">
        <v>71</v>
      </c>
      <c r="D214" s="3" t="s">
        <v>95</v>
      </c>
      <c r="E214" s="3" t="s">
        <v>975</v>
      </c>
      <c r="F214" s="4" t="s">
        <v>988</v>
      </c>
      <c r="G214" s="4" t="s">
        <v>989</v>
      </c>
      <c r="H214" s="5">
        <v>585000</v>
      </c>
      <c r="I214" s="5">
        <v>0</v>
      </c>
      <c r="J214" s="5">
        <v>585000</v>
      </c>
      <c r="K214" s="5">
        <v>0</v>
      </c>
      <c r="L214" s="5">
        <v>0</v>
      </c>
      <c r="M214" s="5">
        <v>0</v>
      </c>
      <c r="N214" s="5">
        <v>0</v>
      </c>
      <c r="O214" s="5">
        <v>585000</v>
      </c>
      <c r="P214" s="5">
        <v>0</v>
      </c>
      <c r="Q214" s="3" t="s">
        <v>34</v>
      </c>
      <c r="R214" s="3" t="s">
        <v>34</v>
      </c>
      <c r="S214" s="3" t="s">
        <v>978</v>
      </c>
      <c r="T214" s="3" t="s">
        <v>41</v>
      </c>
      <c r="U214" s="3" t="s">
        <v>34</v>
      </c>
      <c r="V214" s="3" t="s">
        <v>35</v>
      </c>
      <c r="W214" s="3" t="s">
        <v>990</v>
      </c>
      <c r="X214" s="3"/>
      <c r="Y214" s="5">
        <v>585000</v>
      </c>
      <c r="Z214" s="5">
        <v>1</v>
      </c>
    </row>
    <row r="215" spans="1:26" ht="15.75" customHeight="1" x14ac:dyDescent="0.35">
      <c r="A215" s="2"/>
      <c r="B215" s="3" t="s">
        <v>815</v>
      </c>
      <c r="C215" s="3" t="s">
        <v>29</v>
      </c>
      <c r="D215" s="3" t="s">
        <v>413</v>
      </c>
      <c r="E215" s="3" t="s">
        <v>991</v>
      </c>
      <c r="F215" s="4" t="s">
        <v>992</v>
      </c>
      <c r="G215" s="4" t="s">
        <v>993</v>
      </c>
      <c r="H215" s="5">
        <v>2797000</v>
      </c>
      <c r="I215" s="5">
        <v>160000</v>
      </c>
      <c r="J215" s="5">
        <v>2677300</v>
      </c>
      <c r="K215" s="5">
        <v>0</v>
      </c>
      <c r="L215" s="5">
        <v>160000</v>
      </c>
      <c r="M215" s="5">
        <v>0</v>
      </c>
      <c r="N215" s="5">
        <v>0</v>
      </c>
      <c r="O215" s="5">
        <v>2517300</v>
      </c>
      <c r="P215" s="5">
        <v>0</v>
      </c>
      <c r="Q215" s="3" t="s">
        <v>994</v>
      </c>
      <c r="R215" s="3" t="s">
        <v>995</v>
      </c>
      <c r="S215" s="3" t="s">
        <v>996</v>
      </c>
      <c r="T215" s="3" t="s">
        <v>48</v>
      </c>
      <c r="U215" s="3" t="s">
        <v>34</v>
      </c>
      <c r="V215" s="3" t="s">
        <v>35</v>
      </c>
      <c r="W215" s="3" t="s">
        <v>997</v>
      </c>
      <c r="X215" s="3" t="s">
        <v>998</v>
      </c>
      <c r="Y215" s="5">
        <v>932333.33330000006</v>
      </c>
      <c r="Z215" s="5">
        <v>3</v>
      </c>
    </row>
    <row r="216" spans="1:26" ht="15.75" customHeight="1" x14ac:dyDescent="0.35">
      <c r="A216" s="2"/>
      <c r="B216" s="3" t="s">
        <v>480</v>
      </c>
      <c r="C216" s="3" t="s">
        <v>59</v>
      </c>
      <c r="D216" s="3" t="s">
        <v>122</v>
      </c>
      <c r="E216" s="3" t="s">
        <v>226</v>
      </c>
      <c r="F216" s="4" t="s">
        <v>999</v>
      </c>
      <c r="G216" s="4" t="s">
        <v>1000</v>
      </c>
      <c r="H216" s="5">
        <v>997492</v>
      </c>
      <c r="I216" s="5">
        <v>0</v>
      </c>
      <c r="J216" s="5">
        <v>997492</v>
      </c>
      <c r="K216" s="5">
        <v>0</v>
      </c>
      <c r="L216" s="5">
        <v>0</v>
      </c>
      <c r="M216" s="5">
        <v>0</v>
      </c>
      <c r="N216" s="5">
        <v>0</v>
      </c>
      <c r="O216" s="5">
        <v>997492</v>
      </c>
      <c r="P216" s="5">
        <v>0</v>
      </c>
      <c r="Q216" s="3"/>
      <c r="R216" s="3"/>
      <c r="S216" s="3"/>
      <c r="T216" s="3" t="s">
        <v>245</v>
      </c>
      <c r="U216" s="3" t="s">
        <v>34</v>
      </c>
      <c r="V216" s="3" t="s">
        <v>35</v>
      </c>
      <c r="W216" s="3" t="s">
        <v>734</v>
      </c>
      <c r="X216" s="3"/>
      <c r="Y216" s="5">
        <v>498746</v>
      </c>
      <c r="Z216" s="5">
        <v>2</v>
      </c>
    </row>
    <row r="217" spans="1:26" ht="15.75" customHeight="1" x14ac:dyDescent="0.35">
      <c r="A217" s="2"/>
      <c r="B217" s="3" t="s">
        <v>480</v>
      </c>
      <c r="C217" s="3" t="s">
        <v>59</v>
      </c>
      <c r="D217" s="3" t="s">
        <v>193</v>
      </c>
      <c r="E217" s="3" t="s">
        <v>226</v>
      </c>
      <c r="F217" s="4" t="s">
        <v>1001</v>
      </c>
      <c r="G217" s="4" t="s">
        <v>1002</v>
      </c>
      <c r="H217" s="5">
        <v>997492</v>
      </c>
      <c r="I217" s="5">
        <v>0</v>
      </c>
      <c r="J217" s="5">
        <v>997492</v>
      </c>
      <c r="K217" s="5">
        <v>0</v>
      </c>
      <c r="L217" s="5">
        <v>0</v>
      </c>
      <c r="M217" s="5">
        <v>0</v>
      </c>
      <c r="N217" s="5">
        <v>0</v>
      </c>
      <c r="O217" s="5">
        <v>997492</v>
      </c>
      <c r="P217" s="5">
        <v>0</v>
      </c>
      <c r="Q217" s="3"/>
      <c r="R217" s="3"/>
      <c r="S217" s="3"/>
      <c r="T217" s="3" t="s">
        <v>245</v>
      </c>
      <c r="U217" s="3" t="s">
        <v>34</v>
      </c>
      <c r="V217" s="3" t="s">
        <v>35</v>
      </c>
      <c r="W217" s="3" t="s">
        <v>945</v>
      </c>
      <c r="X217" s="3"/>
      <c r="Y217" s="5">
        <v>498746</v>
      </c>
      <c r="Z217" s="5">
        <v>2</v>
      </c>
    </row>
    <row r="218" spans="1:26" ht="15.75" customHeight="1" x14ac:dyDescent="0.35">
      <c r="A218" s="2"/>
      <c r="B218" s="3" t="s">
        <v>480</v>
      </c>
      <c r="C218" s="3" t="s">
        <v>71</v>
      </c>
      <c r="D218" s="3" t="s">
        <v>72</v>
      </c>
      <c r="E218" s="3" t="s">
        <v>1003</v>
      </c>
      <c r="F218" s="4" t="s">
        <v>999</v>
      </c>
      <c r="G218" s="4" t="s">
        <v>1002</v>
      </c>
      <c r="H218" s="5">
        <v>997492</v>
      </c>
      <c r="I218" s="5">
        <v>0</v>
      </c>
      <c r="J218" s="5">
        <v>997492</v>
      </c>
      <c r="K218" s="5">
        <v>0</v>
      </c>
      <c r="L218" s="5">
        <v>0</v>
      </c>
      <c r="M218" s="5">
        <v>0</v>
      </c>
      <c r="N218" s="5">
        <v>0</v>
      </c>
      <c r="O218" s="5">
        <v>997492</v>
      </c>
      <c r="P218" s="5">
        <v>0</v>
      </c>
      <c r="Q218" s="3"/>
      <c r="R218" s="3"/>
      <c r="S218" s="3"/>
      <c r="T218" s="3" t="s">
        <v>245</v>
      </c>
      <c r="U218" s="3" t="s">
        <v>34</v>
      </c>
      <c r="V218" s="3" t="s">
        <v>35</v>
      </c>
      <c r="W218" s="3" t="s">
        <v>681</v>
      </c>
      <c r="X218" s="3"/>
      <c r="Y218" s="5">
        <v>498746</v>
      </c>
      <c r="Z218" s="5">
        <v>2</v>
      </c>
    </row>
    <row r="219" spans="1:26" ht="15.75" customHeight="1" x14ac:dyDescent="0.35">
      <c r="A219" s="2"/>
      <c r="B219" s="3" t="s">
        <v>507</v>
      </c>
      <c r="C219" s="3" t="s">
        <v>64</v>
      </c>
      <c r="D219" s="3" t="s">
        <v>99</v>
      </c>
      <c r="E219" s="3" t="s">
        <v>1004</v>
      </c>
      <c r="F219" s="4" t="s">
        <v>1005</v>
      </c>
      <c r="G219" s="4" t="s">
        <v>1006</v>
      </c>
      <c r="H219" s="5">
        <v>1860480</v>
      </c>
      <c r="I219" s="5">
        <v>0</v>
      </c>
      <c r="J219" s="5">
        <v>1860480</v>
      </c>
      <c r="K219" s="5">
        <v>0</v>
      </c>
      <c r="L219" s="5">
        <v>0</v>
      </c>
      <c r="M219" s="5">
        <v>0</v>
      </c>
      <c r="N219" s="5">
        <v>0</v>
      </c>
      <c r="O219" s="5">
        <v>1860480</v>
      </c>
      <c r="P219" s="5">
        <v>0</v>
      </c>
      <c r="Q219" s="3" t="s">
        <v>34</v>
      </c>
      <c r="R219" s="3" t="s">
        <v>34</v>
      </c>
      <c r="S219" s="3" t="s">
        <v>1007</v>
      </c>
      <c r="T219" s="3" t="s">
        <v>48</v>
      </c>
      <c r="U219" s="3" t="s">
        <v>34</v>
      </c>
      <c r="V219" s="3" t="s">
        <v>35</v>
      </c>
      <c r="W219" s="3" t="s">
        <v>636</v>
      </c>
      <c r="X219" s="3" t="s">
        <v>1008</v>
      </c>
      <c r="Y219" s="5">
        <v>465120</v>
      </c>
      <c r="Z219" s="5">
        <v>4</v>
      </c>
    </row>
    <row r="220" spans="1:26" ht="15.75" customHeight="1" x14ac:dyDescent="0.35">
      <c r="A220" s="2"/>
      <c r="B220" s="3" t="s">
        <v>824</v>
      </c>
      <c r="C220" s="3" t="s">
        <v>64</v>
      </c>
      <c r="D220" s="3" t="s">
        <v>173</v>
      </c>
      <c r="E220" s="3" t="s">
        <v>794</v>
      </c>
      <c r="F220" s="4" t="s">
        <v>1009</v>
      </c>
      <c r="G220" s="4" t="s">
        <v>1010</v>
      </c>
      <c r="H220" s="5">
        <v>495000</v>
      </c>
      <c r="I220" s="5">
        <v>0</v>
      </c>
      <c r="J220" s="5">
        <v>495000</v>
      </c>
      <c r="K220" s="5">
        <v>0</v>
      </c>
      <c r="L220" s="5">
        <v>0</v>
      </c>
      <c r="M220" s="5">
        <v>0</v>
      </c>
      <c r="N220" s="5">
        <v>0</v>
      </c>
      <c r="O220" s="5">
        <v>495000</v>
      </c>
      <c r="P220" s="5">
        <v>0</v>
      </c>
      <c r="Q220" s="3" t="s">
        <v>34</v>
      </c>
      <c r="R220" s="3" t="s">
        <v>34</v>
      </c>
      <c r="S220" s="3" t="s">
        <v>797</v>
      </c>
      <c r="T220" s="3" t="s">
        <v>41</v>
      </c>
      <c r="U220" s="3" t="s">
        <v>34</v>
      </c>
      <c r="V220" s="3" t="s">
        <v>35</v>
      </c>
      <c r="W220" s="3" t="s">
        <v>1011</v>
      </c>
      <c r="X220" s="3"/>
      <c r="Y220" s="5">
        <v>495000</v>
      </c>
      <c r="Z220" s="5">
        <v>1</v>
      </c>
    </row>
    <row r="221" spans="1:26" ht="15.75" customHeight="1" x14ac:dyDescent="0.35">
      <c r="A221" s="2"/>
      <c r="B221" s="3" t="s">
        <v>973</v>
      </c>
      <c r="C221" s="3" t="s">
        <v>59</v>
      </c>
      <c r="D221" s="3" t="s">
        <v>182</v>
      </c>
      <c r="E221" s="3" t="s">
        <v>1012</v>
      </c>
      <c r="F221" s="4" t="s">
        <v>1013</v>
      </c>
      <c r="G221" s="4" t="s">
        <v>1014</v>
      </c>
      <c r="H221" s="5">
        <v>3465000</v>
      </c>
      <c r="I221" s="5">
        <v>550000</v>
      </c>
      <c r="J221" s="5">
        <v>4015000</v>
      </c>
      <c r="K221" s="5">
        <v>0</v>
      </c>
      <c r="L221" s="5">
        <v>0</v>
      </c>
      <c r="M221" s="5">
        <v>0</v>
      </c>
      <c r="N221" s="5">
        <v>4015000</v>
      </c>
      <c r="O221" s="5">
        <v>0</v>
      </c>
      <c r="P221" s="5">
        <v>0</v>
      </c>
      <c r="Q221" s="3" t="s">
        <v>1015</v>
      </c>
      <c r="R221" s="3"/>
      <c r="S221" s="3"/>
      <c r="T221" s="3" t="s">
        <v>41</v>
      </c>
      <c r="U221" s="3" t="s">
        <v>34</v>
      </c>
      <c r="V221" s="3" t="s">
        <v>35</v>
      </c>
      <c r="W221" s="3" t="s">
        <v>1016</v>
      </c>
      <c r="X221" s="3"/>
      <c r="Y221" s="5">
        <v>495000</v>
      </c>
      <c r="Z221" s="5">
        <v>7</v>
      </c>
    </row>
    <row r="222" spans="1:26" ht="15.75" customHeight="1" x14ac:dyDescent="0.35">
      <c r="A222" s="2"/>
      <c r="B222" s="3" t="s">
        <v>792</v>
      </c>
      <c r="C222" s="3" t="s">
        <v>71</v>
      </c>
      <c r="D222" s="3" t="s">
        <v>95</v>
      </c>
      <c r="E222" s="3" t="s">
        <v>234</v>
      </c>
      <c r="F222" s="4" t="s">
        <v>1017</v>
      </c>
      <c r="G222" s="4" t="s">
        <v>1018</v>
      </c>
      <c r="H222" s="5">
        <v>463031</v>
      </c>
      <c r="I222" s="5">
        <v>300000</v>
      </c>
      <c r="J222" s="5">
        <v>763031</v>
      </c>
      <c r="K222" s="5">
        <v>0</v>
      </c>
      <c r="L222" s="5">
        <v>0</v>
      </c>
      <c r="M222" s="5">
        <v>0</v>
      </c>
      <c r="N222" s="5">
        <v>0</v>
      </c>
      <c r="O222" s="5">
        <v>763031</v>
      </c>
      <c r="P222" s="5">
        <v>0</v>
      </c>
      <c r="Q222" s="3" t="s">
        <v>237</v>
      </c>
      <c r="R222" s="3" t="s">
        <v>34</v>
      </c>
      <c r="S222" s="3" t="s">
        <v>34</v>
      </c>
      <c r="T222" s="3" t="s">
        <v>48</v>
      </c>
      <c r="U222" s="3" t="s">
        <v>34</v>
      </c>
      <c r="V222" s="3" t="s">
        <v>35</v>
      </c>
      <c r="W222" s="3" t="s">
        <v>1019</v>
      </c>
      <c r="X222" s="3" t="s">
        <v>1020</v>
      </c>
      <c r="Y222" s="5">
        <v>463031</v>
      </c>
      <c r="Z222" s="5">
        <v>1</v>
      </c>
    </row>
    <row r="223" spans="1:26" ht="15.75" customHeight="1" x14ac:dyDescent="0.35">
      <c r="A223" s="2"/>
      <c r="B223" s="3" t="s">
        <v>890</v>
      </c>
      <c r="C223" s="3" t="s">
        <v>29</v>
      </c>
      <c r="D223" s="3" t="s">
        <v>30</v>
      </c>
      <c r="E223" s="3" t="s">
        <v>1021</v>
      </c>
      <c r="F223" s="4" t="s">
        <v>1022</v>
      </c>
      <c r="G223" s="4" t="s">
        <v>1023</v>
      </c>
      <c r="H223" s="5">
        <v>770000</v>
      </c>
      <c r="I223" s="5">
        <v>0</v>
      </c>
      <c r="J223" s="5">
        <v>770000</v>
      </c>
      <c r="K223" s="5">
        <v>0</v>
      </c>
      <c r="L223" s="5">
        <v>0</v>
      </c>
      <c r="M223" s="5">
        <v>0</v>
      </c>
      <c r="N223" s="5">
        <v>770000</v>
      </c>
      <c r="O223" s="5">
        <v>0</v>
      </c>
      <c r="P223" s="5">
        <v>0</v>
      </c>
      <c r="Q223" s="3" t="s">
        <v>1024</v>
      </c>
      <c r="R223" s="3"/>
      <c r="S223" s="3"/>
      <c r="T223" s="3" t="s">
        <v>41</v>
      </c>
      <c r="U223" s="3" t="s">
        <v>34</v>
      </c>
      <c r="V223" s="3" t="s">
        <v>35</v>
      </c>
      <c r="W223" s="3" t="s">
        <v>1025</v>
      </c>
      <c r="X223" s="3"/>
      <c r="Y223" s="5">
        <v>770000</v>
      </c>
      <c r="Z223" s="5">
        <v>1</v>
      </c>
    </row>
    <row r="224" spans="1:26" ht="15.75" customHeight="1" x14ac:dyDescent="0.35">
      <c r="A224" s="2"/>
      <c r="B224" s="3" t="s">
        <v>644</v>
      </c>
      <c r="C224" s="3" t="s">
        <v>64</v>
      </c>
      <c r="D224" s="3" t="s">
        <v>76</v>
      </c>
      <c r="E224" s="3" t="s">
        <v>861</v>
      </c>
      <c r="F224" s="4" t="s">
        <v>868</v>
      </c>
      <c r="G224" s="4" t="s">
        <v>1026</v>
      </c>
      <c r="H224" s="5">
        <v>3600000</v>
      </c>
      <c r="I224" s="5">
        <v>0</v>
      </c>
      <c r="J224" s="5">
        <v>3600000</v>
      </c>
      <c r="K224" s="5">
        <v>0</v>
      </c>
      <c r="L224" s="5">
        <v>0</v>
      </c>
      <c r="M224" s="5">
        <v>0</v>
      </c>
      <c r="N224" s="5">
        <v>3600000</v>
      </c>
      <c r="O224" s="5">
        <v>0</v>
      </c>
      <c r="P224" s="5">
        <v>0</v>
      </c>
      <c r="Q224" s="3" t="s">
        <v>864</v>
      </c>
      <c r="R224" s="3" t="s">
        <v>34</v>
      </c>
      <c r="S224" s="3" t="s">
        <v>865</v>
      </c>
      <c r="T224" s="3" t="s">
        <v>41</v>
      </c>
      <c r="U224" s="3" t="s">
        <v>34</v>
      </c>
      <c r="V224" s="3" t="s">
        <v>35</v>
      </c>
      <c r="W224" s="3" t="s">
        <v>918</v>
      </c>
      <c r="X224" s="3"/>
      <c r="Y224" s="5">
        <v>514285.71419999999</v>
      </c>
      <c r="Z224" s="5">
        <v>7</v>
      </c>
    </row>
    <row r="225" spans="1:26" ht="15.75" customHeight="1" x14ac:dyDescent="0.35">
      <c r="A225" s="2"/>
      <c r="B225" s="3" t="s">
        <v>819</v>
      </c>
      <c r="C225" s="3" t="s">
        <v>59</v>
      </c>
      <c r="D225" s="3" t="s">
        <v>193</v>
      </c>
      <c r="E225" s="3" t="s">
        <v>1027</v>
      </c>
      <c r="F225" s="4" t="s">
        <v>1028</v>
      </c>
      <c r="G225" s="4" t="s">
        <v>1029</v>
      </c>
      <c r="H225" s="5">
        <v>495000</v>
      </c>
      <c r="I225" s="5">
        <v>0</v>
      </c>
      <c r="J225" s="5">
        <v>495000</v>
      </c>
      <c r="K225" s="5">
        <v>0</v>
      </c>
      <c r="L225" s="5">
        <v>245000</v>
      </c>
      <c r="M225" s="5">
        <v>0</v>
      </c>
      <c r="N225" s="5">
        <v>250000</v>
      </c>
      <c r="O225" s="5">
        <v>0</v>
      </c>
      <c r="P225" s="5">
        <v>0</v>
      </c>
      <c r="Q225" s="3" t="s">
        <v>1030</v>
      </c>
      <c r="R225" s="3" t="s">
        <v>34</v>
      </c>
      <c r="S225" s="3" t="s">
        <v>34</v>
      </c>
      <c r="T225" s="3" t="s">
        <v>41</v>
      </c>
      <c r="U225" s="3" t="s">
        <v>34</v>
      </c>
      <c r="V225" s="3" t="s">
        <v>35</v>
      </c>
      <c r="W225" s="3" t="s">
        <v>1031</v>
      </c>
      <c r="X225" s="3"/>
      <c r="Y225" s="5">
        <v>495000</v>
      </c>
      <c r="Z225" s="5">
        <v>1</v>
      </c>
    </row>
    <row r="226" spans="1:26" ht="15.75" customHeight="1" x14ac:dyDescent="0.35">
      <c r="A226" s="2"/>
      <c r="B226" s="3" t="s">
        <v>1016</v>
      </c>
      <c r="C226" s="3" t="s">
        <v>71</v>
      </c>
      <c r="D226" s="3" t="s">
        <v>72</v>
      </c>
      <c r="E226" s="3" t="s">
        <v>1032</v>
      </c>
      <c r="F226" s="4" t="s">
        <v>1033</v>
      </c>
      <c r="G226" s="4" t="s">
        <v>1029</v>
      </c>
      <c r="H226" s="5">
        <v>580000</v>
      </c>
      <c r="I226" s="5">
        <v>0</v>
      </c>
      <c r="J226" s="5">
        <v>580000</v>
      </c>
      <c r="K226" s="5">
        <v>0</v>
      </c>
      <c r="L226" s="5">
        <v>0</v>
      </c>
      <c r="M226" s="5">
        <v>0</v>
      </c>
      <c r="N226" s="5">
        <v>580000</v>
      </c>
      <c r="O226" s="5">
        <v>0</v>
      </c>
      <c r="P226" s="5">
        <v>0</v>
      </c>
      <c r="Q226" s="3" t="s">
        <v>1034</v>
      </c>
      <c r="R226" s="3"/>
      <c r="S226" s="3"/>
      <c r="T226" s="3" t="s">
        <v>41</v>
      </c>
      <c r="U226" s="3" t="s">
        <v>34</v>
      </c>
      <c r="V226" s="3" t="s">
        <v>35</v>
      </c>
      <c r="W226" s="3" t="s">
        <v>1035</v>
      </c>
      <c r="X226" s="3"/>
      <c r="Y226" s="5">
        <v>580000</v>
      </c>
      <c r="Z226" s="5">
        <v>1</v>
      </c>
    </row>
    <row r="227" spans="1:26" ht="15.75" customHeight="1" x14ac:dyDescent="0.35">
      <c r="A227" s="2"/>
      <c r="B227" s="3" t="s">
        <v>1036</v>
      </c>
      <c r="C227" s="3" t="s">
        <v>29</v>
      </c>
      <c r="D227" s="3" t="s">
        <v>43</v>
      </c>
      <c r="E227" s="3" t="s">
        <v>1037</v>
      </c>
      <c r="F227" s="4" t="s">
        <v>1038</v>
      </c>
      <c r="G227" s="4" t="s">
        <v>1039</v>
      </c>
      <c r="H227" s="5">
        <v>2400000</v>
      </c>
      <c r="I227" s="5">
        <v>30000</v>
      </c>
      <c r="J227" s="5">
        <v>2430000</v>
      </c>
      <c r="K227" s="5">
        <v>0</v>
      </c>
      <c r="L227" s="5">
        <v>2430000</v>
      </c>
      <c r="M227" s="5">
        <v>0</v>
      </c>
      <c r="N227" s="5">
        <v>0</v>
      </c>
      <c r="O227" s="5">
        <v>0</v>
      </c>
      <c r="P227" s="5">
        <v>0</v>
      </c>
      <c r="Q227" s="3" t="s">
        <v>34</v>
      </c>
      <c r="R227" s="3" t="s">
        <v>34</v>
      </c>
      <c r="S227" s="3" t="s">
        <v>34</v>
      </c>
      <c r="T227" s="3" t="s">
        <v>41</v>
      </c>
      <c r="U227" s="3" t="s">
        <v>34</v>
      </c>
      <c r="V227" s="3" t="s">
        <v>35</v>
      </c>
      <c r="W227" s="3" t="s">
        <v>1040</v>
      </c>
      <c r="X227" s="3"/>
      <c r="Y227" s="5">
        <v>800000</v>
      </c>
      <c r="Z227" s="5">
        <v>3</v>
      </c>
    </row>
    <row r="228" spans="1:26" ht="15.75" customHeight="1" x14ac:dyDescent="0.35">
      <c r="A228" s="2"/>
      <c r="B228" s="3" t="s">
        <v>943</v>
      </c>
      <c r="C228" s="3" t="s">
        <v>59</v>
      </c>
      <c r="D228" s="3" t="s">
        <v>122</v>
      </c>
      <c r="E228" s="3" t="s">
        <v>1041</v>
      </c>
      <c r="F228" s="4" t="s">
        <v>1042</v>
      </c>
      <c r="G228" s="4" t="s">
        <v>1039</v>
      </c>
      <c r="H228" s="5">
        <v>1200000</v>
      </c>
      <c r="I228" s="5">
        <v>0</v>
      </c>
      <c r="J228" s="5">
        <v>1200000</v>
      </c>
      <c r="K228" s="5">
        <v>0</v>
      </c>
      <c r="L228" s="5">
        <v>1200000</v>
      </c>
      <c r="M228" s="5">
        <v>0</v>
      </c>
      <c r="N228" s="5">
        <v>0</v>
      </c>
      <c r="O228" s="5">
        <v>0</v>
      </c>
      <c r="P228" s="5">
        <v>0</v>
      </c>
      <c r="Q228" s="3" t="s">
        <v>34</v>
      </c>
      <c r="R228" s="3" t="s">
        <v>34</v>
      </c>
      <c r="S228" s="3" t="s">
        <v>34</v>
      </c>
      <c r="T228" s="3" t="s">
        <v>41</v>
      </c>
      <c r="U228" s="3" t="s">
        <v>34</v>
      </c>
      <c r="V228" s="3" t="s">
        <v>35</v>
      </c>
      <c r="W228" s="3" t="s">
        <v>1043</v>
      </c>
      <c r="X228" s="3"/>
      <c r="Y228" s="5">
        <v>1200000</v>
      </c>
      <c r="Z228" s="5">
        <v>1</v>
      </c>
    </row>
    <row r="229" spans="1:26" ht="15.75" customHeight="1" x14ac:dyDescent="0.35">
      <c r="A229" s="2"/>
      <c r="B229" s="3" t="s">
        <v>654</v>
      </c>
      <c r="C229" s="3" t="s">
        <v>64</v>
      </c>
      <c r="D229" s="3" t="s">
        <v>89</v>
      </c>
      <c r="E229" s="3" t="s">
        <v>1044</v>
      </c>
      <c r="F229" s="4" t="s">
        <v>1045</v>
      </c>
      <c r="G229" s="4" t="s">
        <v>1046</v>
      </c>
      <c r="H229" s="5">
        <v>5691600</v>
      </c>
      <c r="I229" s="5">
        <v>0</v>
      </c>
      <c r="J229" s="5">
        <v>5691600</v>
      </c>
      <c r="K229" s="5">
        <v>0</v>
      </c>
      <c r="L229" s="5">
        <v>0</v>
      </c>
      <c r="M229" s="5">
        <v>0</v>
      </c>
      <c r="N229" s="5">
        <v>0</v>
      </c>
      <c r="O229" s="5">
        <v>5691600</v>
      </c>
      <c r="P229" s="5">
        <v>0</v>
      </c>
      <c r="Q229" s="3" t="s">
        <v>738</v>
      </c>
      <c r="R229" s="3" t="s">
        <v>34</v>
      </c>
      <c r="S229" s="3" t="s">
        <v>34</v>
      </c>
      <c r="T229" s="3" t="s">
        <v>48</v>
      </c>
      <c r="U229" s="3" t="s">
        <v>34</v>
      </c>
      <c r="V229" s="3" t="s">
        <v>35</v>
      </c>
      <c r="W229" s="3" t="s">
        <v>921</v>
      </c>
      <c r="X229" s="3" t="s">
        <v>1047</v>
      </c>
      <c r="Y229" s="5">
        <v>437815.38459999999</v>
      </c>
      <c r="Z229" s="5">
        <v>13</v>
      </c>
    </row>
    <row r="230" spans="1:26" ht="15.75" customHeight="1" x14ac:dyDescent="0.35">
      <c r="A230" s="2"/>
      <c r="B230" s="3" t="s">
        <v>908</v>
      </c>
      <c r="C230" s="3" t="s">
        <v>71</v>
      </c>
      <c r="D230" s="3" t="s">
        <v>95</v>
      </c>
      <c r="E230" s="3" t="s">
        <v>1048</v>
      </c>
      <c r="F230" s="4" t="s">
        <v>1049</v>
      </c>
      <c r="G230" s="4" t="s">
        <v>1050</v>
      </c>
      <c r="H230" s="5">
        <v>430000</v>
      </c>
      <c r="I230" s="5">
        <v>0</v>
      </c>
      <c r="J230" s="5">
        <v>430000</v>
      </c>
      <c r="K230" s="5">
        <v>0</v>
      </c>
      <c r="L230" s="5">
        <v>430000</v>
      </c>
      <c r="M230" s="5">
        <v>0</v>
      </c>
      <c r="N230" s="5">
        <v>0</v>
      </c>
      <c r="O230" s="5">
        <v>0</v>
      </c>
      <c r="P230" s="5">
        <v>0</v>
      </c>
      <c r="Q230" s="3"/>
      <c r="R230" s="3"/>
      <c r="S230" s="3"/>
      <c r="T230" s="3" t="s">
        <v>41</v>
      </c>
      <c r="U230" s="3" t="s">
        <v>34</v>
      </c>
      <c r="V230" s="3" t="s">
        <v>35</v>
      </c>
      <c r="W230" s="3" t="s">
        <v>1051</v>
      </c>
      <c r="X230" s="3"/>
      <c r="Y230" s="5">
        <v>430000</v>
      </c>
      <c r="Z230" s="5">
        <v>1</v>
      </c>
    </row>
    <row r="231" spans="1:26" ht="15.75" customHeight="1" x14ac:dyDescent="0.35">
      <c r="A231" s="2"/>
      <c r="B231" s="3" t="s">
        <v>769</v>
      </c>
      <c r="C231" s="3" t="s">
        <v>64</v>
      </c>
      <c r="D231" s="3" t="s">
        <v>99</v>
      </c>
      <c r="E231" s="3" t="s">
        <v>226</v>
      </c>
      <c r="F231" s="4" t="s">
        <v>1052</v>
      </c>
      <c r="G231" s="4" t="s">
        <v>1053</v>
      </c>
      <c r="H231" s="5">
        <v>1485000</v>
      </c>
      <c r="I231" s="5">
        <v>0</v>
      </c>
      <c r="J231" s="5">
        <v>1485000</v>
      </c>
      <c r="K231" s="5">
        <v>0</v>
      </c>
      <c r="L231" s="5">
        <v>1485000</v>
      </c>
      <c r="M231" s="5">
        <v>0</v>
      </c>
      <c r="N231" s="5">
        <v>0</v>
      </c>
      <c r="O231" s="5">
        <v>0</v>
      </c>
      <c r="P231" s="5">
        <v>0</v>
      </c>
      <c r="Q231" s="3"/>
      <c r="R231" s="3"/>
      <c r="S231" s="3"/>
      <c r="T231" s="3" t="s">
        <v>41</v>
      </c>
      <c r="U231" s="3" t="s">
        <v>34</v>
      </c>
      <c r="V231" s="3" t="s">
        <v>35</v>
      </c>
      <c r="W231" s="3" t="s">
        <v>1054</v>
      </c>
      <c r="X231" s="3"/>
      <c r="Y231" s="5">
        <v>495000</v>
      </c>
      <c r="Z231" s="5">
        <v>3</v>
      </c>
    </row>
    <row r="232" spans="1:26" ht="15.75" customHeight="1" x14ac:dyDescent="0.35">
      <c r="A232" s="2"/>
      <c r="B232" s="3" t="s">
        <v>769</v>
      </c>
      <c r="C232" s="3" t="s">
        <v>59</v>
      </c>
      <c r="D232" s="3" t="s">
        <v>182</v>
      </c>
      <c r="E232" s="3" t="s">
        <v>1055</v>
      </c>
      <c r="F232" s="4" t="s">
        <v>1052</v>
      </c>
      <c r="G232" s="4" t="s">
        <v>1053</v>
      </c>
      <c r="H232" s="5">
        <v>1485000</v>
      </c>
      <c r="I232" s="5">
        <v>110000</v>
      </c>
      <c r="J232" s="5">
        <v>1595000</v>
      </c>
      <c r="K232" s="5">
        <v>0</v>
      </c>
      <c r="L232" s="5">
        <v>1095000</v>
      </c>
      <c r="M232" s="5">
        <v>0</v>
      </c>
      <c r="N232" s="5">
        <v>500000</v>
      </c>
      <c r="O232" s="5">
        <v>0</v>
      </c>
      <c r="P232" s="5">
        <v>0</v>
      </c>
      <c r="Q232" s="3" t="s">
        <v>1056</v>
      </c>
      <c r="R232" s="3" t="s">
        <v>34</v>
      </c>
      <c r="S232" s="3" t="s">
        <v>34</v>
      </c>
      <c r="T232" s="3" t="s">
        <v>41</v>
      </c>
      <c r="U232" s="3" t="s">
        <v>34</v>
      </c>
      <c r="V232" s="3" t="s">
        <v>35</v>
      </c>
      <c r="W232" s="3" t="s">
        <v>1057</v>
      </c>
      <c r="X232" s="3"/>
      <c r="Y232" s="5">
        <v>495000</v>
      </c>
      <c r="Z232" s="5">
        <v>3</v>
      </c>
    </row>
    <row r="233" spans="1:26" ht="15.75" customHeight="1" x14ac:dyDescent="0.35">
      <c r="A233" s="2"/>
      <c r="B233" s="3" t="s">
        <v>937</v>
      </c>
      <c r="C233" s="3" t="s">
        <v>29</v>
      </c>
      <c r="D233" s="3" t="s">
        <v>43</v>
      </c>
      <c r="E233" s="3" t="s">
        <v>1058</v>
      </c>
      <c r="F233" s="4" t="s">
        <v>1059</v>
      </c>
      <c r="G233" s="4" t="s">
        <v>1060</v>
      </c>
      <c r="H233" s="5">
        <v>899000</v>
      </c>
      <c r="I233" s="5">
        <v>0</v>
      </c>
      <c r="J233" s="5">
        <v>899000</v>
      </c>
      <c r="K233" s="5">
        <v>0</v>
      </c>
      <c r="L233" s="5">
        <v>0</v>
      </c>
      <c r="M233" s="5">
        <v>0</v>
      </c>
      <c r="N233" s="5">
        <v>899000</v>
      </c>
      <c r="O233" s="5">
        <v>0</v>
      </c>
      <c r="P233" s="5">
        <v>0</v>
      </c>
      <c r="Q233" s="3" t="s">
        <v>1061</v>
      </c>
      <c r="R233" s="3" t="s">
        <v>34</v>
      </c>
      <c r="S233" s="3" t="s">
        <v>1062</v>
      </c>
      <c r="T233" s="3" t="s">
        <v>41</v>
      </c>
      <c r="U233" s="3" t="s">
        <v>34</v>
      </c>
      <c r="V233" s="3" t="s">
        <v>35</v>
      </c>
      <c r="W233" s="3" t="s">
        <v>1063</v>
      </c>
      <c r="X233" s="3"/>
      <c r="Y233" s="5">
        <v>899000</v>
      </c>
      <c r="Z233" s="5">
        <v>1</v>
      </c>
    </row>
    <row r="234" spans="1:26" ht="15.75" customHeight="1" x14ac:dyDescent="0.35">
      <c r="A234" s="2"/>
      <c r="B234" s="3" t="s">
        <v>880</v>
      </c>
      <c r="C234" s="3" t="s">
        <v>64</v>
      </c>
      <c r="D234" s="3" t="s">
        <v>76</v>
      </c>
      <c r="E234" s="3" t="s">
        <v>1064</v>
      </c>
      <c r="F234" s="4" t="s">
        <v>1065</v>
      </c>
      <c r="G234" s="4" t="s">
        <v>1066</v>
      </c>
      <c r="H234" s="5">
        <v>1198000</v>
      </c>
      <c r="I234" s="5">
        <v>0</v>
      </c>
      <c r="J234" s="5">
        <v>1078200</v>
      </c>
      <c r="K234" s="5">
        <v>0</v>
      </c>
      <c r="L234" s="5">
        <v>0</v>
      </c>
      <c r="M234" s="5">
        <v>0</v>
      </c>
      <c r="N234" s="5">
        <v>1078200</v>
      </c>
      <c r="O234" s="5">
        <v>0</v>
      </c>
      <c r="P234" s="5">
        <v>0</v>
      </c>
      <c r="Q234" s="3" t="s">
        <v>1067</v>
      </c>
      <c r="R234" s="3" t="s">
        <v>1068</v>
      </c>
      <c r="S234" s="3" t="s">
        <v>1069</v>
      </c>
      <c r="T234" s="3" t="s">
        <v>41</v>
      </c>
      <c r="U234" s="3" t="s">
        <v>34</v>
      </c>
      <c r="V234" s="3" t="s">
        <v>35</v>
      </c>
      <c r="W234" s="3" t="s">
        <v>1070</v>
      </c>
      <c r="X234" s="3" t="s">
        <v>1071</v>
      </c>
      <c r="Y234" s="5">
        <v>599000</v>
      </c>
      <c r="Z234" s="5">
        <v>2</v>
      </c>
    </row>
    <row r="235" spans="1:26" ht="15.75" customHeight="1" x14ac:dyDescent="0.35">
      <c r="A235" s="2"/>
      <c r="B235" s="3" t="s">
        <v>873</v>
      </c>
      <c r="C235" s="3" t="s">
        <v>29</v>
      </c>
      <c r="D235" s="3" t="s">
        <v>413</v>
      </c>
      <c r="E235" s="3" t="s">
        <v>1072</v>
      </c>
      <c r="F235" s="4" t="s">
        <v>1073</v>
      </c>
      <c r="G235" s="4" t="s">
        <v>1074</v>
      </c>
      <c r="H235" s="5">
        <v>649000</v>
      </c>
      <c r="I235" s="5">
        <v>0</v>
      </c>
      <c r="J235" s="5">
        <v>584100</v>
      </c>
      <c r="K235" s="5">
        <v>0</v>
      </c>
      <c r="L235" s="5">
        <v>0</v>
      </c>
      <c r="M235" s="5">
        <v>0</v>
      </c>
      <c r="N235" s="5">
        <v>584100</v>
      </c>
      <c r="O235" s="5">
        <v>0</v>
      </c>
      <c r="P235" s="5">
        <v>0</v>
      </c>
      <c r="Q235" s="3" t="s">
        <v>1075</v>
      </c>
      <c r="R235" s="3" t="s">
        <v>1076</v>
      </c>
      <c r="S235" s="3" t="s">
        <v>1077</v>
      </c>
      <c r="T235" s="3" t="s">
        <v>41</v>
      </c>
      <c r="U235" s="3" t="s">
        <v>34</v>
      </c>
      <c r="V235" s="3" t="s">
        <v>35</v>
      </c>
      <c r="W235" s="3" t="s">
        <v>1078</v>
      </c>
      <c r="X235" s="3" t="s">
        <v>1079</v>
      </c>
      <c r="Y235" s="5">
        <v>649000</v>
      </c>
      <c r="Z235" s="5">
        <v>1</v>
      </c>
    </row>
    <row r="236" spans="1:26" ht="15.75" customHeight="1" x14ac:dyDescent="0.35">
      <c r="A236" s="2"/>
      <c r="B236" s="3" t="s">
        <v>899</v>
      </c>
      <c r="C236" s="3" t="s">
        <v>71</v>
      </c>
      <c r="D236" s="3" t="s">
        <v>72</v>
      </c>
      <c r="E236" s="3" t="s">
        <v>1080</v>
      </c>
      <c r="F236" s="4" t="s">
        <v>1081</v>
      </c>
      <c r="G236" s="4" t="s">
        <v>1082</v>
      </c>
      <c r="H236" s="5">
        <v>674100</v>
      </c>
      <c r="I236" s="5">
        <v>0</v>
      </c>
      <c r="J236" s="5">
        <v>674100</v>
      </c>
      <c r="K236" s="5">
        <v>0</v>
      </c>
      <c r="L236" s="5">
        <v>0</v>
      </c>
      <c r="M236" s="5">
        <v>0</v>
      </c>
      <c r="N236" s="5">
        <v>674100</v>
      </c>
      <c r="O236" s="5">
        <v>0</v>
      </c>
      <c r="P236" s="5">
        <v>0</v>
      </c>
      <c r="Q236" s="3" t="s">
        <v>1083</v>
      </c>
      <c r="R236" s="3" t="s">
        <v>34</v>
      </c>
      <c r="S236" s="3" t="s">
        <v>1084</v>
      </c>
      <c r="T236" s="3" t="s">
        <v>41</v>
      </c>
      <c r="U236" s="3" t="s">
        <v>34</v>
      </c>
      <c r="V236" s="3" t="s">
        <v>35</v>
      </c>
      <c r="W236" s="3" t="s">
        <v>1085</v>
      </c>
      <c r="X236" s="3"/>
      <c r="Y236" s="5">
        <v>674100</v>
      </c>
      <c r="Z236" s="5">
        <v>1</v>
      </c>
    </row>
    <row r="237" spans="1:26" ht="15.75" customHeight="1" x14ac:dyDescent="0.35">
      <c r="A237" s="2"/>
      <c r="B237" s="3" t="s">
        <v>957</v>
      </c>
      <c r="C237" s="3" t="s">
        <v>71</v>
      </c>
      <c r="D237" s="3" t="s">
        <v>1086</v>
      </c>
      <c r="E237" s="3" t="s">
        <v>1087</v>
      </c>
      <c r="F237" s="4" t="s">
        <v>1088</v>
      </c>
      <c r="G237" s="4" t="s">
        <v>1089</v>
      </c>
      <c r="H237" s="5">
        <v>649000</v>
      </c>
      <c r="I237" s="5">
        <v>0</v>
      </c>
      <c r="J237" s="5">
        <v>584100</v>
      </c>
      <c r="K237" s="5">
        <v>0</v>
      </c>
      <c r="L237" s="5">
        <v>0</v>
      </c>
      <c r="M237" s="5">
        <v>0</v>
      </c>
      <c r="N237" s="5">
        <v>584100</v>
      </c>
      <c r="O237" s="5">
        <v>0</v>
      </c>
      <c r="P237" s="5">
        <v>0</v>
      </c>
      <c r="Q237" s="3" t="s">
        <v>1090</v>
      </c>
      <c r="R237" s="3" t="s">
        <v>1091</v>
      </c>
      <c r="S237" s="3" t="s">
        <v>34</v>
      </c>
      <c r="T237" s="3" t="s">
        <v>48</v>
      </c>
      <c r="U237" s="3" t="s">
        <v>34</v>
      </c>
      <c r="V237" s="3" t="s">
        <v>35</v>
      </c>
      <c r="W237" s="3" t="s">
        <v>1092</v>
      </c>
      <c r="X237" s="3" t="s">
        <v>1093</v>
      </c>
      <c r="Y237" s="5">
        <v>649000</v>
      </c>
      <c r="Z237" s="5">
        <v>1</v>
      </c>
    </row>
    <row r="238" spans="1:26" ht="15.75" customHeight="1" x14ac:dyDescent="0.35">
      <c r="A238" s="2"/>
      <c r="B238" s="3" t="s">
        <v>997</v>
      </c>
      <c r="C238" s="3" t="s">
        <v>29</v>
      </c>
      <c r="D238" s="3" t="s">
        <v>43</v>
      </c>
      <c r="E238" s="3" t="s">
        <v>226</v>
      </c>
      <c r="F238" s="4" t="s">
        <v>1094</v>
      </c>
      <c r="G238" s="4" t="s">
        <v>1095</v>
      </c>
      <c r="H238" s="5">
        <v>400000</v>
      </c>
      <c r="I238" s="5">
        <v>0</v>
      </c>
      <c r="J238" s="5">
        <v>400000</v>
      </c>
      <c r="K238" s="5">
        <v>0</v>
      </c>
      <c r="L238" s="5">
        <v>400000</v>
      </c>
      <c r="M238" s="5">
        <v>0</v>
      </c>
      <c r="N238" s="5">
        <v>0</v>
      </c>
      <c r="O238" s="5">
        <v>0</v>
      </c>
      <c r="P238" s="5">
        <v>0</v>
      </c>
      <c r="Q238" s="3"/>
      <c r="R238" s="3"/>
      <c r="S238" s="3"/>
      <c r="T238" s="3" t="s">
        <v>41</v>
      </c>
      <c r="U238" s="3" t="s">
        <v>34</v>
      </c>
      <c r="V238" s="3" t="s">
        <v>35</v>
      </c>
      <c r="W238" s="3" t="s">
        <v>37</v>
      </c>
      <c r="X238" s="3"/>
      <c r="Y238" s="5">
        <v>400000</v>
      </c>
      <c r="Z238" s="5">
        <v>1</v>
      </c>
    </row>
    <row r="239" spans="1:26" ht="15.75" customHeight="1" x14ac:dyDescent="0.35">
      <c r="A239" s="2"/>
      <c r="B239" s="3" t="s">
        <v>985</v>
      </c>
      <c r="C239" s="3" t="s">
        <v>59</v>
      </c>
      <c r="D239" s="3" t="s">
        <v>182</v>
      </c>
      <c r="E239" s="3" t="s">
        <v>1096</v>
      </c>
      <c r="F239" s="4" t="s">
        <v>1097</v>
      </c>
      <c r="G239" s="4" t="s">
        <v>1098</v>
      </c>
      <c r="H239" s="5">
        <v>580000</v>
      </c>
      <c r="I239" s="5">
        <v>0</v>
      </c>
      <c r="J239" s="5">
        <v>580000</v>
      </c>
      <c r="K239" s="5">
        <v>0</v>
      </c>
      <c r="L239" s="5">
        <v>0</v>
      </c>
      <c r="M239" s="5">
        <v>0</v>
      </c>
      <c r="N239" s="5">
        <v>580000</v>
      </c>
      <c r="O239" s="5">
        <v>0</v>
      </c>
      <c r="P239" s="5">
        <v>0</v>
      </c>
      <c r="Q239" s="3" t="s">
        <v>1099</v>
      </c>
      <c r="R239" s="3" t="s">
        <v>34</v>
      </c>
      <c r="S239" s="3" t="s">
        <v>34</v>
      </c>
      <c r="T239" s="3" t="s">
        <v>41</v>
      </c>
      <c r="U239" s="3" t="s">
        <v>34</v>
      </c>
      <c r="V239" s="3" t="s">
        <v>35</v>
      </c>
      <c r="W239" s="3" t="s">
        <v>76</v>
      </c>
      <c r="X239" s="3"/>
      <c r="Y239" s="5">
        <v>580000</v>
      </c>
      <c r="Z239" s="5">
        <v>1</v>
      </c>
    </row>
    <row r="240" spans="1:26" ht="15.75" customHeight="1" x14ac:dyDescent="0.35">
      <c r="A240" s="2"/>
      <c r="B240" s="3" t="s">
        <v>927</v>
      </c>
      <c r="C240" s="3" t="s">
        <v>71</v>
      </c>
      <c r="D240" s="3" t="s">
        <v>95</v>
      </c>
      <c r="E240" s="3" t="s">
        <v>1100</v>
      </c>
      <c r="F240" s="4" t="s">
        <v>1101</v>
      </c>
      <c r="G240" s="4" t="s">
        <v>1102</v>
      </c>
      <c r="H240" s="5">
        <v>570000</v>
      </c>
      <c r="I240" s="5">
        <v>0</v>
      </c>
      <c r="J240" s="5">
        <v>570000</v>
      </c>
      <c r="K240" s="5">
        <v>0</v>
      </c>
      <c r="L240" s="5">
        <v>0</v>
      </c>
      <c r="M240" s="5">
        <v>0</v>
      </c>
      <c r="N240" s="5">
        <v>570000</v>
      </c>
      <c r="O240" s="5">
        <v>0</v>
      </c>
      <c r="P240" s="5">
        <v>0</v>
      </c>
      <c r="Q240" s="3" t="s">
        <v>1103</v>
      </c>
      <c r="R240" s="3" t="s">
        <v>34</v>
      </c>
      <c r="S240" s="3" t="s">
        <v>34</v>
      </c>
      <c r="T240" s="3" t="s">
        <v>41</v>
      </c>
      <c r="U240" s="3" t="s">
        <v>34</v>
      </c>
      <c r="V240" s="3" t="s">
        <v>35</v>
      </c>
      <c r="W240" s="3" t="s">
        <v>1104</v>
      </c>
      <c r="X240" s="3"/>
      <c r="Y240" s="5">
        <v>570000</v>
      </c>
      <c r="Z240" s="5">
        <v>1</v>
      </c>
    </row>
    <row r="241" spans="1:26" ht="15.75" customHeight="1" x14ac:dyDescent="0.35">
      <c r="A241" s="2"/>
      <c r="B241" s="3" t="s">
        <v>1105</v>
      </c>
      <c r="C241" s="3" t="s">
        <v>64</v>
      </c>
      <c r="D241" s="3" t="s">
        <v>99</v>
      </c>
      <c r="E241" s="3" t="s">
        <v>1106</v>
      </c>
      <c r="F241" s="4" t="s">
        <v>1097</v>
      </c>
      <c r="G241" s="4" t="s">
        <v>1107</v>
      </c>
      <c r="H241" s="5">
        <v>494712</v>
      </c>
      <c r="I241" s="5">
        <v>0</v>
      </c>
      <c r="J241" s="5">
        <v>494712</v>
      </c>
      <c r="K241" s="5">
        <v>0</v>
      </c>
      <c r="L241" s="5">
        <v>0</v>
      </c>
      <c r="M241" s="5">
        <v>0</v>
      </c>
      <c r="N241" s="5">
        <v>0</v>
      </c>
      <c r="O241" s="5">
        <v>494712</v>
      </c>
      <c r="P241" s="5">
        <v>0</v>
      </c>
      <c r="Q241" s="3" t="s">
        <v>1108</v>
      </c>
      <c r="R241" s="3" t="s">
        <v>34</v>
      </c>
      <c r="S241" s="3" t="s">
        <v>34</v>
      </c>
      <c r="T241" s="3" t="s">
        <v>48</v>
      </c>
      <c r="U241" s="3" t="s">
        <v>34</v>
      </c>
      <c r="V241" s="3" t="s">
        <v>35</v>
      </c>
      <c r="W241" s="3" t="s">
        <v>1109</v>
      </c>
      <c r="X241" s="3" t="s">
        <v>1110</v>
      </c>
      <c r="Y241" s="5">
        <v>494712</v>
      </c>
      <c r="Z241" s="5">
        <v>1</v>
      </c>
    </row>
    <row r="242" spans="1:26" ht="15.75" customHeight="1" x14ac:dyDescent="0.35">
      <c r="A242" s="2"/>
      <c r="B242" s="3" t="s">
        <v>986</v>
      </c>
      <c r="C242" s="3" t="s">
        <v>29</v>
      </c>
      <c r="D242" s="3" t="s">
        <v>413</v>
      </c>
      <c r="E242" s="3" t="s">
        <v>1111</v>
      </c>
      <c r="F242" s="4" t="s">
        <v>1112</v>
      </c>
      <c r="G242" s="4" t="s">
        <v>1113</v>
      </c>
      <c r="H242" s="5">
        <v>490000</v>
      </c>
      <c r="I242" s="5">
        <v>0</v>
      </c>
      <c r="J242" s="5">
        <v>490000</v>
      </c>
      <c r="K242" s="5">
        <v>0</v>
      </c>
      <c r="L242" s="5">
        <v>490000</v>
      </c>
      <c r="M242" s="5">
        <v>0</v>
      </c>
      <c r="N242" s="5">
        <v>0</v>
      </c>
      <c r="O242" s="5">
        <v>0</v>
      </c>
      <c r="P242" s="5">
        <v>0</v>
      </c>
      <c r="Q242" s="3" t="s">
        <v>34</v>
      </c>
      <c r="R242" s="3" t="s">
        <v>34</v>
      </c>
      <c r="S242" s="3" t="s">
        <v>34</v>
      </c>
      <c r="T242" s="3" t="s">
        <v>41</v>
      </c>
      <c r="U242" s="3" t="s">
        <v>34</v>
      </c>
      <c r="V242" s="3" t="s">
        <v>35</v>
      </c>
      <c r="W242" s="3" t="s">
        <v>60</v>
      </c>
      <c r="X242" s="3"/>
      <c r="Y242" s="5">
        <v>490000</v>
      </c>
      <c r="Z242" s="5">
        <v>1</v>
      </c>
    </row>
    <row r="243" spans="1:26" ht="15.75" customHeight="1" x14ac:dyDescent="0.35">
      <c r="A243" s="2"/>
      <c r="B243" s="3" t="s">
        <v>911</v>
      </c>
      <c r="C243" s="3" t="s">
        <v>71</v>
      </c>
      <c r="D243" s="3" t="s">
        <v>72</v>
      </c>
      <c r="E243" s="3" t="s">
        <v>1114</v>
      </c>
      <c r="F243" s="4" t="s">
        <v>1112</v>
      </c>
      <c r="G243" s="4" t="s">
        <v>1115</v>
      </c>
      <c r="H243" s="5">
        <v>650000</v>
      </c>
      <c r="I243" s="5">
        <v>15000</v>
      </c>
      <c r="J243" s="5">
        <v>665000</v>
      </c>
      <c r="K243" s="5">
        <v>0</v>
      </c>
      <c r="L243" s="5">
        <v>15000</v>
      </c>
      <c r="M243" s="5">
        <v>0</v>
      </c>
      <c r="N243" s="5">
        <v>650000</v>
      </c>
      <c r="O243" s="5">
        <v>0</v>
      </c>
      <c r="P243" s="5">
        <v>0</v>
      </c>
      <c r="Q243" s="3" t="s">
        <v>1116</v>
      </c>
      <c r="R243" s="3" t="s">
        <v>34</v>
      </c>
      <c r="S243" s="3" t="s">
        <v>34</v>
      </c>
      <c r="T243" s="3" t="s">
        <v>41</v>
      </c>
      <c r="U243" s="3" t="s">
        <v>34</v>
      </c>
      <c r="V243" s="3" t="s">
        <v>35</v>
      </c>
      <c r="W243" s="3" t="s">
        <v>1117</v>
      </c>
      <c r="X243" s="3"/>
      <c r="Y243" s="5">
        <v>650000</v>
      </c>
      <c r="Z243" s="5">
        <v>1</v>
      </c>
    </row>
    <row r="244" spans="1:26" ht="15.75" customHeight="1" x14ac:dyDescent="0.35">
      <c r="A244" s="2"/>
      <c r="B244" s="3" t="s">
        <v>1118</v>
      </c>
      <c r="C244" s="3" t="s">
        <v>71</v>
      </c>
      <c r="D244" s="3" t="s">
        <v>1086</v>
      </c>
      <c r="E244" s="3" t="s">
        <v>1119</v>
      </c>
      <c r="F244" s="4" t="s">
        <v>1120</v>
      </c>
      <c r="G244" s="4" t="s">
        <v>1121</v>
      </c>
      <c r="H244" s="5">
        <v>801144</v>
      </c>
      <c r="I244" s="5">
        <v>0</v>
      </c>
      <c r="J244" s="5">
        <v>801144</v>
      </c>
      <c r="K244" s="5">
        <v>0</v>
      </c>
      <c r="L244" s="5">
        <v>0</v>
      </c>
      <c r="M244" s="5">
        <v>0</v>
      </c>
      <c r="N244" s="5">
        <v>801144</v>
      </c>
      <c r="O244" s="5">
        <v>0</v>
      </c>
      <c r="P244" s="5">
        <v>0</v>
      </c>
      <c r="Q244" s="3" t="s">
        <v>1122</v>
      </c>
      <c r="R244" s="3" t="s">
        <v>1123</v>
      </c>
      <c r="S244" s="3" t="s">
        <v>1124</v>
      </c>
      <c r="T244" s="3" t="s">
        <v>48</v>
      </c>
      <c r="U244" s="3" t="s">
        <v>34</v>
      </c>
      <c r="V244" s="3" t="s">
        <v>35</v>
      </c>
      <c r="W244" s="3" t="s">
        <v>1125</v>
      </c>
      <c r="X244" s="3" t="s">
        <v>1126</v>
      </c>
      <c r="Y244" s="5">
        <v>801144</v>
      </c>
      <c r="Z244" s="5">
        <v>1</v>
      </c>
    </row>
    <row r="245" spans="1:26" ht="15.75" customHeight="1" x14ac:dyDescent="0.35">
      <c r="A245" s="2"/>
      <c r="B245" s="3" t="s">
        <v>1057</v>
      </c>
      <c r="C245" s="3" t="s">
        <v>59</v>
      </c>
      <c r="D245" s="3" t="s">
        <v>193</v>
      </c>
      <c r="E245" s="3" t="s">
        <v>1127</v>
      </c>
      <c r="F245" s="4" t="s">
        <v>1128</v>
      </c>
      <c r="G245" s="4" t="s">
        <v>1129</v>
      </c>
      <c r="H245" s="5">
        <v>1070000</v>
      </c>
      <c r="I245" s="5">
        <v>29000</v>
      </c>
      <c r="J245" s="5">
        <v>1099000</v>
      </c>
      <c r="K245" s="5">
        <v>0</v>
      </c>
      <c r="L245" s="5">
        <v>0</v>
      </c>
      <c r="M245" s="5">
        <v>0</v>
      </c>
      <c r="N245" s="5">
        <v>1099000</v>
      </c>
      <c r="O245" s="5">
        <v>0</v>
      </c>
      <c r="P245" s="5">
        <v>0</v>
      </c>
      <c r="Q245" s="3" t="s">
        <v>34</v>
      </c>
      <c r="R245" s="3" t="s">
        <v>34</v>
      </c>
      <c r="S245" s="3" t="s">
        <v>34</v>
      </c>
      <c r="T245" s="3" t="s">
        <v>41</v>
      </c>
      <c r="U245" s="3" t="s">
        <v>34</v>
      </c>
      <c r="V245" s="3" t="s">
        <v>35</v>
      </c>
      <c r="W245" s="3" t="s">
        <v>1130</v>
      </c>
      <c r="X245" s="3"/>
      <c r="Y245" s="5">
        <v>535000</v>
      </c>
      <c r="Z245" s="5">
        <v>2</v>
      </c>
    </row>
    <row r="246" spans="1:26" ht="15.75" customHeight="1" x14ac:dyDescent="0.35">
      <c r="A246" s="2"/>
      <c r="B246" s="3" t="s">
        <v>750</v>
      </c>
      <c r="C246" s="3" t="s">
        <v>64</v>
      </c>
      <c r="D246" s="3" t="s">
        <v>65</v>
      </c>
      <c r="E246" s="3" t="s">
        <v>1131</v>
      </c>
      <c r="F246" s="4" t="s">
        <v>1132</v>
      </c>
      <c r="G246" s="4" t="s">
        <v>1133</v>
      </c>
      <c r="H246" s="5">
        <v>6180000</v>
      </c>
      <c r="I246" s="5">
        <v>440000</v>
      </c>
      <c r="J246" s="5">
        <v>6620000</v>
      </c>
      <c r="K246" s="5">
        <v>0</v>
      </c>
      <c r="L246" s="5">
        <v>6620000</v>
      </c>
      <c r="M246" s="5">
        <v>0</v>
      </c>
      <c r="N246" s="5">
        <v>0</v>
      </c>
      <c r="O246" s="5">
        <v>0</v>
      </c>
      <c r="P246" s="5">
        <v>0</v>
      </c>
      <c r="Q246" s="3" t="s">
        <v>935</v>
      </c>
      <c r="R246" s="3" t="s">
        <v>34</v>
      </c>
      <c r="S246" s="3" t="s">
        <v>1134</v>
      </c>
      <c r="T246" s="3" t="s">
        <v>41</v>
      </c>
      <c r="U246" s="3" t="s">
        <v>34</v>
      </c>
      <c r="V246" s="3" t="s">
        <v>35</v>
      </c>
      <c r="W246" s="3" t="s">
        <v>1135</v>
      </c>
      <c r="X246" s="3"/>
      <c r="Y246" s="5">
        <v>515000</v>
      </c>
      <c r="Z246" s="5">
        <v>12</v>
      </c>
    </row>
    <row r="247" spans="1:26" ht="15.75" customHeight="1" x14ac:dyDescent="0.35">
      <c r="A247" s="2"/>
      <c r="B247" s="3" t="s">
        <v>979</v>
      </c>
      <c r="C247" s="3" t="s">
        <v>64</v>
      </c>
      <c r="D247" s="3" t="s">
        <v>99</v>
      </c>
      <c r="E247" s="3" t="s">
        <v>1136</v>
      </c>
      <c r="F247" s="4" t="s">
        <v>1137</v>
      </c>
      <c r="G247" s="4" t="s">
        <v>1138</v>
      </c>
      <c r="H247" s="5">
        <v>470000</v>
      </c>
      <c r="I247" s="5">
        <v>30000</v>
      </c>
      <c r="J247" s="5">
        <v>500000</v>
      </c>
      <c r="K247" s="5">
        <v>0</v>
      </c>
      <c r="L247" s="5">
        <v>500000</v>
      </c>
      <c r="M247" s="5">
        <v>0</v>
      </c>
      <c r="N247" s="5">
        <v>0</v>
      </c>
      <c r="O247" s="5">
        <v>0</v>
      </c>
      <c r="P247" s="5">
        <v>0</v>
      </c>
      <c r="Q247" s="3"/>
      <c r="R247" s="3"/>
      <c r="S247" s="3"/>
      <c r="T247" s="3" t="s">
        <v>41</v>
      </c>
      <c r="U247" s="3" t="s">
        <v>34</v>
      </c>
      <c r="V247" s="3" t="s">
        <v>35</v>
      </c>
      <c r="W247" s="3" t="s">
        <v>1139</v>
      </c>
      <c r="X247" s="3"/>
      <c r="Y247" s="5">
        <v>470000</v>
      </c>
      <c r="Z247" s="5">
        <v>1</v>
      </c>
    </row>
    <row r="248" spans="1:26" ht="15.75" customHeight="1" x14ac:dyDescent="0.35">
      <c r="A248" s="2"/>
      <c r="B248" s="3" t="s">
        <v>916</v>
      </c>
      <c r="C248" s="3" t="s">
        <v>29</v>
      </c>
      <c r="D248" s="3" t="s">
        <v>506</v>
      </c>
      <c r="E248" s="3" t="s">
        <v>887</v>
      </c>
      <c r="F248" s="4" t="s">
        <v>1140</v>
      </c>
      <c r="G248" s="4" t="s">
        <v>1141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3"/>
      <c r="R248" s="3"/>
      <c r="S248" s="3"/>
      <c r="T248" s="3" t="s">
        <v>34</v>
      </c>
      <c r="U248" s="3" t="s">
        <v>34</v>
      </c>
      <c r="V248" s="3" t="s">
        <v>35</v>
      </c>
      <c r="W248" s="3" t="s">
        <v>1142</v>
      </c>
      <c r="X248" s="3"/>
      <c r="Y248" s="5">
        <v>0</v>
      </c>
      <c r="Z248" s="5">
        <v>4</v>
      </c>
    </row>
    <row r="249" spans="1:26" ht="15.75" customHeight="1" x14ac:dyDescent="0.35">
      <c r="A249" s="2"/>
      <c r="B249" s="3" t="s">
        <v>860</v>
      </c>
      <c r="C249" s="3" t="s">
        <v>64</v>
      </c>
      <c r="D249" s="3" t="s">
        <v>173</v>
      </c>
      <c r="E249" s="3" t="s">
        <v>1143</v>
      </c>
      <c r="F249" s="4" t="s">
        <v>1144</v>
      </c>
      <c r="G249" s="4" t="s">
        <v>1145</v>
      </c>
      <c r="H249" s="5">
        <v>1665000</v>
      </c>
      <c r="I249" s="5">
        <v>30000</v>
      </c>
      <c r="J249" s="5">
        <v>1695000</v>
      </c>
      <c r="K249" s="5">
        <v>0</v>
      </c>
      <c r="L249" s="5">
        <v>30000</v>
      </c>
      <c r="M249" s="5">
        <v>0</v>
      </c>
      <c r="N249" s="5">
        <v>1665000</v>
      </c>
      <c r="O249" s="5">
        <v>0</v>
      </c>
      <c r="P249" s="5">
        <v>0</v>
      </c>
      <c r="Q249" s="3" t="s">
        <v>1146</v>
      </c>
      <c r="R249" s="3" t="s">
        <v>34</v>
      </c>
      <c r="S249" s="3" t="s">
        <v>1147</v>
      </c>
      <c r="T249" s="3" t="s">
        <v>41</v>
      </c>
      <c r="U249" s="3" t="s">
        <v>34</v>
      </c>
      <c r="V249" s="3" t="s">
        <v>35</v>
      </c>
      <c r="W249" s="3" t="s">
        <v>1148</v>
      </c>
      <c r="X249" s="3"/>
      <c r="Y249" s="5">
        <v>555000</v>
      </c>
      <c r="Z249" s="5">
        <v>3</v>
      </c>
    </row>
    <row r="250" spans="1:26" ht="15.75" customHeight="1" x14ac:dyDescent="0.35">
      <c r="A250" s="2"/>
      <c r="B250" s="3" t="s">
        <v>885</v>
      </c>
      <c r="C250" s="3" t="s">
        <v>59</v>
      </c>
      <c r="D250" s="3" t="s">
        <v>60</v>
      </c>
      <c r="E250" s="3" t="s">
        <v>946</v>
      </c>
      <c r="F250" s="4" t="s">
        <v>1149</v>
      </c>
      <c r="G250" s="4" t="s">
        <v>1150</v>
      </c>
      <c r="H250" s="5">
        <v>4680000</v>
      </c>
      <c r="I250" s="5">
        <v>135000</v>
      </c>
      <c r="J250" s="5">
        <v>4815000</v>
      </c>
      <c r="K250" s="5">
        <v>0</v>
      </c>
      <c r="L250" s="5">
        <v>0</v>
      </c>
      <c r="M250" s="5">
        <v>0</v>
      </c>
      <c r="N250" s="5">
        <v>0</v>
      </c>
      <c r="O250" s="5">
        <v>4815000</v>
      </c>
      <c r="P250" s="5">
        <v>0</v>
      </c>
      <c r="Q250" s="3" t="s">
        <v>34</v>
      </c>
      <c r="R250" s="3" t="s">
        <v>34</v>
      </c>
      <c r="S250" s="3" t="s">
        <v>34</v>
      </c>
      <c r="T250" s="3" t="s">
        <v>41</v>
      </c>
      <c r="U250" s="3" t="s">
        <v>34</v>
      </c>
      <c r="V250" s="3" t="s">
        <v>35</v>
      </c>
      <c r="W250" s="3" t="s">
        <v>1118</v>
      </c>
      <c r="X250" s="3"/>
      <c r="Y250" s="5">
        <v>585000</v>
      </c>
      <c r="Z250" s="5">
        <v>8</v>
      </c>
    </row>
    <row r="251" spans="1:26" ht="15.75" customHeight="1" x14ac:dyDescent="0.35">
      <c r="A251" s="2"/>
      <c r="B251" s="3" t="s">
        <v>931</v>
      </c>
      <c r="C251" s="3" t="s">
        <v>59</v>
      </c>
      <c r="D251" s="3" t="s">
        <v>182</v>
      </c>
      <c r="E251" s="3" t="s">
        <v>1151</v>
      </c>
      <c r="F251" s="4" t="s">
        <v>1152</v>
      </c>
      <c r="G251" s="4" t="s">
        <v>1153</v>
      </c>
      <c r="H251" s="5">
        <v>549000</v>
      </c>
      <c r="I251" s="5">
        <v>215000</v>
      </c>
      <c r="J251" s="5">
        <v>710000</v>
      </c>
      <c r="K251" s="5">
        <v>0</v>
      </c>
      <c r="L251" s="5">
        <v>215000</v>
      </c>
      <c r="M251" s="5">
        <v>0</v>
      </c>
      <c r="N251" s="5">
        <v>495000</v>
      </c>
      <c r="O251" s="5">
        <v>0</v>
      </c>
      <c r="P251" s="5">
        <v>0</v>
      </c>
      <c r="Q251" s="3" t="s">
        <v>1154</v>
      </c>
      <c r="R251" s="3" t="s">
        <v>1155</v>
      </c>
      <c r="S251" s="3" t="s">
        <v>34</v>
      </c>
      <c r="T251" s="3" t="s">
        <v>41</v>
      </c>
      <c r="U251" s="3" t="s">
        <v>34</v>
      </c>
      <c r="V251" s="3" t="s">
        <v>35</v>
      </c>
      <c r="W251" s="3" t="s">
        <v>1156</v>
      </c>
      <c r="X251" s="3" t="s">
        <v>1157</v>
      </c>
      <c r="Y251" s="5">
        <v>549000</v>
      </c>
      <c r="Z251" s="5">
        <v>1</v>
      </c>
    </row>
    <row r="252" spans="1:26" ht="15.75" customHeight="1" x14ac:dyDescent="0.35">
      <c r="A252" s="2"/>
      <c r="B252" s="3" t="s">
        <v>920</v>
      </c>
      <c r="C252" s="3" t="s">
        <v>29</v>
      </c>
      <c r="D252" s="3" t="s">
        <v>30</v>
      </c>
      <c r="E252" s="3" t="s">
        <v>1158</v>
      </c>
      <c r="F252" s="4" t="s">
        <v>1159</v>
      </c>
      <c r="G252" s="4" t="s">
        <v>1160</v>
      </c>
      <c r="H252" s="5">
        <v>1641960</v>
      </c>
      <c r="I252" s="5">
        <v>0</v>
      </c>
      <c r="J252" s="5">
        <v>1641960</v>
      </c>
      <c r="K252" s="5">
        <v>0</v>
      </c>
      <c r="L252" s="5">
        <v>0</v>
      </c>
      <c r="M252" s="5">
        <v>0</v>
      </c>
      <c r="N252" s="5">
        <v>0</v>
      </c>
      <c r="O252" s="5">
        <v>1641960</v>
      </c>
      <c r="P252" s="5">
        <v>0</v>
      </c>
      <c r="Q252" s="3" t="s">
        <v>1161</v>
      </c>
      <c r="R252" s="3" t="s">
        <v>34</v>
      </c>
      <c r="S252" s="3" t="s">
        <v>34</v>
      </c>
      <c r="T252" s="3" t="s">
        <v>48</v>
      </c>
      <c r="U252" s="3" t="s">
        <v>34</v>
      </c>
      <c r="V252" s="3" t="s">
        <v>35</v>
      </c>
      <c r="W252" s="3" t="s">
        <v>1162</v>
      </c>
      <c r="X252" s="3" t="s">
        <v>1163</v>
      </c>
      <c r="Y252" s="5">
        <v>547320</v>
      </c>
      <c r="Z252" s="5">
        <v>3</v>
      </c>
    </row>
    <row r="253" spans="1:26" ht="15.75" customHeight="1" x14ac:dyDescent="0.35">
      <c r="A253" s="2"/>
      <c r="B253" s="3" t="s">
        <v>1164</v>
      </c>
      <c r="C253" s="3" t="s">
        <v>71</v>
      </c>
      <c r="D253" s="3" t="s">
        <v>72</v>
      </c>
      <c r="E253" s="3" t="s">
        <v>1048</v>
      </c>
      <c r="F253" s="4" t="s">
        <v>1165</v>
      </c>
      <c r="G253" s="4" t="s">
        <v>1166</v>
      </c>
      <c r="H253" s="5">
        <v>350000</v>
      </c>
      <c r="I253" s="5">
        <v>0</v>
      </c>
      <c r="J253" s="5">
        <v>350000</v>
      </c>
      <c r="K253" s="5">
        <v>0</v>
      </c>
      <c r="L253" s="5">
        <v>350000</v>
      </c>
      <c r="M253" s="5">
        <v>0</v>
      </c>
      <c r="N253" s="5">
        <v>0</v>
      </c>
      <c r="O253" s="5">
        <v>0</v>
      </c>
      <c r="P253" s="5">
        <v>0</v>
      </c>
      <c r="Q253" s="3"/>
      <c r="R253" s="3"/>
      <c r="S253" s="3"/>
      <c r="T253" s="3" t="s">
        <v>41</v>
      </c>
      <c r="U253" s="3" t="s">
        <v>34</v>
      </c>
      <c r="V253" s="3" t="s">
        <v>35</v>
      </c>
      <c r="W253" s="3" t="s">
        <v>1167</v>
      </c>
      <c r="X253" s="3"/>
      <c r="Y253" s="5">
        <v>350000</v>
      </c>
      <c r="Z253" s="5">
        <v>1</v>
      </c>
    </row>
    <row r="254" spans="1:26" ht="15.75" customHeight="1" x14ac:dyDescent="0.35">
      <c r="A254" s="2"/>
      <c r="B254" s="3" t="s">
        <v>1019</v>
      </c>
      <c r="C254" s="3" t="s">
        <v>64</v>
      </c>
      <c r="D254" s="3" t="s">
        <v>76</v>
      </c>
      <c r="E254" s="3" t="s">
        <v>1168</v>
      </c>
      <c r="F254" s="4" t="s">
        <v>1169</v>
      </c>
      <c r="G254" s="4" t="s">
        <v>1170</v>
      </c>
      <c r="H254" s="5">
        <v>988000</v>
      </c>
      <c r="I254" s="5">
        <v>0</v>
      </c>
      <c r="J254" s="5">
        <v>988000</v>
      </c>
      <c r="K254" s="5">
        <v>0</v>
      </c>
      <c r="L254" s="5">
        <v>0</v>
      </c>
      <c r="M254" s="5">
        <v>0</v>
      </c>
      <c r="N254" s="5">
        <v>988000</v>
      </c>
      <c r="O254" s="5">
        <v>0</v>
      </c>
      <c r="P254" s="5">
        <v>0</v>
      </c>
      <c r="Q254" s="3" t="s">
        <v>1171</v>
      </c>
      <c r="R254" s="3" t="s">
        <v>34</v>
      </c>
      <c r="S254" s="3" t="s">
        <v>34</v>
      </c>
      <c r="T254" s="3" t="s">
        <v>41</v>
      </c>
      <c r="U254" s="3" t="s">
        <v>34</v>
      </c>
      <c r="V254" s="3" t="s">
        <v>35</v>
      </c>
      <c r="W254" s="3" t="s">
        <v>1172</v>
      </c>
      <c r="X254" s="3"/>
      <c r="Y254" s="5">
        <v>494000</v>
      </c>
      <c r="Z254" s="5">
        <v>2</v>
      </c>
    </row>
    <row r="255" spans="1:26" ht="15.75" customHeight="1" x14ac:dyDescent="0.35">
      <c r="A255" s="2"/>
      <c r="B255" s="3" t="s">
        <v>963</v>
      </c>
      <c r="C255" s="3" t="s">
        <v>29</v>
      </c>
      <c r="D255" s="3" t="s">
        <v>30</v>
      </c>
      <c r="E255" s="3" t="s">
        <v>1173</v>
      </c>
      <c r="F255" s="4" t="s">
        <v>1174</v>
      </c>
      <c r="G255" s="4" t="s">
        <v>1170</v>
      </c>
      <c r="H255" s="5">
        <v>450000</v>
      </c>
      <c r="I255" s="5">
        <v>0</v>
      </c>
      <c r="J255" s="5">
        <v>450000</v>
      </c>
      <c r="K255" s="5">
        <v>0</v>
      </c>
      <c r="L255" s="5">
        <v>0</v>
      </c>
      <c r="M255" s="5">
        <v>0</v>
      </c>
      <c r="N255" s="5">
        <v>450000</v>
      </c>
      <c r="O255" s="5">
        <v>0</v>
      </c>
      <c r="P255" s="5">
        <v>0</v>
      </c>
      <c r="Q255" s="3" t="s">
        <v>935</v>
      </c>
      <c r="R255" s="3" t="s">
        <v>34</v>
      </c>
      <c r="S255" s="3" t="s">
        <v>1175</v>
      </c>
      <c r="T255" s="3" t="s">
        <v>41</v>
      </c>
      <c r="U255" s="3" t="s">
        <v>34</v>
      </c>
      <c r="V255" s="3" t="s">
        <v>35</v>
      </c>
      <c r="W255" s="3" t="s">
        <v>1176</v>
      </c>
      <c r="X255" s="3"/>
      <c r="Y255" s="5">
        <v>450000</v>
      </c>
      <c r="Z255" s="5">
        <v>1</v>
      </c>
    </row>
    <row r="256" spans="1:26" ht="15.75" customHeight="1" x14ac:dyDescent="0.35">
      <c r="A256" s="2"/>
      <c r="B256" s="3" t="s">
        <v>1040</v>
      </c>
      <c r="C256" s="3" t="s">
        <v>29</v>
      </c>
      <c r="D256" s="3" t="s">
        <v>30</v>
      </c>
      <c r="E256" s="3" t="s">
        <v>1048</v>
      </c>
      <c r="F256" s="4" t="s">
        <v>1177</v>
      </c>
      <c r="G256" s="4" t="s">
        <v>1178</v>
      </c>
      <c r="H256" s="5">
        <v>350000</v>
      </c>
      <c r="I256" s="5">
        <v>0</v>
      </c>
      <c r="J256" s="5">
        <v>350000</v>
      </c>
      <c r="K256" s="5">
        <v>0</v>
      </c>
      <c r="L256" s="5">
        <v>350000</v>
      </c>
      <c r="M256" s="5">
        <v>0</v>
      </c>
      <c r="N256" s="5">
        <v>0</v>
      </c>
      <c r="O256" s="5">
        <v>0</v>
      </c>
      <c r="P256" s="5">
        <v>0</v>
      </c>
      <c r="Q256" s="3"/>
      <c r="R256" s="3"/>
      <c r="S256" s="3"/>
      <c r="T256" s="3" t="s">
        <v>41</v>
      </c>
      <c r="U256" s="3" t="s">
        <v>34</v>
      </c>
      <c r="V256" s="3" t="s">
        <v>35</v>
      </c>
      <c r="W256" s="3" t="s">
        <v>1179</v>
      </c>
      <c r="X256" s="3"/>
      <c r="Y256" s="5">
        <v>350000</v>
      </c>
      <c r="Z256" s="5">
        <v>1</v>
      </c>
    </row>
    <row r="257" spans="1:26" ht="15.75" customHeight="1" x14ac:dyDescent="0.35">
      <c r="A257" s="2"/>
      <c r="B257" s="3" t="s">
        <v>1180</v>
      </c>
      <c r="C257" s="3" t="s">
        <v>59</v>
      </c>
      <c r="D257" s="3" t="s">
        <v>60</v>
      </c>
      <c r="E257" s="3" t="s">
        <v>1181</v>
      </c>
      <c r="F257" s="4" t="s">
        <v>1182</v>
      </c>
      <c r="G257" s="4" t="s">
        <v>1183</v>
      </c>
      <c r="H257" s="5">
        <v>990000</v>
      </c>
      <c r="I257" s="5">
        <v>0</v>
      </c>
      <c r="J257" s="5">
        <v>990000</v>
      </c>
      <c r="K257" s="5">
        <v>0</v>
      </c>
      <c r="L257" s="5">
        <v>990000</v>
      </c>
      <c r="M257" s="5">
        <v>0</v>
      </c>
      <c r="N257" s="5">
        <v>0</v>
      </c>
      <c r="O257" s="5">
        <v>0</v>
      </c>
      <c r="P257" s="5">
        <v>0</v>
      </c>
      <c r="Q257" s="3" t="s">
        <v>1184</v>
      </c>
      <c r="R257" s="3" t="s">
        <v>34</v>
      </c>
      <c r="S257" s="3" t="s">
        <v>1185</v>
      </c>
      <c r="T257" s="3" t="s">
        <v>41</v>
      </c>
      <c r="U257" s="3" t="s">
        <v>34</v>
      </c>
      <c r="V257" s="3" t="s">
        <v>35</v>
      </c>
      <c r="W257" s="3" t="s">
        <v>1186</v>
      </c>
      <c r="X257" s="3"/>
      <c r="Y257" s="5">
        <v>495000</v>
      </c>
      <c r="Z257" s="5">
        <v>2</v>
      </c>
    </row>
    <row r="258" spans="1:26" ht="15.75" customHeight="1" x14ac:dyDescent="0.35">
      <c r="A258" s="2"/>
      <c r="B258" s="3" t="s">
        <v>1187</v>
      </c>
      <c r="C258" s="3" t="s">
        <v>59</v>
      </c>
      <c r="D258" s="3" t="s">
        <v>193</v>
      </c>
      <c r="E258" s="3" t="s">
        <v>226</v>
      </c>
      <c r="F258" s="4" t="s">
        <v>1188</v>
      </c>
      <c r="G258" s="4" t="s">
        <v>1189</v>
      </c>
      <c r="H258" s="5">
        <v>990000</v>
      </c>
      <c r="I258" s="5">
        <v>0</v>
      </c>
      <c r="J258" s="5">
        <v>990000</v>
      </c>
      <c r="K258" s="5">
        <v>0</v>
      </c>
      <c r="L258" s="5">
        <v>0</v>
      </c>
      <c r="M258" s="5">
        <v>0</v>
      </c>
      <c r="N258" s="5">
        <v>990000</v>
      </c>
      <c r="O258" s="5">
        <v>0</v>
      </c>
      <c r="P258" s="5">
        <v>0</v>
      </c>
      <c r="Q258" s="3" t="s">
        <v>34</v>
      </c>
      <c r="R258" s="3" t="s">
        <v>34</v>
      </c>
      <c r="S258" s="3" t="s">
        <v>34</v>
      </c>
      <c r="T258" s="3" t="s">
        <v>41</v>
      </c>
      <c r="U258" s="3" t="s">
        <v>34</v>
      </c>
      <c r="V258" s="3" t="s">
        <v>35</v>
      </c>
      <c r="W258" s="3" t="s">
        <v>1190</v>
      </c>
      <c r="X258" s="3"/>
      <c r="Y258" s="5">
        <v>495000</v>
      </c>
      <c r="Z258" s="5">
        <v>2</v>
      </c>
    </row>
    <row r="259" spans="1:26" ht="15.75" customHeight="1" x14ac:dyDescent="0.35">
      <c r="A259" s="2"/>
      <c r="B259" s="3" t="s">
        <v>1187</v>
      </c>
      <c r="C259" s="3" t="s">
        <v>64</v>
      </c>
      <c r="D259" s="3" t="s">
        <v>173</v>
      </c>
      <c r="E259" s="3" t="s">
        <v>1191</v>
      </c>
      <c r="F259" s="4" t="s">
        <v>1188</v>
      </c>
      <c r="G259" s="4" t="s">
        <v>1189</v>
      </c>
      <c r="H259" s="5">
        <v>990000</v>
      </c>
      <c r="I259" s="5">
        <v>0</v>
      </c>
      <c r="J259" s="5">
        <v>990000</v>
      </c>
      <c r="K259" s="5">
        <v>0</v>
      </c>
      <c r="L259" s="5">
        <v>0</v>
      </c>
      <c r="M259" s="5">
        <v>0</v>
      </c>
      <c r="N259" s="5">
        <v>990000</v>
      </c>
      <c r="O259" s="5">
        <v>0</v>
      </c>
      <c r="P259" s="5">
        <v>0</v>
      </c>
      <c r="Q259" s="3" t="s">
        <v>1192</v>
      </c>
      <c r="R259" s="3" t="s">
        <v>34</v>
      </c>
      <c r="S259" s="3" t="s">
        <v>34</v>
      </c>
      <c r="T259" s="3" t="s">
        <v>41</v>
      </c>
      <c r="U259" s="3" t="s">
        <v>34</v>
      </c>
      <c r="V259" s="3" t="s">
        <v>35</v>
      </c>
      <c r="W259" s="3" t="s">
        <v>1193</v>
      </c>
      <c r="X259" s="3"/>
      <c r="Y259" s="5">
        <v>495000</v>
      </c>
      <c r="Z259" s="5">
        <v>2</v>
      </c>
    </row>
    <row r="260" spans="1:26" ht="15.75" customHeight="1" x14ac:dyDescent="0.35">
      <c r="A260" s="2"/>
      <c r="B260" s="3" t="s">
        <v>1194</v>
      </c>
      <c r="C260" s="3" t="s">
        <v>64</v>
      </c>
      <c r="D260" s="3" t="s">
        <v>76</v>
      </c>
      <c r="E260" s="3" t="s">
        <v>1195</v>
      </c>
      <c r="F260" s="4" t="s">
        <v>1196</v>
      </c>
      <c r="G260" s="4" t="s">
        <v>1189</v>
      </c>
      <c r="H260" s="5">
        <v>470000</v>
      </c>
      <c r="I260" s="5">
        <v>0</v>
      </c>
      <c r="J260" s="5">
        <v>470000</v>
      </c>
      <c r="K260" s="5">
        <v>0</v>
      </c>
      <c r="L260" s="5">
        <v>470000</v>
      </c>
      <c r="M260" s="5">
        <v>0</v>
      </c>
      <c r="N260" s="5">
        <v>0</v>
      </c>
      <c r="O260" s="5">
        <v>0</v>
      </c>
      <c r="P260" s="5">
        <v>0</v>
      </c>
      <c r="Q260" s="3" t="s">
        <v>34</v>
      </c>
      <c r="R260" s="3" t="s">
        <v>34</v>
      </c>
      <c r="S260" s="3" t="s">
        <v>1197</v>
      </c>
      <c r="T260" s="3" t="s">
        <v>41</v>
      </c>
      <c r="U260" s="3" t="s">
        <v>34</v>
      </c>
      <c r="V260" s="3" t="s">
        <v>35</v>
      </c>
      <c r="W260" s="3" t="s">
        <v>1198</v>
      </c>
      <c r="X260" s="3"/>
      <c r="Y260" s="5">
        <v>470000</v>
      </c>
      <c r="Z260" s="5">
        <v>1</v>
      </c>
    </row>
    <row r="261" spans="1:26" ht="15.75" customHeight="1" x14ac:dyDescent="0.35">
      <c r="A261" s="2"/>
      <c r="B261" s="3" t="s">
        <v>1199</v>
      </c>
      <c r="C261" s="3" t="s">
        <v>71</v>
      </c>
      <c r="D261" s="3" t="s">
        <v>95</v>
      </c>
      <c r="E261" s="3" t="s">
        <v>1200</v>
      </c>
      <c r="F261" s="4" t="s">
        <v>1201</v>
      </c>
      <c r="G261" s="4" t="s">
        <v>1202</v>
      </c>
      <c r="H261" s="5">
        <v>560000</v>
      </c>
      <c r="I261" s="5">
        <v>0</v>
      </c>
      <c r="J261" s="5">
        <v>560000</v>
      </c>
      <c r="K261" s="5">
        <v>0</v>
      </c>
      <c r="L261" s="5">
        <v>560000</v>
      </c>
      <c r="M261" s="5">
        <v>0</v>
      </c>
      <c r="N261" s="5">
        <v>0</v>
      </c>
      <c r="O261" s="5">
        <v>0</v>
      </c>
      <c r="P261" s="5">
        <v>0</v>
      </c>
      <c r="Q261" s="3"/>
      <c r="R261" s="3"/>
      <c r="S261" s="3"/>
      <c r="T261" s="3" t="s">
        <v>41</v>
      </c>
      <c r="U261" s="3" t="s">
        <v>34</v>
      </c>
      <c r="V261" s="3" t="s">
        <v>35</v>
      </c>
      <c r="W261" s="3" t="s">
        <v>1203</v>
      </c>
      <c r="X261" s="3"/>
      <c r="Y261" s="5">
        <v>560000</v>
      </c>
      <c r="Z261" s="5">
        <v>1</v>
      </c>
    </row>
    <row r="262" spans="1:26" ht="15.75" customHeight="1" x14ac:dyDescent="0.35">
      <c r="A262" s="2"/>
      <c r="B262" s="3" t="s">
        <v>1204</v>
      </c>
      <c r="C262" s="3" t="s">
        <v>64</v>
      </c>
      <c r="D262" s="3" t="s">
        <v>65</v>
      </c>
      <c r="E262" s="3" t="s">
        <v>1158</v>
      </c>
      <c r="F262" s="4" t="s">
        <v>1188</v>
      </c>
      <c r="G262" s="4" t="s">
        <v>1205</v>
      </c>
      <c r="H262" s="5">
        <v>889920</v>
      </c>
      <c r="I262" s="5">
        <v>0</v>
      </c>
      <c r="J262" s="5">
        <v>889920</v>
      </c>
      <c r="K262" s="5">
        <v>0</v>
      </c>
      <c r="L262" s="5">
        <v>0</v>
      </c>
      <c r="M262" s="5">
        <v>0</v>
      </c>
      <c r="N262" s="5">
        <v>0</v>
      </c>
      <c r="O262" s="5">
        <v>889920</v>
      </c>
      <c r="P262" s="5">
        <v>0</v>
      </c>
      <c r="Q262" s="3" t="s">
        <v>1161</v>
      </c>
      <c r="R262" s="3" t="s">
        <v>34</v>
      </c>
      <c r="S262" s="3" t="s">
        <v>34</v>
      </c>
      <c r="T262" s="3" t="s">
        <v>48</v>
      </c>
      <c r="U262" s="3" t="s">
        <v>34</v>
      </c>
      <c r="V262" s="3" t="s">
        <v>35</v>
      </c>
      <c r="W262" s="3" t="s">
        <v>1206</v>
      </c>
      <c r="X262" s="3" t="s">
        <v>1207</v>
      </c>
      <c r="Y262" s="5">
        <v>444960</v>
      </c>
      <c r="Z262" s="5">
        <v>2</v>
      </c>
    </row>
    <row r="263" spans="1:26" ht="15.75" customHeight="1" x14ac:dyDescent="0.35">
      <c r="A263" s="2"/>
      <c r="B263" s="3" t="s">
        <v>1208</v>
      </c>
      <c r="C263" s="3" t="s">
        <v>29</v>
      </c>
      <c r="D263" s="3" t="s">
        <v>413</v>
      </c>
      <c r="E263" s="3" t="s">
        <v>1209</v>
      </c>
      <c r="F263" s="4" t="s">
        <v>1210</v>
      </c>
      <c r="G263" s="4" t="s">
        <v>1211</v>
      </c>
      <c r="H263" s="5">
        <v>3240000</v>
      </c>
      <c r="I263" s="5">
        <v>0</v>
      </c>
      <c r="J263" s="5">
        <v>3240000</v>
      </c>
      <c r="K263" s="5">
        <v>0</v>
      </c>
      <c r="L263" s="5">
        <v>0</v>
      </c>
      <c r="M263" s="5">
        <v>0</v>
      </c>
      <c r="N263" s="5">
        <v>3240000</v>
      </c>
      <c r="O263" s="5">
        <v>0</v>
      </c>
      <c r="P263" s="5">
        <v>0</v>
      </c>
      <c r="Q263" s="3" t="s">
        <v>1212</v>
      </c>
      <c r="R263" s="3" t="s">
        <v>34</v>
      </c>
      <c r="S263" s="3" t="s">
        <v>34</v>
      </c>
      <c r="T263" s="3" t="s">
        <v>41</v>
      </c>
      <c r="U263" s="3" t="s">
        <v>34</v>
      </c>
      <c r="V263" s="3" t="s">
        <v>35</v>
      </c>
      <c r="W263" s="3" t="s">
        <v>1213</v>
      </c>
      <c r="X263" s="3"/>
      <c r="Y263" s="5">
        <v>810000</v>
      </c>
      <c r="Z263" s="5">
        <v>4</v>
      </c>
    </row>
    <row r="264" spans="1:26" ht="15.75" customHeight="1" x14ac:dyDescent="0.35">
      <c r="A264" s="2"/>
      <c r="B264" s="3" t="s">
        <v>1214</v>
      </c>
      <c r="C264" s="3" t="s">
        <v>64</v>
      </c>
      <c r="D264" s="3" t="s">
        <v>65</v>
      </c>
      <c r="E264" s="3" t="s">
        <v>1215</v>
      </c>
      <c r="F264" s="4" t="s">
        <v>1216</v>
      </c>
      <c r="G264" s="4" t="s">
        <v>1217</v>
      </c>
      <c r="H264" s="5">
        <v>444960</v>
      </c>
      <c r="I264" s="5">
        <v>0</v>
      </c>
      <c r="J264" s="5">
        <v>444960</v>
      </c>
      <c r="K264" s="5">
        <v>0</v>
      </c>
      <c r="L264" s="5">
        <v>0</v>
      </c>
      <c r="M264" s="5">
        <v>0</v>
      </c>
      <c r="N264" s="5">
        <v>0</v>
      </c>
      <c r="O264" s="5">
        <v>444960</v>
      </c>
      <c r="P264" s="5">
        <v>0</v>
      </c>
      <c r="Q264" s="3" t="s">
        <v>1218</v>
      </c>
      <c r="R264" s="3" t="s">
        <v>34</v>
      </c>
      <c r="S264" s="3" t="s">
        <v>1219</v>
      </c>
      <c r="T264" s="3" t="s">
        <v>48</v>
      </c>
      <c r="U264" s="3" t="s">
        <v>34</v>
      </c>
      <c r="V264" s="3" t="s">
        <v>35</v>
      </c>
      <c r="W264" s="3" t="s">
        <v>1220</v>
      </c>
      <c r="X264" s="3" t="s">
        <v>1221</v>
      </c>
      <c r="Y264" s="5">
        <v>444960</v>
      </c>
      <c r="Z264" s="5">
        <v>1</v>
      </c>
    </row>
    <row r="265" spans="1:26" ht="15.75" customHeight="1" x14ac:dyDescent="0.35">
      <c r="A265" s="2"/>
      <c r="B265" s="3" t="s">
        <v>1222</v>
      </c>
      <c r="C265" s="3" t="s">
        <v>59</v>
      </c>
      <c r="D265" s="3" t="s">
        <v>122</v>
      </c>
      <c r="E265" s="3" t="s">
        <v>1223</v>
      </c>
      <c r="F265" s="4" t="s">
        <v>1188</v>
      </c>
      <c r="G265" s="4" t="s">
        <v>1224</v>
      </c>
      <c r="H265" s="5">
        <v>1655000</v>
      </c>
      <c r="I265" s="5">
        <v>0</v>
      </c>
      <c r="J265" s="5">
        <v>1655000</v>
      </c>
      <c r="K265" s="5">
        <v>0</v>
      </c>
      <c r="L265" s="5">
        <v>0</v>
      </c>
      <c r="M265" s="5">
        <v>0</v>
      </c>
      <c r="N265" s="5">
        <v>1655000</v>
      </c>
      <c r="O265" s="5">
        <v>0</v>
      </c>
      <c r="P265" s="5">
        <v>0</v>
      </c>
      <c r="Q265" s="3" t="s">
        <v>1225</v>
      </c>
      <c r="R265" s="3" t="s">
        <v>34</v>
      </c>
      <c r="S265" s="3" t="s">
        <v>34</v>
      </c>
      <c r="T265" s="3" t="s">
        <v>41</v>
      </c>
      <c r="U265" s="3" t="s">
        <v>34</v>
      </c>
      <c r="V265" s="3" t="s">
        <v>35</v>
      </c>
      <c r="W265" s="3" t="s">
        <v>1226</v>
      </c>
      <c r="X265" s="3"/>
      <c r="Y265" s="5">
        <v>551666.6666</v>
      </c>
      <c r="Z265" s="5">
        <v>3</v>
      </c>
    </row>
    <row r="266" spans="1:26" ht="15.75" customHeight="1" x14ac:dyDescent="0.35">
      <c r="A266" s="2"/>
      <c r="B266" s="3" t="s">
        <v>1222</v>
      </c>
      <c r="C266" s="3" t="s">
        <v>29</v>
      </c>
      <c r="D266" s="3" t="s">
        <v>43</v>
      </c>
      <c r="E266" s="3" t="s">
        <v>226</v>
      </c>
      <c r="F266" s="4" t="s">
        <v>1188</v>
      </c>
      <c r="G266" s="4" t="s">
        <v>1224</v>
      </c>
      <c r="H266" s="5">
        <v>2220000</v>
      </c>
      <c r="I266" s="5">
        <v>0</v>
      </c>
      <c r="J266" s="5">
        <v>2220000</v>
      </c>
      <c r="K266" s="5">
        <v>0</v>
      </c>
      <c r="L266" s="5">
        <v>155000</v>
      </c>
      <c r="M266" s="5">
        <v>0</v>
      </c>
      <c r="N266" s="5">
        <v>2065000</v>
      </c>
      <c r="O266" s="5">
        <v>0</v>
      </c>
      <c r="P266" s="5">
        <v>0</v>
      </c>
      <c r="Q266" s="3" t="s">
        <v>34</v>
      </c>
      <c r="R266" s="3" t="s">
        <v>34</v>
      </c>
      <c r="S266" s="3" t="s">
        <v>34</v>
      </c>
      <c r="T266" s="3" t="s">
        <v>41</v>
      </c>
      <c r="U266" s="3" t="s">
        <v>34</v>
      </c>
      <c r="V266" s="3" t="s">
        <v>35</v>
      </c>
      <c r="W266" s="3" t="s">
        <v>1227</v>
      </c>
      <c r="X266" s="3"/>
      <c r="Y266" s="5">
        <v>740000</v>
      </c>
      <c r="Z266" s="5">
        <v>3</v>
      </c>
    </row>
    <row r="267" spans="1:26" ht="15.75" customHeight="1" x14ac:dyDescent="0.35">
      <c r="A267" s="2"/>
      <c r="B267" s="3" t="s">
        <v>990</v>
      </c>
      <c r="C267" s="3" t="s">
        <v>29</v>
      </c>
      <c r="D267" s="3" t="s">
        <v>30</v>
      </c>
      <c r="E267" s="3" t="s">
        <v>1228</v>
      </c>
      <c r="F267" s="4" t="s">
        <v>1229</v>
      </c>
      <c r="G267" s="4" t="s">
        <v>1230</v>
      </c>
      <c r="H267" s="5">
        <v>750000</v>
      </c>
      <c r="I267" s="5">
        <v>0</v>
      </c>
      <c r="J267" s="5">
        <v>750000</v>
      </c>
      <c r="K267" s="5">
        <v>0</v>
      </c>
      <c r="L267" s="5">
        <v>750000</v>
      </c>
      <c r="M267" s="5">
        <v>0</v>
      </c>
      <c r="N267" s="5">
        <v>0</v>
      </c>
      <c r="O267" s="5">
        <v>0</v>
      </c>
      <c r="P267" s="5">
        <v>0</v>
      </c>
      <c r="Q267" s="3" t="s">
        <v>34</v>
      </c>
      <c r="R267" s="3" t="s">
        <v>34</v>
      </c>
      <c r="S267" s="3" t="s">
        <v>34</v>
      </c>
      <c r="T267" s="3" t="s">
        <v>41</v>
      </c>
      <c r="U267" s="3" t="s">
        <v>34</v>
      </c>
      <c r="V267" s="3" t="s">
        <v>35</v>
      </c>
      <c r="W267" s="3" t="s">
        <v>1231</v>
      </c>
      <c r="X267" s="3"/>
      <c r="Y267" s="5">
        <v>750000</v>
      </c>
      <c r="Z267" s="5">
        <v>1</v>
      </c>
    </row>
    <row r="268" spans="1:26" ht="15.75" customHeight="1" x14ac:dyDescent="0.35">
      <c r="A268" s="2"/>
      <c r="B268" s="3" t="s">
        <v>1232</v>
      </c>
      <c r="C268" s="3" t="s">
        <v>64</v>
      </c>
      <c r="D268" s="3" t="s">
        <v>99</v>
      </c>
      <c r="E268" s="3" t="s">
        <v>1233</v>
      </c>
      <c r="F268" s="4" t="s">
        <v>1234</v>
      </c>
      <c r="G268" s="4" t="s">
        <v>1235</v>
      </c>
      <c r="H268" s="5">
        <v>495000</v>
      </c>
      <c r="I268" s="5">
        <v>0</v>
      </c>
      <c r="J268" s="5">
        <v>495000</v>
      </c>
      <c r="K268" s="5">
        <v>0</v>
      </c>
      <c r="L268" s="5">
        <v>495000</v>
      </c>
      <c r="M268" s="5">
        <v>0</v>
      </c>
      <c r="N268" s="5">
        <v>0</v>
      </c>
      <c r="O268" s="5">
        <v>0</v>
      </c>
      <c r="P268" s="5">
        <v>0</v>
      </c>
      <c r="Q268" s="3" t="s">
        <v>34</v>
      </c>
      <c r="R268" s="3" t="s">
        <v>34</v>
      </c>
      <c r="S268" s="3" t="s">
        <v>34</v>
      </c>
      <c r="T268" s="3" t="s">
        <v>41</v>
      </c>
      <c r="U268" s="3" t="s">
        <v>34</v>
      </c>
      <c r="V268" s="3" t="s">
        <v>35</v>
      </c>
      <c r="W268" s="3" t="s">
        <v>1236</v>
      </c>
      <c r="X268" s="3"/>
      <c r="Y268" s="5">
        <v>495000</v>
      </c>
      <c r="Z268" s="5">
        <v>1</v>
      </c>
    </row>
    <row r="269" spans="1:26" ht="15.75" customHeight="1" x14ac:dyDescent="0.35">
      <c r="A269" s="2"/>
      <c r="B269" s="3" t="s">
        <v>1011</v>
      </c>
      <c r="C269" s="3" t="s">
        <v>29</v>
      </c>
      <c r="D269" s="3" t="s">
        <v>30</v>
      </c>
      <c r="E269" s="3" t="s">
        <v>1237</v>
      </c>
      <c r="F269" s="4" t="s">
        <v>1238</v>
      </c>
      <c r="G269" s="4" t="s">
        <v>1239</v>
      </c>
      <c r="H269" s="5">
        <v>350000</v>
      </c>
      <c r="I269" s="5">
        <v>0</v>
      </c>
      <c r="J269" s="5">
        <v>350000</v>
      </c>
      <c r="K269" s="5">
        <v>0</v>
      </c>
      <c r="L269" s="5">
        <v>0</v>
      </c>
      <c r="M269" s="5">
        <v>0</v>
      </c>
      <c r="N269" s="5">
        <v>350000</v>
      </c>
      <c r="O269" s="5">
        <v>0</v>
      </c>
      <c r="P269" s="5">
        <v>0</v>
      </c>
      <c r="Q269" s="3"/>
      <c r="R269" s="3"/>
      <c r="S269" s="3"/>
      <c r="T269" s="3" t="s">
        <v>41</v>
      </c>
      <c r="U269" s="3" t="s">
        <v>34</v>
      </c>
      <c r="V269" s="3" t="s">
        <v>35</v>
      </c>
      <c r="W269" s="3" t="s">
        <v>1240</v>
      </c>
      <c r="X269" s="3"/>
      <c r="Y269" s="5">
        <v>350000</v>
      </c>
      <c r="Z269" s="5">
        <v>1</v>
      </c>
    </row>
    <row r="270" spans="1:26" ht="15.75" customHeight="1" x14ac:dyDescent="0.35">
      <c r="A270" s="2"/>
      <c r="B270" s="3" t="s">
        <v>1241</v>
      </c>
      <c r="C270" s="3" t="s">
        <v>64</v>
      </c>
      <c r="D270" s="3" t="s">
        <v>65</v>
      </c>
      <c r="E270" s="3" t="s">
        <v>1242</v>
      </c>
      <c r="F270" s="4" t="s">
        <v>1243</v>
      </c>
      <c r="G270" s="4" t="s">
        <v>1244</v>
      </c>
      <c r="H270" s="5">
        <v>495000</v>
      </c>
      <c r="I270" s="5">
        <v>0</v>
      </c>
      <c r="J270" s="5">
        <v>495000</v>
      </c>
      <c r="K270" s="5">
        <v>0</v>
      </c>
      <c r="L270" s="5">
        <v>0</v>
      </c>
      <c r="M270" s="5">
        <v>0</v>
      </c>
      <c r="N270" s="5">
        <v>495000</v>
      </c>
      <c r="O270" s="5">
        <v>0</v>
      </c>
      <c r="P270" s="5">
        <v>0</v>
      </c>
      <c r="Q270" s="3" t="s">
        <v>1245</v>
      </c>
      <c r="R270" s="3" t="s">
        <v>34</v>
      </c>
      <c r="S270" s="3" t="s">
        <v>1246</v>
      </c>
      <c r="T270" s="3" t="s">
        <v>41</v>
      </c>
      <c r="U270" s="3" t="s">
        <v>34</v>
      </c>
      <c r="V270" s="3" t="s">
        <v>35</v>
      </c>
      <c r="W270" s="3" t="s">
        <v>1247</v>
      </c>
      <c r="X270" s="3"/>
      <c r="Y270" s="5">
        <v>495000</v>
      </c>
      <c r="Z270" s="5">
        <v>1</v>
      </c>
    </row>
    <row r="271" spans="1:26" ht="15.75" customHeight="1" x14ac:dyDescent="0.35">
      <c r="A271" s="2"/>
      <c r="B271" s="3" t="s">
        <v>1070</v>
      </c>
      <c r="C271" s="3" t="s">
        <v>29</v>
      </c>
      <c r="D271" s="3" t="s">
        <v>506</v>
      </c>
      <c r="E271" s="3" t="s">
        <v>1248</v>
      </c>
      <c r="F271" s="4" t="s">
        <v>1249</v>
      </c>
      <c r="G271" s="4" t="s">
        <v>1244</v>
      </c>
      <c r="H271" s="5">
        <v>450000</v>
      </c>
      <c r="I271" s="5">
        <v>0</v>
      </c>
      <c r="J271" s="5">
        <v>450000</v>
      </c>
      <c r="K271" s="5">
        <v>0</v>
      </c>
      <c r="L271" s="5">
        <v>0</v>
      </c>
      <c r="M271" s="5">
        <v>0</v>
      </c>
      <c r="N271" s="5">
        <v>450000</v>
      </c>
      <c r="O271" s="5">
        <v>0</v>
      </c>
      <c r="P271" s="5">
        <v>0</v>
      </c>
      <c r="Q271" s="3" t="s">
        <v>1250</v>
      </c>
      <c r="R271" s="3" t="s">
        <v>34</v>
      </c>
      <c r="S271" s="3" t="s">
        <v>1251</v>
      </c>
      <c r="T271" s="3" t="s">
        <v>41</v>
      </c>
      <c r="U271" s="3" t="s">
        <v>34</v>
      </c>
      <c r="V271" s="3" t="s">
        <v>35</v>
      </c>
      <c r="W271" s="3" t="s">
        <v>1252</v>
      </c>
      <c r="X271" s="3"/>
      <c r="Y271" s="5">
        <v>450000</v>
      </c>
      <c r="Z271" s="5">
        <v>1</v>
      </c>
    </row>
    <row r="272" spans="1:26" ht="15.75" customHeight="1" x14ac:dyDescent="0.35">
      <c r="A272" s="2"/>
      <c r="B272" s="3" t="s">
        <v>1025</v>
      </c>
      <c r="C272" s="3" t="s">
        <v>59</v>
      </c>
      <c r="D272" s="3" t="s">
        <v>182</v>
      </c>
      <c r="E272" s="3" t="s">
        <v>1253</v>
      </c>
      <c r="F272" s="4" t="s">
        <v>1254</v>
      </c>
      <c r="G272" s="4" t="s">
        <v>1255</v>
      </c>
      <c r="H272" s="5">
        <v>470000</v>
      </c>
      <c r="I272" s="5">
        <v>0</v>
      </c>
      <c r="J272" s="5">
        <v>470000</v>
      </c>
      <c r="K272" s="5">
        <v>0</v>
      </c>
      <c r="L272" s="5">
        <v>-30000</v>
      </c>
      <c r="M272" s="5">
        <v>0</v>
      </c>
      <c r="N272" s="5">
        <v>500000</v>
      </c>
      <c r="O272" s="5">
        <v>0</v>
      </c>
      <c r="P272" s="5">
        <v>0</v>
      </c>
      <c r="Q272" s="3" t="s">
        <v>34</v>
      </c>
      <c r="R272" s="3" t="s">
        <v>34</v>
      </c>
      <c r="S272" s="3" t="s">
        <v>34</v>
      </c>
      <c r="T272" s="3" t="s">
        <v>34</v>
      </c>
      <c r="U272" s="3" t="s">
        <v>34</v>
      </c>
      <c r="V272" s="3" t="s">
        <v>35</v>
      </c>
      <c r="W272" s="3" t="s">
        <v>1256</v>
      </c>
      <c r="X272" s="3"/>
      <c r="Y272" s="5">
        <v>470000</v>
      </c>
      <c r="Z272" s="5">
        <v>1</v>
      </c>
    </row>
    <row r="273" spans="1:26" ht="15.75" customHeight="1" x14ac:dyDescent="0.35">
      <c r="A273" s="2"/>
      <c r="B273" s="3" t="s">
        <v>1257</v>
      </c>
      <c r="C273" s="3" t="s">
        <v>64</v>
      </c>
      <c r="D273" s="3" t="s">
        <v>76</v>
      </c>
      <c r="E273" s="3" t="s">
        <v>1258</v>
      </c>
      <c r="F273" s="4" t="s">
        <v>1259</v>
      </c>
      <c r="G273" s="4" t="s">
        <v>1260</v>
      </c>
      <c r="H273" s="5">
        <v>636120</v>
      </c>
      <c r="I273" s="5">
        <v>0</v>
      </c>
      <c r="J273" s="5">
        <v>636120</v>
      </c>
      <c r="K273" s="5">
        <v>0</v>
      </c>
      <c r="L273" s="5">
        <v>0</v>
      </c>
      <c r="M273" s="5">
        <v>0</v>
      </c>
      <c r="N273" s="5">
        <v>636120</v>
      </c>
      <c r="O273" s="5">
        <v>0</v>
      </c>
      <c r="P273" s="5">
        <v>0</v>
      </c>
      <c r="Q273" s="3"/>
      <c r="R273" s="3"/>
      <c r="S273" s="3"/>
      <c r="T273" s="3" t="s">
        <v>48</v>
      </c>
      <c r="U273" s="3" t="s">
        <v>34</v>
      </c>
      <c r="V273" s="3" t="s">
        <v>35</v>
      </c>
      <c r="W273" s="3" t="s">
        <v>1261</v>
      </c>
      <c r="X273" s="3" t="s">
        <v>1262</v>
      </c>
      <c r="Y273" s="5">
        <v>636120</v>
      </c>
      <c r="Z273" s="5">
        <v>1</v>
      </c>
    </row>
    <row r="274" spans="1:26" ht="15.75" customHeight="1" x14ac:dyDescent="0.35">
      <c r="A274" s="2"/>
      <c r="B274" s="3" t="s">
        <v>1257</v>
      </c>
      <c r="C274" s="3" t="s">
        <v>59</v>
      </c>
      <c r="D274" s="3" t="s">
        <v>193</v>
      </c>
      <c r="E274" s="3" t="s">
        <v>1258</v>
      </c>
      <c r="F274" s="4" t="s">
        <v>1259</v>
      </c>
      <c r="G274" s="4" t="s">
        <v>1260</v>
      </c>
      <c r="H274" s="5">
        <v>636120</v>
      </c>
      <c r="I274" s="5">
        <v>0</v>
      </c>
      <c r="J274" s="5">
        <v>636120</v>
      </c>
      <c r="K274" s="5">
        <v>0</v>
      </c>
      <c r="L274" s="5">
        <v>0</v>
      </c>
      <c r="M274" s="5">
        <v>0</v>
      </c>
      <c r="N274" s="5">
        <v>636120</v>
      </c>
      <c r="O274" s="5">
        <v>0</v>
      </c>
      <c r="P274" s="5">
        <v>0</v>
      </c>
      <c r="Q274" s="3"/>
      <c r="R274" s="3"/>
      <c r="S274" s="3"/>
      <c r="T274" s="3" t="s">
        <v>48</v>
      </c>
      <c r="U274" s="3" t="s">
        <v>34</v>
      </c>
      <c r="V274" s="3" t="s">
        <v>35</v>
      </c>
      <c r="W274" s="3" t="s">
        <v>1263</v>
      </c>
      <c r="X274" s="3" t="s">
        <v>1262</v>
      </c>
      <c r="Y274" s="5">
        <v>636120</v>
      </c>
      <c r="Z274" s="5">
        <v>1</v>
      </c>
    </row>
    <row r="275" spans="1:26" ht="15.75" customHeight="1" x14ac:dyDescent="0.35">
      <c r="A275" s="2"/>
      <c r="B275" s="3" t="s">
        <v>1257</v>
      </c>
      <c r="C275" s="3" t="s">
        <v>59</v>
      </c>
      <c r="D275" s="3" t="s">
        <v>122</v>
      </c>
      <c r="E275" s="3" t="s">
        <v>1258</v>
      </c>
      <c r="F275" s="4" t="s">
        <v>1259</v>
      </c>
      <c r="G275" s="4" t="s">
        <v>1260</v>
      </c>
      <c r="H275" s="5">
        <v>751640</v>
      </c>
      <c r="I275" s="5">
        <v>0</v>
      </c>
      <c r="J275" s="5">
        <v>751640</v>
      </c>
      <c r="K275" s="5">
        <v>0</v>
      </c>
      <c r="L275" s="5">
        <v>0</v>
      </c>
      <c r="M275" s="5">
        <v>0</v>
      </c>
      <c r="N275" s="5">
        <v>751640</v>
      </c>
      <c r="O275" s="5">
        <v>0</v>
      </c>
      <c r="P275" s="5">
        <v>0</v>
      </c>
      <c r="Q275" s="3"/>
      <c r="R275" s="3"/>
      <c r="S275" s="3"/>
      <c r="T275" s="3" t="s">
        <v>48</v>
      </c>
      <c r="U275" s="3" t="s">
        <v>34</v>
      </c>
      <c r="V275" s="3" t="s">
        <v>35</v>
      </c>
      <c r="W275" s="3" t="s">
        <v>1264</v>
      </c>
      <c r="X275" s="3" t="s">
        <v>1262</v>
      </c>
      <c r="Y275" s="5">
        <v>751640</v>
      </c>
      <c r="Z275" s="5">
        <v>1</v>
      </c>
    </row>
    <row r="276" spans="1:26" ht="15.75" customHeight="1" x14ac:dyDescent="0.35">
      <c r="A276" s="2"/>
      <c r="B276" s="3" t="s">
        <v>1257</v>
      </c>
      <c r="C276" s="3" t="s">
        <v>71</v>
      </c>
      <c r="D276" s="3" t="s">
        <v>95</v>
      </c>
      <c r="E276" s="3" t="s">
        <v>1258</v>
      </c>
      <c r="F276" s="4" t="s">
        <v>1259</v>
      </c>
      <c r="G276" s="4" t="s">
        <v>1260</v>
      </c>
      <c r="H276" s="5">
        <v>636120</v>
      </c>
      <c r="I276" s="5">
        <v>0</v>
      </c>
      <c r="J276" s="5">
        <v>636120</v>
      </c>
      <c r="K276" s="5">
        <v>0</v>
      </c>
      <c r="L276" s="5">
        <v>0</v>
      </c>
      <c r="M276" s="5">
        <v>0</v>
      </c>
      <c r="N276" s="5">
        <v>636120</v>
      </c>
      <c r="O276" s="5">
        <v>0</v>
      </c>
      <c r="P276" s="5">
        <v>0</v>
      </c>
      <c r="Q276" s="3"/>
      <c r="R276" s="3"/>
      <c r="S276" s="3"/>
      <c r="T276" s="3" t="s">
        <v>48</v>
      </c>
      <c r="U276" s="3" t="s">
        <v>34</v>
      </c>
      <c r="V276" s="3" t="s">
        <v>35</v>
      </c>
      <c r="W276" s="3" t="s">
        <v>1265</v>
      </c>
      <c r="X276" s="3" t="s">
        <v>1262</v>
      </c>
      <c r="Y276" s="5">
        <v>636120</v>
      </c>
      <c r="Z276" s="5">
        <v>1</v>
      </c>
    </row>
    <row r="277" spans="1:26" ht="15.75" customHeight="1" x14ac:dyDescent="0.35">
      <c r="A277" s="2"/>
      <c r="B277" s="3" t="s">
        <v>1025</v>
      </c>
      <c r="C277" s="3" t="s">
        <v>29</v>
      </c>
      <c r="D277" s="3" t="s">
        <v>413</v>
      </c>
      <c r="E277" s="3" t="s">
        <v>226</v>
      </c>
      <c r="F277" s="4" t="s">
        <v>1254</v>
      </c>
      <c r="G277" s="4" t="s">
        <v>1266</v>
      </c>
      <c r="H277" s="5">
        <v>470000</v>
      </c>
      <c r="I277" s="5">
        <v>0</v>
      </c>
      <c r="J277" s="5">
        <v>470000</v>
      </c>
      <c r="K277" s="5">
        <v>0</v>
      </c>
      <c r="L277" s="5">
        <v>470000</v>
      </c>
      <c r="M277" s="5">
        <v>0</v>
      </c>
      <c r="N277" s="5">
        <v>0</v>
      </c>
      <c r="O277" s="5">
        <v>0</v>
      </c>
      <c r="P277" s="5">
        <v>0</v>
      </c>
      <c r="Q277" s="3"/>
      <c r="R277" s="3"/>
      <c r="S277" s="3"/>
      <c r="T277" s="3" t="s">
        <v>34</v>
      </c>
      <c r="U277" s="3" t="s">
        <v>34</v>
      </c>
      <c r="V277" s="3" t="s">
        <v>35</v>
      </c>
      <c r="W277" s="3" t="s">
        <v>1267</v>
      </c>
      <c r="X277" s="3"/>
      <c r="Y277" s="5">
        <v>470000</v>
      </c>
      <c r="Z277" s="5">
        <v>1</v>
      </c>
    </row>
    <row r="278" spans="1:26" ht="15.75" customHeight="1" x14ac:dyDescent="0.35">
      <c r="A278" s="2"/>
      <c r="B278" s="3" t="s">
        <v>1268</v>
      </c>
      <c r="C278" s="3" t="s">
        <v>64</v>
      </c>
      <c r="D278" s="3" t="s">
        <v>173</v>
      </c>
      <c r="E278" s="3" t="s">
        <v>1269</v>
      </c>
      <c r="F278" s="4" t="s">
        <v>1270</v>
      </c>
      <c r="G278" s="4" t="s">
        <v>1271</v>
      </c>
      <c r="H278" s="5">
        <v>990000</v>
      </c>
      <c r="I278" s="5">
        <v>15000</v>
      </c>
      <c r="J278" s="5">
        <v>1005000</v>
      </c>
      <c r="K278" s="5">
        <v>0</v>
      </c>
      <c r="L278" s="5">
        <v>510000</v>
      </c>
      <c r="M278" s="5">
        <v>0</v>
      </c>
      <c r="N278" s="5">
        <v>495000</v>
      </c>
      <c r="O278" s="5">
        <v>0</v>
      </c>
      <c r="P278" s="5">
        <v>0</v>
      </c>
      <c r="Q278" s="3" t="s">
        <v>1272</v>
      </c>
      <c r="R278" s="3" t="s">
        <v>34</v>
      </c>
      <c r="S278" s="3" t="s">
        <v>34</v>
      </c>
      <c r="T278" s="3" t="s">
        <v>41</v>
      </c>
      <c r="U278" s="3" t="s">
        <v>34</v>
      </c>
      <c r="V278" s="3" t="s">
        <v>35</v>
      </c>
      <c r="W278" s="3" t="s">
        <v>1273</v>
      </c>
      <c r="X278" s="3"/>
      <c r="Y278" s="5">
        <v>495000</v>
      </c>
      <c r="Z278" s="5">
        <v>2</v>
      </c>
    </row>
    <row r="279" spans="1:26" ht="15.75" customHeight="1" x14ac:dyDescent="0.35">
      <c r="A279" s="2"/>
      <c r="B279" s="3" t="s">
        <v>1274</v>
      </c>
      <c r="C279" s="3" t="s">
        <v>29</v>
      </c>
      <c r="D279" s="3" t="s">
        <v>30</v>
      </c>
      <c r="E279" s="3" t="s">
        <v>1275</v>
      </c>
      <c r="F279" s="4" t="s">
        <v>1276</v>
      </c>
      <c r="G279" s="4" t="s">
        <v>1277</v>
      </c>
      <c r="H279" s="5">
        <v>629000</v>
      </c>
      <c r="I279" s="5">
        <v>0</v>
      </c>
      <c r="J279" s="5">
        <v>629000</v>
      </c>
      <c r="K279" s="5">
        <v>0</v>
      </c>
      <c r="L279" s="5">
        <v>0</v>
      </c>
      <c r="M279" s="5">
        <v>0</v>
      </c>
      <c r="N279" s="5">
        <v>629000</v>
      </c>
      <c r="O279" s="5">
        <v>0</v>
      </c>
      <c r="P279" s="5">
        <v>0</v>
      </c>
      <c r="Q279" s="3" t="s">
        <v>1278</v>
      </c>
      <c r="R279" s="3" t="s">
        <v>34</v>
      </c>
      <c r="S279" s="3" t="s">
        <v>34</v>
      </c>
      <c r="T279" s="3" t="s">
        <v>41</v>
      </c>
      <c r="U279" s="3" t="s">
        <v>34</v>
      </c>
      <c r="V279" s="3" t="s">
        <v>35</v>
      </c>
      <c r="W279" s="3" t="s">
        <v>1279</v>
      </c>
      <c r="X279" s="3"/>
      <c r="Y279" s="5">
        <v>629000</v>
      </c>
      <c r="Z279" s="5">
        <v>1</v>
      </c>
    </row>
    <row r="280" spans="1:26" ht="15.75" customHeight="1" x14ac:dyDescent="0.35">
      <c r="A280" s="2"/>
      <c r="B280" s="3" t="s">
        <v>755</v>
      </c>
      <c r="C280" s="3" t="s">
        <v>64</v>
      </c>
      <c r="D280" s="3" t="s">
        <v>89</v>
      </c>
      <c r="E280" s="3" t="s">
        <v>1044</v>
      </c>
      <c r="F280" s="4" t="s">
        <v>1280</v>
      </c>
      <c r="G280" s="4" t="s">
        <v>1281</v>
      </c>
      <c r="H280" s="5">
        <v>3094000</v>
      </c>
      <c r="I280" s="5">
        <v>0</v>
      </c>
      <c r="J280" s="5">
        <v>3094000</v>
      </c>
      <c r="K280" s="5">
        <v>0</v>
      </c>
      <c r="L280" s="5">
        <v>0</v>
      </c>
      <c r="M280" s="5">
        <v>0</v>
      </c>
      <c r="N280" s="5">
        <v>0</v>
      </c>
      <c r="O280" s="5">
        <v>3094000</v>
      </c>
      <c r="P280" s="5">
        <v>0</v>
      </c>
      <c r="Q280" s="3" t="s">
        <v>738</v>
      </c>
      <c r="R280" s="3" t="s">
        <v>34</v>
      </c>
      <c r="S280" s="3" t="s">
        <v>34</v>
      </c>
      <c r="T280" s="3" t="s">
        <v>48</v>
      </c>
      <c r="U280" s="3" t="s">
        <v>34</v>
      </c>
      <c r="V280" s="3" t="s">
        <v>35</v>
      </c>
      <c r="W280" s="3" t="s">
        <v>1105</v>
      </c>
      <c r="X280" s="3" t="s">
        <v>1282</v>
      </c>
      <c r="Y280" s="5">
        <v>442000</v>
      </c>
      <c r="Z280" s="5">
        <v>7</v>
      </c>
    </row>
    <row r="281" spans="1:26" ht="15.75" customHeight="1" x14ac:dyDescent="0.35">
      <c r="A281" s="2"/>
      <c r="B281" s="3" t="s">
        <v>1035</v>
      </c>
      <c r="C281" s="3" t="s">
        <v>59</v>
      </c>
      <c r="D281" s="3" t="s">
        <v>182</v>
      </c>
      <c r="E281" s="3" t="s">
        <v>226</v>
      </c>
      <c r="F281" s="4" t="s">
        <v>1283</v>
      </c>
      <c r="G281" s="4" t="s">
        <v>1284</v>
      </c>
      <c r="H281" s="5">
        <v>420000</v>
      </c>
      <c r="I281" s="5">
        <v>0</v>
      </c>
      <c r="J281" s="5">
        <v>420000</v>
      </c>
      <c r="K281" s="5">
        <v>0</v>
      </c>
      <c r="L281" s="5">
        <v>0</v>
      </c>
      <c r="M281" s="5">
        <v>0</v>
      </c>
      <c r="N281" s="5">
        <v>420000</v>
      </c>
      <c r="O281" s="5">
        <v>0</v>
      </c>
      <c r="P281" s="5">
        <v>0</v>
      </c>
      <c r="Q281" s="3"/>
      <c r="R281" s="3"/>
      <c r="S281" s="3"/>
      <c r="T281" s="3" t="s">
        <v>41</v>
      </c>
      <c r="U281" s="3" t="s">
        <v>34</v>
      </c>
      <c r="V281" s="3" t="s">
        <v>35</v>
      </c>
      <c r="W281" s="3" t="s">
        <v>1285</v>
      </c>
      <c r="X281" s="3"/>
      <c r="Y281" s="5">
        <v>420000</v>
      </c>
      <c r="Z281" s="5">
        <v>1</v>
      </c>
    </row>
    <row r="282" spans="1:26" ht="15.75" customHeight="1" x14ac:dyDescent="0.35">
      <c r="A282" s="2"/>
      <c r="B282" s="3" t="s">
        <v>1257</v>
      </c>
      <c r="C282" s="3" t="s">
        <v>64</v>
      </c>
      <c r="D282" s="3" t="s">
        <v>99</v>
      </c>
      <c r="E282" s="3" t="s">
        <v>1286</v>
      </c>
      <c r="F282" s="4" t="s">
        <v>1259</v>
      </c>
      <c r="G282" s="4" t="s">
        <v>1287</v>
      </c>
      <c r="H282" s="5">
        <v>1336640</v>
      </c>
      <c r="I282" s="5">
        <v>65000</v>
      </c>
      <c r="J282" s="5">
        <v>1401640</v>
      </c>
      <c r="K282" s="5">
        <v>0</v>
      </c>
      <c r="L282" s="5">
        <v>0</v>
      </c>
      <c r="M282" s="5">
        <v>0</v>
      </c>
      <c r="N282" s="5">
        <v>1401640</v>
      </c>
      <c r="O282" s="5">
        <v>0</v>
      </c>
      <c r="P282" s="5">
        <v>0</v>
      </c>
      <c r="Q282" s="3" t="s">
        <v>1288</v>
      </c>
      <c r="R282" s="3" t="s">
        <v>1289</v>
      </c>
      <c r="S282" s="3" t="s">
        <v>1290</v>
      </c>
      <c r="T282" s="3" t="s">
        <v>48</v>
      </c>
      <c r="U282" s="3" t="s">
        <v>34</v>
      </c>
      <c r="V282" s="3" t="s">
        <v>35</v>
      </c>
      <c r="W282" s="3" t="s">
        <v>1291</v>
      </c>
      <c r="X282" s="3" t="s">
        <v>1262</v>
      </c>
      <c r="Y282" s="5">
        <v>1336640</v>
      </c>
      <c r="Z282" s="5">
        <v>1</v>
      </c>
    </row>
    <row r="283" spans="1:26" ht="15.75" customHeight="1" x14ac:dyDescent="0.35">
      <c r="A283" s="2"/>
      <c r="B283" s="3" t="s">
        <v>720</v>
      </c>
      <c r="C283" s="3" t="s">
        <v>29</v>
      </c>
      <c r="D283" s="3" t="s">
        <v>110</v>
      </c>
      <c r="E283" s="3" t="s">
        <v>1292</v>
      </c>
      <c r="F283" s="4" t="s">
        <v>1293</v>
      </c>
      <c r="G283" s="4" t="s">
        <v>1294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3"/>
      <c r="R283" s="3"/>
      <c r="S283" s="3"/>
      <c r="T283" s="3" t="s">
        <v>34</v>
      </c>
      <c r="U283" s="3" t="s">
        <v>34</v>
      </c>
      <c r="V283" s="3" t="s">
        <v>35</v>
      </c>
      <c r="W283" s="3" t="s">
        <v>1295</v>
      </c>
      <c r="X283" s="3"/>
      <c r="Y283" s="5">
        <v>0</v>
      </c>
      <c r="Z283" s="5">
        <v>17</v>
      </c>
    </row>
    <row r="284" spans="1:26" ht="15.75" customHeight="1" x14ac:dyDescent="0.35">
      <c r="A284" s="2"/>
      <c r="B284" s="3" t="s">
        <v>1296</v>
      </c>
      <c r="C284" s="3" t="s">
        <v>71</v>
      </c>
      <c r="D284" s="3" t="s">
        <v>72</v>
      </c>
      <c r="E284" s="3" t="s">
        <v>946</v>
      </c>
      <c r="F284" s="4" t="s">
        <v>1297</v>
      </c>
      <c r="G284" s="4" t="s">
        <v>1294</v>
      </c>
      <c r="H284" s="5">
        <v>2360000</v>
      </c>
      <c r="I284" s="5">
        <v>70000</v>
      </c>
      <c r="J284" s="5">
        <v>2430000</v>
      </c>
      <c r="K284" s="5">
        <v>0</v>
      </c>
      <c r="L284" s="5">
        <v>-520000</v>
      </c>
      <c r="M284" s="5">
        <v>0</v>
      </c>
      <c r="N284" s="5">
        <v>0</v>
      </c>
      <c r="O284" s="5">
        <v>2950000</v>
      </c>
      <c r="P284" s="5">
        <v>0</v>
      </c>
      <c r="Q284" s="3" t="s">
        <v>948</v>
      </c>
      <c r="R284" s="3" t="s">
        <v>949</v>
      </c>
      <c r="S284" s="3" t="s">
        <v>34</v>
      </c>
      <c r="T284" s="3" t="s">
        <v>41</v>
      </c>
      <c r="U284" s="3" t="s">
        <v>34</v>
      </c>
      <c r="V284" s="3" t="s">
        <v>35</v>
      </c>
      <c r="W284" s="3" t="s">
        <v>1298</v>
      </c>
      <c r="X284" s="3"/>
      <c r="Y284" s="5">
        <v>590000</v>
      </c>
      <c r="Z284" s="5">
        <v>4</v>
      </c>
    </row>
    <row r="285" spans="1:26" ht="15.75" customHeight="1" x14ac:dyDescent="0.35">
      <c r="A285" s="2"/>
      <c r="B285" s="3" t="s">
        <v>1085</v>
      </c>
      <c r="C285" s="3" t="s">
        <v>29</v>
      </c>
      <c r="D285" s="3" t="s">
        <v>43</v>
      </c>
      <c r="E285" s="3" t="s">
        <v>1299</v>
      </c>
      <c r="F285" s="4" t="s">
        <v>1300</v>
      </c>
      <c r="G285" s="4" t="s">
        <v>1294</v>
      </c>
      <c r="H285" s="5">
        <v>1160000</v>
      </c>
      <c r="I285" s="5">
        <v>0</v>
      </c>
      <c r="J285" s="5">
        <v>1160000</v>
      </c>
      <c r="K285" s="5">
        <v>0</v>
      </c>
      <c r="L285" s="5">
        <v>0</v>
      </c>
      <c r="M285" s="5">
        <v>0</v>
      </c>
      <c r="N285" s="5">
        <v>1160000</v>
      </c>
      <c r="O285" s="5">
        <v>0</v>
      </c>
      <c r="P285" s="5">
        <v>0</v>
      </c>
      <c r="Q285" s="3" t="s">
        <v>34</v>
      </c>
      <c r="R285" s="3" t="s">
        <v>34</v>
      </c>
      <c r="S285" s="3" t="s">
        <v>34</v>
      </c>
      <c r="T285" s="3" t="s">
        <v>41</v>
      </c>
      <c r="U285" s="3" t="s">
        <v>34</v>
      </c>
      <c r="V285" s="3" t="s">
        <v>35</v>
      </c>
      <c r="W285" s="3" t="s">
        <v>1301</v>
      </c>
      <c r="X285" s="3"/>
      <c r="Y285" s="5">
        <v>580000</v>
      </c>
      <c r="Z285" s="5">
        <v>2</v>
      </c>
    </row>
    <row r="286" spans="1:26" ht="15.75" customHeight="1" x14ac:dyDescent="0.35">
      <c r="A286" s="2"/>
      <c r="B286" s="3" t="s">
        <v>1162</v>
      </c>
      <c r="C286" s="3" t="s">
        <v>64</v>
      </c>
      <c r="D286" s="3" t="s">
        <v>99</v>
      </c>
      <c r="E286" s="3" t="s">
        <v>1302</v>
      </c>
      <c r="F286" s="4" t="s">
        <v>1303</v>
      </c>
      <c r="G286" s="4" t="s">
        <v>1304</v>
      </c>
      <c r="H286" s="5">
        <v>350000</v>
      </c>
      <c r="I286" s="5">
        <v>0</v>
      </c>
      <c r="J286" s="5">
        <v>350000</v>
      </c>
      <c r="K286" s="5">
        <v>0</v>
      </c>
      <c r="L286" s="5">
        <v>350000</v>
      </c>
      <c r="M286" s="5">
        <v>0</v>
      </c>
      <c r="N286" s="5">
        <v>0</v>
      </c>
      <c r="O286" s="5">
        <v>0</v>
      </c>
      <c r="P286" s="5">
        <v>0</v>
      </c>
      <c r="Q286" s="3" t="s">
        <v>34</v>
      </c>
      <c r="R286" s="3" t="s">
        <v>34</v>
      </c>
      <c r="S286" s="3" t="s">
        <v>34</v>
      </c>
      <c r="T286" s="3" t="s">
        <v>41</v>
      </c>
      <c r="U286" s="3" t="s">
        <v>34</v>
      </c>
      <c r="V286" s="3" t="s">
        <v>35</v>
      </c>
      <c r="W286" s="3" t="s">
        <v>1305</v>
      </c>
      <c r="X286" s="3"/>
      <c r="Y286" s="5">
        <v>350000</v>
      </c>
      <c r="Z286" s="5">
        <v>1</v>
      </c>
    </row>
    <row r="287" spans="1:26" ht="15.75" customHeight="1" x14ac:dyDescent="0.35">
      <c r="A287" s="2"/>
      <c r="B287" s="3" t="s">
        <v>693</v>
      </c>
      <c r="C287" s="3" t="s">
        <v>64</v>
      </c>
      <c r="D287" s="3" t="s">
        <v>89</v>
      </c>
      <c r="E287" s="3" t="s">
        <v>1306</v>
      </c>
      <c r="F287" s="4" t="s">
        <v>1307</v>
      </c>
      <c r="G287" s="4" t="s">
        <v>1308</v>
      </c>
      <c r="H287" s="5">
        <v>909000</v>
      </c>
      <c r="I287" s="5">
        <v>0</v>
      </c>
      <c r="J287" s="5">
        <v>909000</v>
      </c>
      <c r="K287" s="5">
        <v>0</v>
      </c>
      <c r="L287" s="5">
        <v>0</v>
      </c>
      <c r="M287" s="5">
        <v>0</v>
      </c>
      <c r="N287" s="5">
        <v>909000</v>
      </c>
      <c r="O287" s="5">
        <v>0</v>
      </c>
      <c r="P287" s="5">
        <v>0</v>
      </c>
      <c r="Q287" s="3" t="s">
        <v>1309</v>
      </c>
      <c r="R287" s="3" t="s">
        <v>34</v>
      </c>
      <c r="S287" s="3" t="s">
        <v>1310</v>
      </c>
      <c r="T287" s="3" t="s">
        <v>41</v>
      </c>
      <c r="U287" s="3" t="s">
        <v>34</v>
      </c>
      <c r="V287" s="3" t="s">
        <v>35</v>
      </c>
      <c r="W287" s="3" t="s">
        <v>987</v>
      </c>
      <c r="X287" s="3"/>
      <c r="Y287" s="5">
        <v>909000</v>
      </c>
      <c r="Z287" s="5">
        <v>1</v>
      </c>
    </row>
    <row r="288" spans="1:26" ht="15.75" customHeight="1" x14ac:dyDescent="0.35">
      <c r="A288" s="2"/>
      <c r="B288" s="3" t="s">
        <v>693</v>
      </c>
      <c r="C288" s="3" t="s">
        <v>71</v>
      </c>
      <c r="D288" s="3" t="s">
        <v>95</v>
      </c>
      <c r="E288" s="3" t="s">
        <v>1306</v>
      </c>
      <c r="F288" s="4" t="s">
        <v>1307</v>
      </c>
      <c r="G288" s="4" t="s">
        <v>1308</v>
      </c>
      <c r="H288" s="5">
        <v>1112000</v>
      </c>
      <c r="I288" s="5">
        <v>0</v>
      </c>
      <c r="J288" s="5">
        <v>1112000</v>
      </c>
      <c r="K288" s="5">
        <v>0</v>
      </c>
      <c r="L288" s="5">
        <v>0</v>
      </c>
      <c r="M288" s="5">
        <v>0</v>
      </c>
      <c r="N288" s="5">
        <v>1112000</v>
      </c>
      <c r="O288" s="5">
        <v>0</v>
      </c>
      <c r="P288" s="5">
        <v>0</v>
      </c>
      <c r="Q288" s="3" t="s">
        <v>1309</v>
      </c>
      <c r="R288" s="3" t="s">
        <v>34</v>
      </c>
      <c r="S288" s="3" t="s">
        <v>1310</v>
      </c>
      <c r="T288" s="3" t="s">
        <v>41</v>
      </c>
      <c r="U288" s="3" t="s">
        <v>34</v>
      </c>
      <c r="V288" s="3" t="s">
        <v>35</v>
      </c>
      <c r="W288" s="3" t="s">
        <v>1311</v>
      </c>
      <c r="X288" s="3"/>
      <c r="Y288" s="5">
        <v>1112000</v>
      </c>
      <c r="Z288" s="5">
        <v>1</v>
      </c>
    </row>
    <row r="289" spans="1:26" ht="15.75" customHeight="1" x14ac:dyDescent="0.35">
      <c r="A289" s="2"/>
      <c r="B289" s="3" t="s">
        <v>693</v>
      </c>
      <c r="C289" s="3" t="s">
        <v>29</v>
      </c>
      <c r="D289" s="3" t="s">
        <v>30</v>
      </c>
      <c r="E289" s="3" t="s">
        <v>1306</v>
      </c>
      <c r="F289" s="4" t="s">
        <v>1307</v>
      </c>
      <c r="G289" s="4" t="s">
        <v>1308</v>
      </c>
      <c r="H289" s="5">
        <v>1059000</v>
      </c>
      <c r="I289" s="5">
        <v>0</v>
      </c>
      <c r="J289" s="5">
        <v>1059000</v>
      </c>
      <c r="K289" s="5">
        <v>0</v>
      </c>
      <c r="L289" s="5">
        <v>0</v>
      </c>
      <c r="M289" s="5">
        <v>0</v>
      </c>
      <c r="N289" s="5">
        <v>1059000</v>
      </c>
      <c r="O289" s="5">
        <v>0</v>
      </c>
      <c r="P289" s="5">
        <v>0</v>
      </c>
      <c r="Q289" s="3" t="s">
        <v>1309</v>
      </c>
      <c r="R289" s="3" t="s">
        <v>34</v>
      </c>
      <c r="S289" s="3" t="s">
        <v>1310</v>
      </c>
      <c r="T289" s="3" t="s">
        <v>41</v>
      </c>
      <c r="U289" s="3" t="s">
        <v>34</v>
      </c>
      <c r="V289" s="3" t="s">
        <v>35</v>
      </c>
      <c r="W289" s="3" t="s">
        <v>1036</v>
      </c>
      <c r="X289" s="3"/>
      <c r="Y289" s="5">
        <v>1059000</v>
      </c>
      <c r="Z289" s="5">
        <v>1</v>
      </c>
    </row>
    <row r="290" spans="1:26" ht="15.75" customHeight="1" x14ac:dyDescent="0.35">
      <c r="A290" s="2"/>
      <c r="B290" s="3" t="s">
        <v>1312</v>
      </c>
      <c r="C290" s="3" t="s">
        <v>64</v>
      </c>
      <c r="D290" s="3" t="s">
        <v>76</v>
      </c>
      <c r="E290" s="3" t="s">
        <v>1313</v>
      </c>
      <c r="F290" s="4" t="s">
        <v>1314</v>
      </c>
      <c r="G290" s="4" t="s">
        <v>1315</v>
      </c>
      <c r="H290" s="5">
        <v>470000</v>
      </c>
      <c r="I290" s="5">
        <v>0</v>
      </c>
      <c r="J290" s="5">
        <v>470000</v>
      </c>
      <c r="K290" s="5">
        <v>0</v>
      </c>
      <c r="L290" s="5">
        <v>0</v>
      </c>
      <c r="M290" s="5">
        <v>0</v>
      </c>
      <c r="N290" s="5">
        <v>470000</v>
      </c>
      <c r="O290" s="5">
        <v>0</v>
      </c>
      <c r="P290" s="5">
        <v>0</v>
      </c>
      <c r="Q290" s="3" t="s">
        <v>1316</v>
      </c>
      <c r="R290" s="3" t="s">
        <v>34</v>
      </c>
      <c r="S290" s="3" t="s">
        <v>1317</v>
      </c>
      <c r="T290" s="3" t="s">
        <v>41</v>
      </c>
      <c r="U290" s="3" t="s">
        <v>34</v>
      </c>
      <c r="V290" s="3" t="s">
        <v>35</v>
      </c>
      <c r="W290" s="3" t="s">
        <v>1318</v>
      </c>
      <c r="X290" s="3"/>
      <c r="Y290" s="5">
        <v>470000</v>
      </c>
      <c r="Z290" s="5">
        <v>1</v>
      </c>
    </row>
    <row r="291" spans="1:26" ht="15.75" customHeight="1" x14ac:dyDescent="0.35">
      <c r="A291" s="2"/>
      <c r="B291" s="3" t="s">
        <v>1051</v>
      </c>
      <c r="C291" s="3" t="s">
        <v>64</v>
      </c>
      <c r="D291" s="3" t="s">
        <v>89</v>
      </c>
      <c r="E291" s="3" t="s">
        <v>1319</v>
      </c>
      <c r="F291" s="4" t="s">
        <v>1320</v>
      </c>
      <c r="G291" s="4" t="s">
        <v>1321</v>
      </c>
      <c r="H291" s="5">
        <v>565000</v>
      </c>
      <c r="I291" s="5">
        <v>0</v>
      </c>
      <c r="J291" s="5">
        <v>565000</v>
      </c>
      <c r="K291" s="5">
        <v>0</v>
      </c>
      <c r="L291" s="5">
        <v>35000</v>
      </c>
      <c r="M291" s="5">
        <v>0</v>
      </c>
      <c r="N291" s="5">
        <v>530000</v>
      </c>
      <c r="O291" s="5">
        <v>0</v>
      </c>
      <c r="P291" s="5">
        <v>0</v>
      </c>
      <c r="Q291" s="3" t="s">
        <v>1322</v>
      </c>
      <c r="R291" s="3" t="s">
        <v>34</v>
      </c>
      <c r="S291" s="3" t="s">
        <v>34</v>
      </c>
      <c r="T291" s="3" t="s">
        <v>41</v>
      </c>
      <c r="U291" s="3" t="s">
        <v>34</v>
      </c>
      <c r="V291" s="3" t="s">
        <v>35</v>
      </c>
      <c r="W291" s="3" t="s">
        <v>1323</v>
      </c>
      <c r="X291" s="3"/>
      <c r="Y291" s="5">
        <v>565000</v>
      </c>
      <c r="Z291" s="5">
        <v>1</v>
      </c>
    </row>
    <row r="292" spans="1:26" ht="15.75" customHeight="1" x14ac:dyDescent="0.35">
      <c r="A292" s="2"/>
      <c r="B292" s="3" t="s">
        <v>1213</v>
      </c>
      <c r="C292" s="3" t="s">
        <v>59</v>
      </c>
      <c r="D292" s="3" t="s">
        <v>182</v>
      </c>
      <c r="E292" s="3" t="s">
        <v>1324</v>
      </c>
      <c r="F292" s="4" t="s">
        <v>1325</v>
      </c>
      <c r="G292" s="4" t="s">
        <v>1326</v>
      </c>
      <c r="H292" s="5">
        <v>585000</v>
      </c>
      <c r="I292" s="5">
        <v>0</v>
      </c>
      <c r="J292" s="5">
        <v>585000</v>
      </c>
      <c r="K292" s="5">
        <v>0</v>
      </c>
      <c r="L292" s="5">
        <v>0</v>
      </c>
      <c r="M292" s="5">
        <v>0</v>
      </c>
      <c r="N292" s="5">
        <v>585000</v>
      </c>
      <c r="O292" s="5">
        <v>0</v>
      </c>
      <c r="P292" s="5">
        <v>0</v>
      </c>
      <c r="Q292" s="3" t="s">
        <v>1327</v>
      </c>
      <c r="R292" s="3" t="s">
        <v>34</v>
      </c>
      <c r="S292" s="3" t="s">
        <v>34</v>
      </c>
      <c r="T292" s="3" t="s">
        <v>41</v>
      </c>
      <c r="U292" s="3" t="s">
        <v>34</v>
      </c>
      <c r="V292" s="3" t="s">
        <v>35</v>
      </c>
      <c r="W292" s="3" t="s">
        <v>1328</v>
      </c>
      <c r="X292" s="3"/>
      <c r="Y292" s="5">
        <v>585000</v>
      </c>
      <c r="Z292" s="5">
        <v>1</v>
      </c>
    </row>
    <row r="293" spans="1:26" ht="15.75" customHeight="1" x14ac:dyDescent="0.35">
      <c r="A293" s="2"/>
      <c r="B293" s="3" t="s">
        <v>1329</v>
      </c>
      <c r="C293" s="3" t="s">
        <v>59</v>
      </c>
      <c r="D293" s="3" t="s">
        <v>60</v>
      </c>
      <c r="E293" s="3" t="s">
        <v>1330</v>
      </c>
      <c r="F293" s="4" t="s">
        <v>1331</v>
      </c>
      <c r="G293" s="4" t="s">
        <v>1332</v>
      </c>
      <c r="H293" s="5">
        <v>1496160</v>
      </c>
      <c r="I293" s="5">
        <v>0</v>
      </c>
      <c r="J293" s="5">
        <v>1496160</v>
      </c>
      <c r="K293" s="5">
        <v>0</v>
      </c>
      <c r="L293" s="5">
        <v>0</v>
      </c>
      <c r="M293" s="5">
        <v>0</v>
      </c>
      <c r="N293" s="5">
        <v>0</v>
      </c>
      <c r="O293" s="5">
        <v>1496160</v>
      </c>
      <c r="P293" s="5">
        <v>0</v>
      </c>
      <c r="Q293" s="3" t="s">
        <v>34</v>
      </c>
      <c r="R293" s="3" t="s">
        <v>34</v>
      </c>
      <c r="S293" s="3" t="s">
        <v>34</v>
      </c>
      <c r="T293" s="3" t="s">
        <v>48</v>
      </c>
      <c r="U293" s="3" t="s">
        <v>34</v>
      </c>
      <c r="V293" s="3" t="s">
        <v>35</v>
      </c>
      <c r="W293" s="3" t="s">
        <v>1333</v>
      </c>
      <c r="X293" s="3" t="s">
        <v>1334</v>
      </c>
      <c r="Y293" s="5">
        <v>498720</v>
      </c>
      <c r="Z293" s="5">
        <v>3</v>
      </c>
    </row>
    <row r="294" spans="1:26" ht="15.75" customHeight="1" x14ac:dyDescent="0.35">
      <c r="A294" s="2"/>
      <c r="B294" s="3" t="s">
        <v>1142</v>
      </c>
      <c r="C294" s="3" t="s">
        <v>71</v>
      </c>
      <c r="D294" s="3" t="s">
        <v>95</v>
      </c>
      <c r="E294" s="3" t="s">
        <v>1335</v>
      </c>
      <c r="F294" s="4" t="s">
        <v>1336</v>
      </c>
      <c r="G294" s="4" t="s">
        <v>1337</v>
      </c>
      <c r="H294" s="5">
        <v>644508</v>
      </c>
      <c r="I294" s="5">
        <v>0</v>
      </c>
      <c r="J294" s="5">
        <v>644508</v>
      </c>
      <c r="K294" s="5">
        <v>0</v>
      </c>
      <c r="L294" s="5">
        <v>0</v>
      </c>
      <c r="M294" s="5">
        <v>0</v>
      </c>
      <c r="N294" s="5">
        <v>0</v>
      </c>
      <c r="O294" s="5">
        <v>644508</v>
      </c>
      <c r="P294" s="5">
        <v>0</v>
      </c>
      <c r="Q294" s="3" t="s">
        <v>1338</v>
      </c>
      <c r="R294" s="3" t="s">
        <v>1339</v>
      </c>
      <c r="S294" s="3" t="s">
        <v>34</v>
      </c>
      <c r="T294" s="3" t="s">
        <v>48</v>
      </c>
      <c r="U294" s="3" t="s">
        <v>34</v>
      </c>
      <c r="V294" s="3" t="s">
        <v>35</v>
      </c>
      <c r="W294" s="3" t="s">
        <v>1340</v>
      </c>
      <c r="X294" s="3" t="s">
        <v>1341</v>
      </c>
      <c r="Y294" s="5">
        <v>644508</v>
      </c>
      <c r="Z294" s="5">
        <v>1</v>
      </c>
    </row>
    <row r="295" spans="1:26" ht="15.75" customHeight="1" x14ac:dyDescent="0.35">
      <c r="A295" s="2"/>
      <c r="B295" s="3" t="s">
        <v>1142</v>
      </c>
      <c r="C295" s="3" t="s">
        <v>29</v>
      </c>
      <c r="D295" s="3" t="s">
        <v>43</v>
      </c>
      <c r="E295" s="3" t="s">
        <v>1342</v>
      </c>
      <c r="F295" s="4" t="s">
        <v>1336</v>
      </c>
      <c r="G295" s="4" t="s">
        <v>1337</v>
      </c>
      <c r="H295" s="5">
        <v>801144</v>
      </c>
      <c r="I295" s="5">
        <v>0</v>
      </c>
      <c r="J295" s="5">
        <v>801144</v>
      </c>
      <c r="K295" s="5">
        <v>0</v>
      </c>
      <c r="L295" s="5">
        <v>0</v>
      </c>
      <c r="M295" s="5">
        <v>0</v>
      </c>
      <c r="N295" s="5">
        <v>0</v>
      </c>
      <c r="O295" s="5">
        <v>801144</v>
      </c>
      <c r="P295" s="5">
        <v>0</v>
      </c>
      <c r="Q295" s="3"/>
      <c r="R295" s="3"/>
      <c r="S295" s="3"/>
      <c r="T295" s="3" t="s">
        <v>48</v>
      </c>
      <c r="U295" s="3" t="s">
        <v>34</v>
      </c>
      <c r="V295" s="3" t="s">
        <v>35</v>
      </c>
      <c r="W295" s="3" t="s">
        <v>1343</v>
      </c>
      <c r="X295" s="3" t="s">
        <v>1341</v>
      </c>
      <c r="Y295" s="5">
        <v>801144</v>
      </c>
      <c r="Z295" s="5">
        <v>1</v>
      </c>
    </row>
    <row r="296" spans="1:26" ht="15.75" customHeight="1" x14ac:dyDescent="0.35">
      <c r="A296" s="2"/>
      <c r="B296" s="3" t="s">
        <v>1142</v>
      </c>
      <c r="C296" s="3" t="s">
        <v>59</v>
      </c>
      <c r="D296" s="3" t="s">
        <v>122</v>
      </c>
      <c r="E296" s="3" t="s">
        <v>1335</v>
      </c>
      <c r="F296" s="4" t="s">
        <v>1336</v>
      </c>
      <c r="G296" s="4" t="s">
        <v>1337</v>
      </c>
      <c r="H296" s="5">
        <v>644508</v>
      </c>
      <c r="I296" s="5">
        <v>0</v>
      </c>
      <c r="J296" s="5">
        <v>644508</v>
      </c>
      <c r="K296" s="5">
        <v>0</v>
      </c>
      <c r="L296" s="5">
        <v>0</v>
      </c>
      <c r="M296" s="5">
        <v>0</v>
      </c>
      <c r="N296" s="5">
        <v>0</v>
      </c>
      <c r="O296" s="5">
        <v>644508</v>
      </c>
      <c r="P296" s="5">
        <v>0</v>
      </c>
      <c r="Q296" s="3" t="s">
        <v>34</v>
      </c>
      <c r="R296" s="3" t="s">
        <v>34</v>
      </c>
      <c r="S296" s="3" t="s">
        <v>34</v>
      </c>
      <c r="T296" s="3" t="s">
        <v>48</v>
      </c>
      <c r="U296" s="3" t="s">
        <v>34</v>
      </c>
      <c r="V296" s="3" t="s">
        <v>35</v>
      </c>
      <c r="W296" s="3" t="s">
        <v>1344</v>
      </c>
      <c r="X296" s="3" t="s">
        <v>1341</v>
      </c>
      <c r="Y296" s="5">
        <v>644508</v>
      </c>
      <c r="Z296" s="5">
        <v>1</v>
      </c>
    </row>
    <row r="297" spans="1:26" ht="15.75" customHeight="1" x14ac:dyDescent="0.35">
      <c r="A297" s="2"/>
      <c r="B297" s="3" t="s">
        <v>1296</v>
      </c>
      <c r="C297" s="3" t="s">
        <v>71</v>
      </c>
      <c r="D297" s="3" t="s">
        <v>72</v>
      </c>
      <c r="E297" s="3" t="s">
        <v>226</v>
      </c>
      <c r="F297" s="4" t="s">
        <v>1345</v>
      </c>
      <c r="G297" s="4" t="s">
        <v>1337</v>
      </c>
      <c r="H297" s="5">
        <v>590000</v>
      </c>
      <c r="I297" s="5">
        <v>0</v>
      </c>
      <c r="J297" s="5">
        <v>590000</v>
      </c>
      <c r="K297" s="5">
        <v>0</v>
      </c>
      <c r="L297" s="5">
        <v>590000</v>
      </c>
      <c r="M297" s="5">
        <v>0</v>
      </c>
      <c r="N297" s="5">
        <v>0</v>
      </c>
      <c r="O297" s="5">
        <v>0</v>
      </c>
      <c r="P297" s="5">
        <v>0</v>
      </c>
      <c r="Q297" s="3"/>
      <c r="R297" s="3"/>
      <c r="S297" s="3"/>
      <c r="T297" s="3" t="s">
        <v>41</v>
      </c>
      <c r="U297" s="3" t="s">
        <v>34</v>
      </c>
      <c r="V297" s="3" t="s">
        <v>35</v>
      </c>
      <c r="W297" s="3" t="s">
        <v>1346</v>
      </c>
      <c r="X297" s="3"/>
      <c r="Y297" s="5">
        <v>590000</v>
      </c>
      <c r="Z297" s="5">
        <v>1</v>
      </c>
    </row>
    <row r="298" spans="1:26" ht="15.75" customHeight="1" x14ac:dyDescent="0.35">
      <c r="A298" s="2"/>
      <c r="B298" s="3" t="s">
        <v>1347</v>
      </c>
      <c r="C298" s="3" t="s">
        <v>64</v>
      </c>
      <c r="D298" s="3" t="s">
        <v>65</v>
      </c>
      <c r="E298" s="3" t="s">
        <v>1348</v>
      </c>
      <c r="F298" s="4" t="s">
        <v>1349</v>
      </c>
      <c r="G298" s="4" t="s">
        <v>1337</v>
      </c>
      <c r="H298" s="5">
        <v>525600</v>
      </c>
      <c r="I298" s="5">
        <v>0</v>
      </c>
      <c r="J298" s="5">
        <v>525600</v>
      </c>
      <c r="K298" s="5">
        <v>0</v>
      </c>
      <c r="L298" s="5">
        <v>0</v>
      </c>
      <c r="M298" s="5">
        <v>0</v>
      </c>
      <c r="N298" s="5">
        <v>0</v>
      </c>
      <c r="O298" s="5">
        <v>525600</v>
      </c>
      <c r="P298" s="5">
        <v>0</v>
      </c>
      <c r="Q298" s="3" t="s">
        <v>1350</v>
      </c>
      <c r="R298" s="3" t="s">
        <v>34</v>
      </c>
      <c r="S298" s="3" t="s">
        <v>34</v>
      </c>
      <c r="T298" s="3" t="s">
        <v>48</v>
      </c>
      <c r="U298" s="3" t="s">
        <v>34</v>
      </c>
      <c r="V298" s="3" t="s">
        <v>35</v>
      </c>
      <c r="W298" s="3" t="s">
        <v>1351</v>
      </c>
      <c r="X298" s="3" t="s">
        <v>1352</v>
      </c>
      <c r="Y298" s="5">
        <v>525600</v>
      </c>
      <c r="Z298" s="5">
        <v>1</v>
      </c>
    </row>
    <row r="299" spans="1:26" ht="15.75" customHeight="1" x14ac:dyDescent="0.35">
      <c r="A299" s="2"/>
      <c r="B299" s="3" t="s">
        <v>1092</v>
      </c>
      <c r="C299" s="3" t="s">
        <v>29</v>
      </c>
      <c r="D299" s="3" t="s">
        <v>30</v>
      </c>
      <c r="E299" s="3" t="s">
        <v>1353</v>
      </c>
      <c r="F299" s="4" t="s">
        <v>1354</v>
      </c>
      <c r="G299" s="4" t="s">
        <v>1337</v>
      </c>
      <c r="H299" s="5">
        <v>700000</v>
      </c>
      <c r="I299" s="5">
        <v>0</v>
      </c>
      <c r="J299" s="5">
        <v>700000</v>
      </c>
      <c r="K299" s="5">
        <v>0</v>
      </c>
      <c r="L299" s="5">
        <v>0</v>
      </c>
      <c r="M299" s="5">
        <v>0</v>
      </c>
      <c r="N299" s="5">
        <v>700000</v>
      </c>
      <c r="O299" s="5">
        <v>0</v>
      </c>
      <c r="P299" s="5">
        <v>0</v>
      </c>
      <c r="Q299" s="3" t="s">
        <v>1355</v>
      </c>
      <c r="R299" s="3" t="s">
        <v>34</v>
      </c>
      <c r="S299" s="3" t="s">
        <v>34</v>
      </c>
      <c r="T299" s="3" t="s">
        <v>41</v>
      </c>
      <c r="U299" s="3" t="s">
        <v>34</v>
      </c>
      <c r="V299" s="3" t="s">
        <v>35</v>
      </c>
      <c r="W299" s="3" t="s">
        <v>1356</v>
      </c>
      <c r="X299" s="3"/>
      <c r="Y299" s="5">
        <v>700000</v>
      </c>
      <c r="Z299" s="5">
        <v>1</v>
      </c>
    </row>
    <row r="300" spans="1:26" ht="15.75" customHeight="1" x14ac:dyDescent="0.35">
      <c r="A300" s="2"/>
      <c r="B300" s="3" t="s">
        <v>1172</v>
      </c>
      <c r="C300" s="3" t="s">
        <v>64</v>
      </c>
      <c r="D300" s="3" t="s">
        <v>99</v>
      </c>
      <c r="E300" s="3" t="s">
        <v>1357</v>
      </c>
      <c r="F300" s="4" t="s">
        <v>1358</v>
      </c>
      <c r="G300" s="4" t="s">
        <v>1359</v>
      </c>
      <c r="H300" s="5">
        <v>459000</v>
      </c>
      <c r="I300" s="5">
        <v>0</v>
      </c>
      <c r="J300" s="5">
        <v>459000</v>
      </c>
      <c r="K300" s="5">
        <v>0</v>
      </c>
      <c r="L300" s="5">
        <v>459000</v>
      </c>
      <c r="M300" s="5">
        <v>0</v>
      </c>
      <c r="N300" s="5">
        <v>0</v>
      </c>
      <c r="O300" s="5">
        <v>0</v>
      </c>
      <c r="P300" s="5">
        <v>0</v>
      </c>
      <c r="Q300" s="3" t="s">
        <v>935</v>
      </c>
      <c r="R300" s="3" t="s">
        <v>34</v>
      </c>
      <c r="S300" s="3" t="s">
        <v>1360</v>
      </c>
      <c r="T300" s="3" t="s">
        <v>41</v>
      </c>
      <c r="U300" s="3" t="s">
        <v>34</v>
      </c>
      <c r="V300" s="3" t="s">
        <v>35</v>
      </c>
      <c r="W300" s="3" t="s">
        <v>1361</v>
      </c>
      <c r="X300" s="3"/>
      <c r="Y300" s="5">
        <v>459000</v>
      </c>
      <c r="Z300" s="5">
        <v>1</v>
      </c>
    </row>
    <row r="301" spans="1:26" ht="15.75" customHeight="1" x14ac:dyDescent="0.35">
      <c r="A301" s="2"/>
      <c r="B301" s="3" t="s">
        <v>1333</v>
      </c>
      <c r="C301" s="3" t="s">
        <v>29</v>
      </c>
      <c r="D301" s="3" t="s">
        <v>43</v>
      </c>
      <c r="E301" s="3" t="s">
        <v>1362</v>
      </c>
      <c r="F301" s="4" t="s">
        <v>1363</v>
      </c>
      <c r="G301" s="4" t="s">
        <v>1364</v>
      </c>
      <c r="H301" s="5">
        <v>459000</v>
      </c>
      <c r="I301" s="5">
        <v>0</v>
      </c>
      <c r="J301" s="5">
        <v>459000</v>
      </c>
      <c r="K301" s="5">
        <v>0</v>
      </c>
      <c r="L301" s="5">
        <v>459000</v>
      </c>
      <c r="M301" s="5">
        <v>0</v>
      </c>
      <c r="N301" s="5">
        <v>0</v>
      </c>
      <c r="O301" s="5">
        <v>0</v>
      </c>
      <c r="P301" s="5">
        <v>0</v>
      </c>
      <c r="Q301" s="3"/>
      <c r="R301" s="3"/>
      <c r="S301" s="3"/>
      <c r="T301" s="3" t="s">
        <v>41</v>
      </c>
      <c r="U301" s="3" t="s">
        <v>34</v>
      </c>
      <c r="V301" s="3" t="s">
        <v>35</v>
      </c>
      <c r="W301" s="3" t="s">
        <v>1365</v>
      </c>
      <c r="X301" s="3"/>
      <c r="Y301" s="5">
        <v>459000</v>
      </c>
      <c r="Z301" s="5">
        <v>1</v>
      </c>
    </row>
    <row r="302" spans="1:26" ht="15.75" customHeight="1" x14ac:dyDescent="0.35">
      <c r="A302" s="2"/>
      <c r="B302" s="3" t="s">
        <v>1193</v>
      </c>
      <c r="C302" s="3" t="s">
        <v>29</v>
      </c>
      <c r="D302" s="3" t="s">
        <v>30</v>
      </c>
      <c r="E302" s="3" t="s">
        <v>1366</v>
      </c>
      <c r="F302" s="4" t="s">
        <v>1367</v>
      </c>
      <c r="G302" s="4" t="s">
        <v>1368</v>
      </c>
      <c r="H302" s="5">
        <v>449000</v>
      </c>
      <c r="I302" s="5">
        <v>0</v>
      </c>
      <c r="J302" s="5">
        <v>449000</v>
      </c>
      <c r="K302" s="5">
        <v>0</v>
      </c>
      <c r="L302" s="5">
        <v>449000</v>
      </c>
      <c r="M302" s="5">
        <v>0</v>
      </c>
      <c r="N302" s="5">
        <v>0</v>
      </c>
      <c r="O302" s="5">
        <v>0</v>
      </c>
      <c r="P302" s="5">
        <v>0</v>
      </c>
      <c r="Q302" s="3" t="s">
        <v>1369</v>
      </c>
      <c r="R302" s="3" t="s">
        <v>34</v>
      </c>
      <c r="S302" s="3" t="s">
        <v>1370</v>
      </c>
      <c r="T302" s="3" t="s">
        <v>41</v>
      </c>
      <c r="U302" s="3" t="s">
        <v>34</v>
      </c>
      <c r="V302" s="3" t="s">
        <v>35</v>
      </c>
      <c r="W302" s="3" t="s">
        <v>1371</v>
      </c>
      <c r="X302" s="3"/>
      <c r="Y302" s="5">
        <v>449000</v>
      </c>
      <c r="Z302" s="5">
        <v>1</v>
      </c>
    </row>
    <row r="303" spans="1:26" ht="15.75" customHeight="1" x14ac:dyDescent="0.35">
      <c r="A303" s="2"/>
      <c r="B303" s="3" t="s">
        <v>1139</v>
      </c>
      <c r="C303" s="3" t="s">
        <v>64</v>
      </c>
      <c r="D303" s="3" t="s">
        <v>89</v>
      </c>
      <c r="E303" s="3" t="s">
        <v>1372</v>
      </c>
      <c r="F303" s="4" t="s">
        <v>1373</v>
      </c>
      <c r="G303" s="4" t="s">
        <v>1374</v>
      </c>
      <c r="H303" s="5">
        <v>500000</v>
      </c>
      <c r="I303" s="5">
        <v>15000</v>
      </c>
      <c r="J303" s="5">
        <v>515000</v>
      </c>
      <c r="K303" s="5">
        <v>0</v>
      </c>
      <c r="L303" s="5">
        <v>15000</v>
      </c>
      <c r="M303" s="5">
        <v>0</v>
      </c>
      <c r="N303" s="5">
        <v>500000</v>
      </c>
      <c r="O303" s="5">
        <v>0</v>
      </c>
      <c r="P303" s="5">
        <v>0</v>
      </c>
      <c r="Q303" s="3" t="s">
        <v>1375</v>
      </c>
      <c r="R303" s="3" t="s">
        <v>34</v>
      </c>
      <c r="S303" s="3" t="s">
        <v>1376</v>
      </c>
      <c r="T303" s="3" t="s">
        <v>41</v>
      </c>
      <c r="U303" s="3" t="s">
        <v>34</v>
      </c>
      <c r="V303" s="3" t="s">
        <v>35</v>
      </c>
      <c r="W303" s="3" t="s">
        <v>1377</v>
      </c>
      <c r="X303" s="3"/>
      <c r="Y303" s="5">
        <v>500000</v>
      </c>
      <c r="Z303" s="5">
        <v>1</v>
      </c>
    </row>
    <row r="304" spans="1:26" ht="15.75" customHeight="1" x14ac:dyDescent="0.35">
      <c r="A304" s="2"/>
      <c r="B304" s="3" t="s">
        <v>60</v>
      </c>
      <c r="C304" s="3" t="s">
        <v>64</v>
      </c>
      <c r="D304" s="3" t="s">
        <v>76</v>
      </c>
      <c r="E304" s="3" t="s">
        <v>1378</v>
      </c>
      <c r="F304" s="4" t="s">
        <v>1379</v>
      </c>
      <c r="G304" s="4" t="s">
        <v>1380</v>
      </c>
      <c r="H304" s="5">
        <v>495000</v>
      </c>
      <c r="I304" s="5">
        <v>0</v>
      </c>
      <c r="J304" s="5">
        <v>495000</v>
      </c>
      <c r="K304" s="5">
        <v>0</v>
      </c>
      <c r="L304" s="5">
        <v>495000</v>
      </c>
      <c r="M304" s="5">
        <v>0</v>
      </c>
      <c r="N304" s="5">
        <v>0</v>
      </c>
      <c r="O304" s="5">
        <v>0</v>
      </c>
      <c r="P304" s="5">
        <v>0</v>
      </c>
      <c r="Q304" s="3" t="s">
        <v>34</v>
      </c>
      <c r="R304" s="3" t="s">
        <v>34</v>
      </c>
      <c r="S304" s="3" t="s">
        <v>34</v>
      </c>
      <c r="T304" s="3" t="s">
        <v>41</v>
      </c>
      <c r="U304" s="3" t="s">
        <v>34</v>
      </c>
      <c r="V304" s="3" t="s">
        <v>35</v>
      </c>
      <c r="W304" s="3" t="s">
        <v>1381</v>
      </c>
      <c r="X304" s="3"/>
      <c r="Y304" s="5">
        <v>495000</v>
      </c>
      <c r="Z304" s="5">
        <v>1</v>
      </c>
    </row>
    <row r="305" spans="1:26" ht="15.75" customHeight="1" x14ac:dyDescent="0.35">
      <c r="A305" s="2"/>
      <c r="B305" s="3" t="s">
        <v>1117</v>
      </c>
      <c r="C305" s="3" t="s">
        <v>64</v>
      </c>
      <c r="D305" s="3" t="s">
        <v>65</v>
      </c>
      <c r="E305" s="3" t="s">
        <v>1382</v>
      </c>
      <c r="F305" s="4" t="s">
        <v>1383</v>
      </c>
      <c r="G305" s="4" t="s">
        <v>1384</v>
      </c>
      <c r="H305" s="5">
        <v>494000</v>
      </c>
      <c r="I305" s="5">
        <v>30000</v>
      </c>
      <c r="J305" s="5">
        <v>524000</v>
      </c>
      <c r="K305" s="5">
        <v>0</v>
      </c>
      <c r="L305" s="5">
        <v>0</v>
      </c>
      <c r="M305" s="5">
        <v>0</v>
      </c>
      <c r="N305" s="5">
        <v>524000</v>
      </c>
      <c r="O305" s="5">
        <v>0</v>
      </c>
      <c r="P305" s="5">
        <v>0</v>
      </c>
      <c r="Q305" s="3" t="s">
        <v>1385</v>
      </c>
      <c r="R305" s="3" t="s">
        <v>34</v>
      </c>
      <c r="S305" s="3" t="s">
        <v>1386</v>
      </c>
      <c r="T305" s="3" t="s">
        <v>41</v>
      </c>
      <c r="U305" s="3" t="s">
        <v>34</v>
      </c>
      <c r="V305" s="3" t="s">
        <v>35</v>
      </c>
      <c r="W305" s="3" t="s">
        <v>1387</v>
      </c>
      <c r="X305" s="3"/>
      <c r="Y305" s="5">
        <v>494000</v>
      </c>
      <c r="Z305" s="5">
        <v>1</v>
      </c>
    </row>
    <row r="306" spans="1:26" ht="15.75" customHeight="1" x14ac:dyDescent="0.35">
      <c r="A306" s="2"/>
      <c r="B306" s="3" t="s">
        <v>76</v>
      </c>
      <c r="C306" s="3" t="s">
        <v>59</v>
      </c>
      <c r="D306" s="3" t="s">
        <v>193</v>
      </c>
      <c r="E306" s="3" t="s">
        <v>376</v>
      </c>
      <c r="F306" s="4" t="s">
        <v>1388</v>
      </c>
      <c r="G306" s="4" t="s">
        <v>1389</v>
      </c>
      <c r="H306" s="5">
        <v>1100000</v>
      </c>
      <c r="I306" s="5">
        <v>0</v>
      </c>
      <c r="J306" s="5">
        <v>1100000</v>
      </c>
      <c r="K306" s="5">
        <v>0</v>
      </c>
      <c r="L306" s="5">
        <v>1100000</v>
      </c>
      <c r="M306" s="5">
        <v>0</v>
      </c>
      <c r="N306" s="5">
        <v>0</v>
      </c>
      <c r="O306" s="5">
        <v>0</v>
      </c>
      <c r="P306" s="5">
        <v>0</v>
      </c>
      <c r="Q306" s="3" t="s">
        <v>378</v>
      </c>
      <c r="R306" s="3" t="s">
        <v>34</v>
      </c>
      <c r="S306" s="3" t="s">
        <v>34</v>
      </c>
      <c r="T306" s="3" t="s">
        <v>41</v>
      </c>
      <c r="U306" s="3" t="s">
        <v>34</v>
      </c>
      <c r="V306" s="3" t="s">
        <v>35</v>
      </c>
      <c r="W306" s="3" t="s">
        <v>1390</v>
      </c>
      <c r="X306" s="3"/>
      <c r="Y306" s="5">
        <v>550000</v>
      </c>
      <c r="Z306" s="5">
        <v>2</v>
      </c>
    </row>
    <row r="307" spans="1:26" ht="15.75" customHeight="1" x14ac:dyDescent="0.35">
      <c r="A307" s="2"/>
      <c r="B307" s="3" t="s">
        <v>1125</v>
      </c>
      <c r="C307" s="3" t="s">
        <v>59</v>
      </c>
      <c r="D307" s="3" t="s">
        <v>60</v>
      </c>
      <c r="E307" s="3" t="s">
        <v>1391</v>
      </c>
      <c r="F307" s="4" t="s">
        <v>1392</v>
      </c>
      <c r="G307" s="4" t="s">
        <v>1389</v>
      </c>
      <c r="H307" s="5">
        <v>444960</v>
      </c>
      <c r="I307" s="5">
        <v>0</v>
      </c>
      <c r="J307" s="5">
        <v>444960</v>
      </c>
      <c r="K307" s="5">
        <v>0</v>
      </c>
      <c r="L307" s="5">
        <v>0</v>
      </c>
      <c r="M307" s="5">
        <v>0</v>
      </c>
      <c r="N307" s="5">
        <v>0</v>
      </c>
      <c r="O307" s="5">
        <v>444960</v>
      </c>
      <c r="P307" s="5">
        <v>0</v>
      </c>
      <c r="Q307" s="3" t="s">
        <v>1393</v>
      </c>
      <c r="R307" s="3" t="s">
        <v>34</v>
      </c>
      <c r="S307" s="3" t="s">
        <v>34</v>
      </c>
      <c r="T307" s="3" t="s">
        <v>48</v>
      </c>
      <c r="U307" s="3" t="s">
        <v>34</v>
      </c>
      <c r="V307" s="3" t="s">
        <v>35</v>
      </c>
      <c r="W307" s="3" t="s">
        <v>1394</v>
      </c>
      <c r="X307" s="3" t="s">
        <v>1395</v>
      </c>
      <c r="Y307" s="5">
        <v>444960</v>
      </c>
      <c r="Z307" s="5">
        <v>1</v>
      </c>
    </row>
    <row r="308" spans="1:26" ht="15.75" customHeight="1" x14ac:dyDescent="0.35">
      <c r="A308" s="2"/>
      <c r="B308" s="3" t="s">
        <v>1206</v>
      </c>
      <c r="C308" s="3" t="s">
        <v>64</v>
      </c>
      <c r="D308" s="3" t="s">
        <v>173</v>
      </c>
      <c r="E308" s="3" t="s">
        <v>1396</v>
      </c>
      <c r="F308" s="4" t="s">
        <v>1397</v>
      </c>
      <c r="G308" s="4" t="s">
        <v>1398</v>
      </c>
      <c r="H308" s="5">
        <v>495000</v>
      </c>
      <c r="I308" s="5">
        <v>0</v>
      </c>
      <c r="J308" s="5">
        <v>495000</v>
      </c>
      <c r="K308" s="5">
        <v>0</v>
      </c>
      <c r="L308" s="5">
        <v>495000</v>
      </c>
      <c r="M308" s="5">
        <v>0</v>
      </c>
      <c r="N308" s="5">
        <v>0</v>
      </c>
      <c r="O308" s="5">
        <v>0</v>
      </c>
      <c r="P308" s="5">
        <v>0</v>
      </c>
      <c r="Q308" s="3" t="s">
        <v>34</v>
      </c>
      <c r="R308" s="3" t="s">
        <v>34</v>
      </c>
      <c r="S308" s="3" t="s">
        <v>1399</v>
      </c>
      <c r="T308" s="3" t="s">
        <v>41</v>
      </c>
      <c r="U308" s="3" t="s">
        <v>34</v>
      </c>
      <c r="V308" s="3" t="s">
        <v>35</v>
      </c>
      <c r="W308" s="3" t="s">
        <v>1400</v>
      </c>
      <c r="X308" s="3"/>
      <c r="Y308" s="5">
        <v>495000</v>
      </c>
      <c r="Z308" s="5">
        <v>1</v>
      </c>
    </row>
    <row r="309" spans="1:26" ht="15.75" customHeight="1" x14ac:dyDescent="0.35">
      <c r="A309" s="2"/>
      <c r="B309" s="3" t="s">
        <v>1227</v>
      </c>
      <c r="C309" s="3" t="s">
        <v>64</v>
      </c>
      <c r="D309" s="3" t="s">
        <v>99</v>
      </c>
      <c r="E309" s="3" t="s">
        <v>226</v>
      </c>
      <c r="F309" s="4" t="s">
        <v>1401</v>
      </c>
      <c r="G309" s="4" t="s">
        <v>1402</v>
      </c>
      <c r="H309" s="5">
        <v>349000</v>
      </c>
      <c r="I309" s="5">
        <v>0</v>
      </c>
      <c r="J309" s="5">
        <v>349000</v>
      </c>
      <c r="K309" s="5">
        <v>0</v>
      </c>
      <c r="L309" s="5">
        <v>349000</v>
      </c>
      <c r="M309" s="5">
        <v>0</v>
      </c>
      <c r="N309" s="5">
        <v>0</v>
      </c>
      <c r="O309" s="5">
        <v>0</v>
      </c>
      <c r="P309" s="5">
        <v>0</v>
      </c>
      <c r="Q309" s="3" t="s">
        <v>1403</v>
      </c>
      <c r="R309" s="3"/>
      <c r="S309" s="3"/>
      <c r="T309" s="3" t="s">
        <v>41</v>
      </c>
      <c r="U309" s="3" t="s">
        <v>34</v>
      </c>
      <c r="V309" s="3" t="s">
        <v>35</v>
      </c>
      <c r="W309" s="3" t="s">
        <v>1404</v>
      </c>
      <c r="X309" s="3"/>
      <c r="Y309" s="5">
        <v>349000</v>
      </c>
      <c r="Z309" s="5">
        <v>1</v>
      </c>
    </row>
    <row r="310" spans="1:26" ht="15.75" customHeight="1" x14ac:dyDescent="0.35">
      <c r="A310" s="2"/>
      <c r="B310" s="3" t="s">
        <v>1405</v>
      </c>
      <c r="C310" s="3" t="s">
        <v>29</v>
      </c>
      <c r="D310" s="3" t="s">
        <v>413</v>
      </c>
      <c r="E310" s="3" t="s">
        <v>1012</v>
      </c>
      <c r="F310" s="4" t="s">
        <v>1406</v>
      </c>
      <c r="G310" s="4" t="s">
        <v>1407</v>
      </c>
      <c r="H310" s="5">
        <v>3368000</v>
      </c>
      <c r="I310" s="5">
        <v>100000</v>
      </c>
      <c r="J310" s="5">
        <v>3468000</v>
      </c>
      <c r="K310" s="5">
        <v>0</v>
      </c>
      <c r="L310" s="5">
        <v>100000</v>
      </c>
      <c r="M310" s="5">
        <v>0</v>
      </c>
      <c r="N310" s="5">
        <v>3368000</v>
      </c>
      <c r="O310" s="5">
        <v>0</v>
      </c>
      <c r="P310" s="5">
        <v>0</v>
      </c>
      <c r="Q310" s="3" t="s">
        <v>1015</v>
      </c>
      <c r="R310" s="3"/>
      <c r="S310" s="3"/>
      <c r="T310" s="3" t="s">
        <v>41</v>
      </c>
      <c r="U310" s="3" t="s">
        <v>34</v>
      </c>
      <c r="V310" s="3" t="s">
        <v>35</v>
      </c>
      <c r="W310" s="3" t="s">
        <v>1408</v>
      </c>
      <c r="X310" s="3"/>
      <c r="Y310" s="5">
        <v>842000</v>
      </c>
      <c r="Z310" s="5">
        <v>4</v>
      </c>
    </row>
    <row r="311" spans="1:26" ht="15.75" customHeight="1" x14ac:dyDescent="0.35">
      <c r="A311" s="2"/>
      <c r="B311" s="3" t="s">
        <v>37</v>
      </c>
      <c r="C311" s="3" t="s">
        <v>64</v>
      </c>
      <c r="D311" s="3" t="s">
        <v>89</v>
      </c>
      <c r="E311" s="3" t="s">
        <v>1409</v>
      </c>
      <c r="F311" s="4" t="s">
        <v>1410</v>
      </c>
      <c r="G311" s="4" t="s">
        <v>1411</v>
      </c>
      <c r="H311" s="5">
        <v>444960</v>
      </c>
      <c r="I311" s="5">
        <v>0</v>
      </c>
      <c r="J311" s="5">
        <v>444960</v>
      </c>
      <c r="K311" s="5">
        <v>0</v>
      </c>
      <c r="L311" s="5">
        <v>0</v>
      </c>
      <c r="M311" s="5">
        <v>0</v>
      </c>
      <c r="N311" s="5">
        <v>0</v>
      </c>
      <c r="O311" s="5">
        <v>444960</v>
      </c>
      <c r="P311" s="5">
        <v>0</v>
      </c>
      <c r="Q311" s="3" t="s">
        <v>1412</v>
      </c>
      <c r="R311" s="3" t="s">
        <v>34</v>
      </c>
      <c r="S311" s="3" t="s">
        <v>1413</v>
      </c>
      <c r="T311" s="3" t="s">
        <v>48</v>
      </c>
      <c r="U311" s="3" t="s">
        <v>34</v>
      </c>
      <c r="V311" s="3" t="s">
        <v>35</v>
      </c>
      <c r="W311" s="3" t="s">
        <v>1414</v>
      </c>
      <c r="X311" s="3" t="s">
        <v>1415</v>
      </c>
      <c r="Y311" s="5">
        <v>444960</v>
      </c>
      <c r="Z311" s="5">
        <v>1</v>
      </c>
    </row>
    <row r="312" spans="1:26" ht="15.75" customHeight="1" x14ac:dyDescent="0.35">
      <c r="A312" s="2"/>
      <c r="B312" s="3" t="s">
        <v>1148</v>
      </c>
      <c r="C312" s="3" t="s">
        <v>29</v>
      </c>
      <c r="D312" s="3" t="s">
        <v>43</v>
      </c>
      <c r="E312" s="3" t="s">
        <v>1416</v>
      </c>
      <c r="F312" s="4" t="s">
        <v>1417</v>
      </c>
      <c r="G312" s="4" t="s">
        <v>1418</v>
      </c>
      <c r="H312" s="5">
        <v>800000</v>
      </c>
      <c r="I312" s="5">
        <v>0</v>
      </c>
      <c r="J312" s="5">
        <v>800000</v>
      </c>
      <c r="K312" s="5">
        <v>0</v>
      </c>
      <c r="L312" s="5">
        <v>800000</v>
      </c>
      <c r="M312" s="5">
        <v>0</v>
      </c>
      <c r="N312" s="5">
        <v>0</v>
      </c>
      <c r="O312" s="5">
        <v>0</v>
      </c>
      <c r="P312" s="5">
        <v>0</v>
      </c>
      <c r="Q312" s="3" t="s">
        <v>1419</v>
      </c>
      <c r="R312" s="3" t="s">
        <v>34</v>
      </c>
      <c r="S312" s="3" t="s">
        <v>1420</v>
      </c>
      <c r="T312" s="3" t="s">
        <v>41</v>
      </c>
      <c r="U312" s="3" t="s">
        <v>34</v>
      </c>
      <c r="V312" s="3" t="s">
        <v>35</v>
      </c>
      <c r="W312" s="3" t="s">
        <v>1421</v>
      </c>
      <c r="X312" s="3"/>
      <c r="Y312" s="5">
        <v>800000</v>
      </c>
      <c r="Z312" s="5">
        <v>1</v>
      </c>
    </row>
    <row r="313" spans="1:26" ht="15.75" customHeight="1" x14ac:dyDescent="0.35">
      <c r="A313" s="2"/>
      <c r="B313" s="3" t="s">
        <v>1186</v>
      </c>
      <c r="C313" s="3" t="s">
        <v>64</v>
      </c>
      <c r="D313" s="3" t="s">
        <v>76</v>
      </c>
      <c r="E313" s="3" t="s">
        <v>1422</v>
      </c>
      <c r="F313" s="4" t="s">
        <v>1423</v>
      </c>
      <c r="G313" s="4" t="s">
        <v>1418</v>
      </c>
      <c r="H313" s="5">
        <v>495000</v>
      </c>
      <c r="I313" s="5">
        <v>0</v>
      </c>
      <c r="J313" s="5">
        <v>495000</v>
      </c>
      <c r="K313" s="5">
        <v>0</v>
      </c>
      <c r="L313" s="5">
        <v>495000</v>
      </c>
      <c r="M313" s="5">
        <v>0</v>
      </c>
      <c r="N313" s="5">
        <v>0</v>
      </c>
      <c r="O313" s="5">
        <v>0</v>
      </c>
      <c r="P313" s="5">
        <v>0</v>
      </c>
      <c r="Q313" s="3" t="s">
        <v>1424</v>
      </c>
      <c r="R313" s="3" t="s">
        <v>34</v>
      </c>
      <c r="S313" s="3" t="s">
        <v>1425</v>
      </c>
      <c r="T313" s="3" t="s">
        <v>41</v>
      </c>
      <c r="U313" s="3" t="s">
        <v>34</v>
      </c>
      <c r="V313" s="3" t="s">
        <v>35</v>
      </c>
      <c r="W313" s="3" t="s">
        <v>1426</v>
      </c>
      <c r="X313" s="3"/>
      <c r="Y313" s="5">
        <v>495000</v>
      </c>
      <c r="Z313" s="5">
        <v>1</v>
      </c>
    </row>
    <row r="314" spans="1:26" ht="15.75" customHeight="1" x14ac:dyDescent="0.35">
      <c r="A314" s="2"/>
      <c r="B314" s="3" t="s">
        <v>1104</v>
      </c>
      <c r="C314" s="3" t="s">
        <v>29</v>
      </c>
      <c r="D314" s="3" t="s">
        <v>110</v>
      </c>
      <c r="E314" s="3" t="s">
        <v>1427</v>
      </c>
      <c r="F314" s="4" t="s">
        <v>1428</v>
      </c>
      <c r="G314" s="4" t="s">
        <v>1429</v>
      </c>
      <c r="H314" s="5">
        <v>1655280</v>
      </c>
      <c r="I314" s="5">
        <v>15000</v>
      </c>
      <c r="J314" s="5">
        <v>1670280</v>
      </c>
      <c r="K314" s="5">
        <v>0</v>
      </c>
      <c r="L314" s="5">
        <v>0</v>
      </c>
      <c r="M314" s="5">
        <v>0</v>
      </c>
      <c r="N314" s="5">
        <v>15000</v>
      </c>
      <c r="O314" s="5">
        <v>1655280</v>
      </c>
      <c r="P314" s="5">
        <v>0</v>
      </c>
      <c r="Q314" s="3" t="s">
        <v>1430</v>
      </c>
      <c r="R314" s="3" t="s">
        <v>34</v>
      </c>
      <c r="S314" s="3" t="s">
        <v>34</v>
      </c>
      <c r="T314" s="3" t="s">
        <v>48</v>
      </c>
      <c r="U314" s="3" t="s">
        <v>34</v>
      </c>
      <c r="V314" s="3" t="s">
        <v>35</v>
      </c>
      <c r="W314" s="3" t="s">
        <v>1431</v>
      </c>
      <c r="X314" s="3" t="s">
        <v>1432</v>
      </c>
      <c r="Y314" s="5">
        <v>551760</v>
      </c>
      <c r="Z314" s="5">
        <v>3</v>
      </c>
    </row>
    <row r="315" spans="1:26" ht="15.75" customHeight="1" x14ac:dyDescent="0.35">
      <c r="A315" s="2"/>
      <c r="B315" s="3" t="s">
        <v>1433</v>
      </c>
      <c r="C315" s="3" t="s">
        <v>29</v>
      </c>
      <c r="D315" s="3" t="s">
        <v>413</v>
      </c>
      <c r="E315" s="3" t="s">
        <v>226</v>
      </c>
      <c r="F315" s="4" t="s">
        <v>1434</v>
      </c>
      <c r="G315" s="4" t="s">
        <v>1435</v>
      </c>
      <c r="H315" s="5">
        <v>400000</v>
      </c>
      <c r="I315" s="5">
        <v>0</v>
      </c>
      <c r="J315" s="5">
        <v>400000</v>
      </c>
      <c r="K315" s="5">
        <v>0</v>
      </c>
      <c r="L315" s="5">
        <v>400000</v>
      </c>
      <c r="M315" s="5">
        <v>0</v>
      </c>
      <c r="N315" s="5">
        <v>0</v>
      </c>
      <c r="O315" s="5">
        <v>0</v>
      </c>
      <c r="P315" s="5">
        <v>0</v>
      </c>
      <c r="Q315" s="3"/>
      <c r="R315" s="3"/>
      <c r="S315" s="3"/>
      <c r="T315" s="3" t="s">
        <v>41</v>
      </c>
      <c r="U315" s="3" t="s">
        <v>34</v>
      </c>
      <c r="V315" s="3" t="s">
        <v>35</v>
      </c>
      <c r="W315" s="3" t="s">
        <v>1436</v>
      </c>
      <c r="X315" s="3"/>
      <c r="Y315" s="5">
        <v>400000</v>
      </c>
      <c r="Z315" s="5">
        <v>1</v>
      </c>
    </row>
    <row r="316" spans="1:26" ht="15.75" customHeight="1" x14ac:dyDescent="0.35">
      <c r="A316" s="2"/>
      <c r="B316" s="3" t="s">
        <v>1190</v>
      </c>
      <c r="C316" s="3" t="s">
        <v>64</v>
      </c>
      <c r="D316" s="3" t="s">
        <v>65</v>
      </c>
      <c r="E316" s="3" t="s">
        <v>1437</v>
      </c>
      <c r="F316" s="4" t="s">
        <v>1423</v>
      </c>
      <c r="G316" s="4" t="s">
        <v>1438</v>
      </c>
      <c r="H316" s="5">
        <v>1044000</v>
      </c>
      <c r="I316" s="5">
        <v>0</v>
      </c>
      <c r="J316" s="5">
        <v>989100</v>
      </c>
      <c r="K316" s="5">
        <v>0</v>
      </c>
      <c r="L316" s="5">
        <v>0</v>
      </c>
      <c r="M316" s="5">
        <v>0</v>
      </c>
      <c r="N316" s="5">
        <v>989100</v>
      </c>
      <c r="O316" s="5">
        <v>0</v>
      </c>
      <c r="P316" s="5">
        <v>0</v>
      </c>
      <c r="Q316" s="3" t="s">
        <v>1439</v>
      </c>
      <c r="R316" s="3" t="s">
        <v>1440</v>
      </c>
      <c r="S316" s="3" t="s">
        <v>1441</v>
      </c>
      <c r="T316" s="3" t="s">
        <v>48</v>
      </c>
      <c r="U316" s="3" t="s">
        <v>34</v>
      </c>
      <c r="V316" s="3" t="s">
        <v>35</v>
      </c>
      <c r="W316" s="3" t="s">
        <v>1442</v>
      </c>
      <c r="X316" s="3" t="s">
        <v>1443</v>
      </c>
      <c r="Y316" s="5">
        <v>522000</v>
      </c>
      <c r="Z316" s="5">
        <v>2</v>
      </c>
    </row>
    <row r="317" spans="1:26" ht="15.75" customHeight="1" x14ac:dyDescent="0.35">
      <c r="A317" s="2"/>
      <c r="B317" s="3" t="s">
        <v>1444</v>
      </c>
      <c r="C317" s="3" t="s">
        <v>59</v>
      </c>
      <c r="D317" s="3" t="s">
        <v>193</v>
      </c>
      <c r="E317" s="3" t="s">
        <v>1445</v>
      </c>
      <c r="F317" s="4" t="s">
        <v>1446</v>
      </c>
      <c r="G317" s="4" t="s">
        <v>1447</v>
      </c>
      <c r="H317" s="5">
        <v>495000</v>
      </c>
      <c r="I317" s="5">
        <v>0</v>
      </c>
      <c r="J317" s="5">
        <v>495000</v>
      </c>
      <c r="K317" s="5">
        <v>0</v>
      </c>
      <c r="L317" s="5">
        <v>495000</v>
      </c>
      <c r="M317" s="5">
        <v>0</v>
      </c>
      <c r="N317" s="5">
        <v>0</v>
      </c>
      <c r="O317" s="5">
        <v>0</v>
      </c>
      <c r="P317" s="5">
        <v>0</v>
      </c>
      <c r="Q317" s="3" t="s">
        <v>1448</v>
      </c>
      <c r="R317" s="3"/>
      <c r="S317" s="3"/>
      <c r="T317" s="3" t="s">
        <v>41</v>
      </c>
      <c r="U317" s="3" t="s">
        <v>34</v>
      </c>
      <c r="V317" s="3" t="s">
        <v>35</v>
      </c>
      <c r="W317" s="3" t="s">
        <v>1449</v>
      </c>
      <c r="X317" s="3"/>
      <c r="Y317" s="5">
        <v>495000</v>
      </c>
      <c r="Z317" s="5">
        <v>1</v>
      </c>
    </row>
    <row r="318" spans="1:26" ht="15.75" customHeight="1" x14ac:dyDescent="0.35">
      <c r="A318" s="2"/>
      <c r="B318" s="3" t="s">
        <v>905</v>
      </c>
      <c r="C318" s="3" t="s">
        <v>29</v>
      </c>
      <c r="D318" s="3" t="s">
        <v>110</v>
      </c>
      <c r="E318" s="3" t="s">
        <v>226</v>
      </c>
      <c r="F318" s="4" t="s">
        <v>1450</v>
      </c>
      <c r="G318" s="4" t="s">
        <v>1451</v>
      </c>
      <c r="H318" s="5">
        <v>800000</v>
      </c>
      <c r="I318" s="5">
        <v>0</v>
      </c>
      <c r="J318" s="5">
        <v>800000</v>
      </c>
      <c r="K318" s="5">
        <v>0</v>
      </c>
      <c r="L318" s="5">
        <v>0</v>
      </c>
      <c r="M318" s="5">
        <v>0</v>
      </c>
      <c r="N318" s="5">
        <v>800000</v>
      </c>
      <c r="O318" s="5">
        <v>0</v>
      </c>
      <c r="P318" s="5">
        <v>0</v>
      </c>
      <c r="Q318" s="3"/>
      <c r="R318" s="3"/>
      <c r="S318" s="3"/>
      <c r="T318" s="3" t="s">
        <v>41</v>
      </c>
      <c r="U318" s="3" t="s">
        <v>34</v>
      </c>
      <c r="V318" s="3" t="s">
        <v>35</v>
      </c>
      <c r="W318" s="3" t="s">
        <v>1274</v>
      </c>
      <c r="X318" s="3"/>
      <c r="Y318" s="5">
        <v>800000</v>
      </c>
      <c r="Z318" s="5">
        <v>1</v>
      </c>
    </row>
    <row r="319" spans="1:26" ht="15.75" customHeight="1" x14ac:dyDescent="0.35">
      <c r="A319" s="2"/>
      <c r="B319" s="3" t="s">
        <v>905</v>
      </c>
      <c r="C319" s="3" t="s">
        <v>29</v>
      </c>
      <c r="D319" s="3" t="s">
        <v>30</v>
      </c>
      <c r="E319" s="3" t="s">
        <v>1452</v>
      </c>
      <c r="F319" s="4" t="s">
        <v>1450</v>
      </c>
      <c r="G319" s="4" t="s">
        <v>1451</v>
      </c>
      <c r="H319" s="5">
        <v>800000</v>
      </c>
      <c r="I319" s="5">
        <v>0</v>
      </c>
      <c r="J319" s="5">
        <v>800000</v>
      </c>
      <c r="K319" s="5">
        <v>0</v>
      </c>
      <c r="L319" s="5">
        <v>0</v>
      </c>
      <c r="M319" s="5">
        <v>0</v>
      </c>
      <c r="N319" s="5">
        <v>800000</v>
      </c>
      <c r="O319" s="5">
        <v>0</v>
      </c>
      <c r="P319" s="5">
        <v>0</v>
      </c>
      <c r="Q319" s="3" t="s">
        <v>1453</v>
      </c>
      <c r="R319" s="3" t="s">
        <v>34</v>
      </c>
      <c r="S319" s="3" t="s">
        <v>34</v>
      </c>
      <c r="T319" s="3" t="s">
        <v>41</v>
      </c>
      <c r="U319" s="3" t="s">
        <v>34</v>
      </c>
      <c r="V319" s="3" t="s">
        <v>35</v>
      </c>
      <c r="W319" s="3" t="s">
        <v>1405</v>
      </c>
      <c r="X319" s="3"/>
      <c r="Y319" s="5">
        <v>800000</v>
      </c>
      <c r="Z319" s="5">
        <v>1</v>
      </c>
    </row>
    <row r="320" spans="1:26" ht="15.75" customHeight="1" x14ac:dyDescent="0.35">
      <c r="A320" s="2"/>
      <c r="B320" s="3" t="s">
        <v>1454</v>
      </c>
      <c r="C320" s="3" t="s">
        <v>71</v>
      </c>
      <c r="D320" s="3" t="s">
        <v>95</v>
      </c>
      <c r="E320" s="3" t="s">
        <v>1455</v>
      </c>
      <c r="F320" s="4" t="s">
        <v>1456</v>
      </c>
      <c r="G320" s="4" t="s">
        <v>1457</v>
      </c>
      <c r="H320" s="5">
        <v>1258000</v>
      </c>
      <c r="I320" s="5">
        <v>97000</v>
      </c>
      <c r="J320" s="5">
        <v>1355000</v>
      </c>
      <c r="K320" s="5">
        <v>0</v>
      </c>
      <c r="L320" s="5">
        <v>0</v>
      </c>
      <c r="M320" s="5">
        <v>0</v>
      </c>
      <c r="N320" s="5">
        <v>1355000</v>
      </c>
      <c r="O320" s="5">
        <v>0</v>
      </c>
      <c r="P320" s="5">
        <v>0</v>
      </c>
      <c r="Q320" s="3"/>
      <c r="R320" s="3"/>
      <c r="S320" s="3"/>
      <c r="T320" s="3" t="s">
        <v>41</v>
      </c>
      <c r="U320" s="3" t="s">
        <v>34</v>
      </c>
      <c r="V320" s="3" t="s">
        <v>35</v>
      </c>
      <c r="W320" s="3" t="s">
        <v>1458</v>
      </c>
      <c r="X320" s="3"/>
      <c r="Y320" s="5">
        <v>629000</v>
      </c>
      <c r="Z320" s="5">
        <v>2</v>
      </c>
    </row>
    <row r="321" spans="1:26" ht="15.75" customHeight="1" x14ac:dyDescent="0.35">
      <c r="A321" s="2"/>
      <c r="B321" s="3" t="s">
        <v>1220</v>
      </c>
      <c r="C321" s="3" t="s">
        <v>64</v>
      </c>
      <c r="D321" s="3" t="s">
        <v>99</v>
      </c>
      <c r="E321" s="3" t="s">
        <v>1459</v>
      </c>
      <c r="F321" s="4" t="s">
        <v>1460</v>
      </c>
      <c r="G321" s="4" t="s">
        <v>1461</v>
      </c>
      <c r="H321" s="5">
        <v>1170000</v>
      </c>
      <c r="I321" s="5">
        <v>0</v>
      </c>
      <c r="J321" s="5">
        <v>1170000</v>
      </c>
      <c r="K321" s="5">
        <v>0</v>
      </c>
      <c r="L321" s="5">
        <v>0</v>
      </c>
      <c r="M321" s="5">
        <v>0</v>
      </c>
      <c r="N321" s="5">
        <v>1170000</v>
      </c>
      <c r="O321" s="5">
        <v>0</v>
      </c>
      <c r="P321" s="5">
        <v>0</v>
      </c>
      <c r="Q321" s="3" t="s">
        <v>425</v>
      </c>
      <c r="R321" s="3" t="s">
        <v>34</v>
      </c>
      <c r="S321" s="3" t="s">
        <v>34</v>
      </c>
      <c r="T321" s="3" t="s">
        <v>41</v>
      </c>
      <c r="U321" s="3" t="s">
        <v>34</v>
      </c>
      <c r="V321" s="3" t="s">
        <v>35</v>
      </c>
      <c r="W321" s="3" t="s">
        <v>1462</v>
      </c>
      <c r="X321" s="3"/>
      <c r="Y321" s="5">
        <v>585000</v>
      </c>
      <c r="Z321" s="5">
        <v>2</v>
      </c>
    </row>
    <row r="322" spans="1:26" ht="15.75" customHeight="1" x14ac:dyDescent="0.35">
      <c r="A322" s="2"/>
      <c r="B322" s="3" t="s">
        <v>1463</v>
      </c>
      <c r="C322" s="3" t="s">
        <v>29</v>
      </c>
      <c r="D322" s="3" t="s">
        <v>43</v>
      </c>
      <c r="E322" s="3" t="s">
        <v>1416</v>
      </c>
      <c r="F322" s="4" t="s">
        <v>1464</v>
      </c>
      <c r="G322" s="4" t="s">
        <v>1465</v>
      </c>
      <c r="H322" s="5">
        <v>800000</v>
      </c>
      <c r="I322" s="5">
        <v>0</v>
      </c>
      <c r="J322" s="5">
        <v>800000</v>
      </c>
      <c r="K322" s="5">
        <v>0</v>
      </c>
      <c r="L322" s="5">
        <v>355040</v>
      </c>
      <c r="M322" s="5">
        <v>0</v>
      </c>
      <c r="N322" s="5">
        <v>0</v>
      </c>
      <c r="O322" s="5">
        <v>444960</v>
      </c>
      <c r="P322" s="5">
        <v>0</v>
      </c>
      <c r="Q322" s="3" t="s">
        <v>34</v>
      </c>
      <c r="R322" s="3" t="s">
        <v>34</v>
      </c>
      <c r="S322" s="3" t="s">
        <v>34</v>
      </c>
      <c r="T322" s="3" t="s">
        <v>48</v>
      </c>
      <c r="U322" s="3" t="s">
        <v>34</v>
      </c>
      <c r="V322" s="3" t="s">
        <v>35</v>
      </c>
      <c r="W322" s="3" t="s">
        <v>1466</v>
      </c>
      <c r="X322" s="3" t="s">
        <v>1467</v>
      </c>
      <c r="Y322" s="5">
        <v>400000</v>
      </c>
      <c r="Z322" s="5">
        <v>2</v>
      </c>
    </row>
    <row r="323" spans="1:26" ht="15.75" customHeight="1" x14ac:dyDescent="0.35">
      <c r="A323" s="2"/>
      <c r="B323" s="3" t="s">
        <v>1063</v>
      </c>
      <c r="C323" s="3" t="s">
        <v>71</v>
      </c>
      <c r="D323" s="3" t="s">
        <v>72</v>
      </c>
      <c r="E323" s="3" t="s">
        <v>946</v>
      </c>
      <c r="F323" s="4" t="s">
        <v>1392</v>
      </c>
      <c r="G323" s="4" t="s">
        <v>1468</v>
      </c>
      <c r="H323" s="5">
        <v>1779840</v>
      </c>
      <c r="I323" s="5">
        <v>70000</v>
      </c>
      <c r="J323" s="5">
        <v>1849840</v>
      </c>
      <c r="K323" s="5">
        <v>0</v>
      </c>
      <c r="L323" s="5">
        <v>70000</v>
      </c>
      <c r="M323" s="5">
        <v>0</v>
      </c>
      <c r="N323" s="5">
        <v>0</v>
      </c>
      <c r="O323" s="5">
        <v>1779840</v>
      </c>
      <c r="P323" s="5">
        <v>0</v>
      </c>
      <c r="Q323" s="3" t="s">
        <v>738</v>
      </c>
      <c r="R323" s="3" t="s">
        <v>34</v>
      </c>
      <c r="S323" s="3" t="s">
        <v>34</v>
      </c>
      <c r="T323" s="3" t="s">
        <v>48</v>
      </c>
      <c r="U323" s="3" t="s">
        <v>34</v>
      </c>
      <c r="V323" s="3" t="s">
        <v>35</v>
      </c>
      <c r="W323" s="3" t="s">
        <v>1469</v>
      </c>
      <c r="X323" s="3" t="s">
        <v>1470</v>
      </c>
      <c r="Y323" s="5">
        <v>444960</v>
      </c>
      <c r="Z323" s="5">
        <v>4</v>
      </c>
    </row>
    <row r="324" spans="1:26" ht="15.75" customHeight="1" x14ac:dyDescent="0.35">
      <c r="A324" s="2"/>
      <c r="B324" s="3" t="s">
        <v>1291</v>
      </c>
      <c r="C324" s="3" t="s">
        <v>59</v>
      </c>
      <c r="D324" s="3" t="s">
        <v>60</v>
      </c>
      <c r="E324" s="3" t="s">
        <v>1471</v>
      </c>
      <c r="F324" s="4" t="s">
        <v>1472</v>
      </c>
      <c r="G324" s="4" t="s">
        <v>1468</v>
      </c>
      <c r="H324" s="5">
        <v>444960</v>
      </c>
      <c r="I324" s="5">
        <v>0</v>
      </c>
      <c r="J324" s="5">
        <v>444960</v>
      </c>
      <c r="K324" s="5">
        <v>0</v>
      </c>
      <c r="L324" s="5">
        <v>0</v>
      </c>
      <c r="M324" s="5">
        <v>0</v>
      </c>
      <c r="N324" s="5">
        <v>0</v>
      </c>
      <c r="O324" s="5">
        <v>444960</v>
      </c>
      <c r="P324" s="5">
        <v>0</v>
      </c>
      <c r="Q324" s="3" t="s">
        <v>738</v>
      </c>
      <c r="R324" s="3" t="s">
        <v>34</v>
      </c>
      <c r="S324" s="3" t="s">
        <v>1473</v>
      </c>
      <c r="T324" s="3" t="s">
        <v>48</v>
      </c>
      <c r="U324" s="3" t="s">
        <v>34</v>
      </c>
      <c r="V324" s="3" t="s">
        <v>35</v>
      </c>
      <c r="W324" s="3" t="s">
        <v>1474</v>
      </c>
      <c r="X324" s="3" t="s">
        <v>1475</v>
      </c>
      <c r="Y324" s="5">
        <v>444960</v>
      </c>
      <c r="Z324" s="5">
        <v>1</v>
      </c>
    </row>
    <row r="325" spans="1:26" ht="15.75" customHeight="1" x14ac:dyDescent="0.35">
      <c r="A325" s="2"/>
      <c r="B325" s="3" t="s">
        <v>1476</v>
      </c>
      <c r="C325" s="3" t="s">
        <v>64</v>
      </c>
      <c r="D325" s="3" t="s">
        <v>173</v>
      </c>
      <c r="E325" s="3" t="s">
        <v>1477</v>
      </c>
      <c r="F325" s="4" t="s">
        <v>1478</v>
      </c>
      <c r="G325" s="4" t="s">
        <v>1479</v>
      </c>
      <c r="H325" s="5">
        <v>1110000</v>
      </c>
      <c r="I325" s="5">
        <v>20000</v>
      </c>
      <c r="J325" s="5">
        <v>1130000</v>
      </c>
      <c r="K325" s="5">
        <v>0</v>
      </c>
      <c r="L325" s="5">
        <v>0</v>
      </c>
      <c r="M325" s="5">
        <v>0</v>
      </c>
      <c r="N325" s="5">
        <v>1130000</v>
      </c>
      <c r="O325" s="5">
        <v>0</v>
      </c>
      <c r="P325" s="5">
        <v>0</v>
      </c>
      <c r="Q325" s="3" t="s">
        <v>1480</v>
      </c>
      <c r="R325" s="3" t="s">
        <v>34</v>
      </c>
      <c r="S325" s="3" t="s">
        <v>1481</v>
      </c>
      <c r="T325" s="3" t="s">
        <v>41</v>
      </c>
      <c r="U325" s="3" t="s">
        <v>34</v>
      </c>
      <c r="V325" s="3" t="s">
        <v>35</v>
      </c>
      <c r="W325" s="3" t="s">
        <v>1482</v>
      </c>
      <c r="X325" s="3"/>
      <c r="Y325" s="5">
        <v>555000</v>
      </c>
      <c r="Z325" s="5">
        <v>2</v>
      </c>
    </row>
    <row r="326" spans="1:26" ht="15.75" customHeight="1" x14ac:dyDescent="0.35">
      <c r="A326" s="2"/>
      <c r="B326" s="3" t="s">
        <v>1109</v>
      </c>
      <c r="C326" s="3" t="s">
        <v>64</v>
      </c>
      <c r="D326" s="3" t="s">
        <v>89</v>
      </c>
      <c r="E326" s="3" t="s">
        <v>1483</v>
      </c>
      <c r="F326" s="4" t="s">
        <v>1484</v>
      </c>
      <c r="G326" s="4" t="s">
        <v>1485</v>
      </c>
      <c r="H326" s="5">
        <v>1482000</v>
      </c>
      <c r="I326" s="5">
        <v>0</v>
      </c>
      <c r="J326" s="5">
        <v>1482000</v>
      </c>
      <c r="K326" s="5">
        <v>0</v>
      </c>
      <c r="L326" s="5">
        <v>0</v>
      </c>
      <c r="M326" s="5">
        <v>0</v>
      </c>
      <c r="N326" s="5">
        <v>1482000</v>
      </c>
      <c r="O326" s="5">
        <v>0</v>
      </c>
      <c r="P326" s="5">
        <v>0</v>
      </c>
      <c r="Q326" s="3" t="s">
        <v>1486</v>
      </c>
      <c r="R326" s="3" t="s">
        <v>34</v>
      </c>
      <c r="S326" s="3" t="s">
        <v>1487</v>
      </c>
      <c r="T326" s="3" t="s">
        <v>41</v>
      </c>
      <c r="U326" s="3" t="s">
        <v>34</v>
      </c>
      <c r="V326" s="3" t="s">
        <v>35</v>
      </c>
      <c r="W326" s="3" t="s">
        <v>1488</v>
      </c>
      <c r="X326" s="3"/>
      <c r="Y326" s="5">
        <v>494000</v>
      </c>
      <c r="Z326" s="5">
        <v>3</v>
      </c>
    </row>
    <row r="327" spans="1:26" ht="15.75" customHeight="1" x14ac:dyDescent="0.35">
      <c r="A327" s="2"/>
      <c r="B327" s="3" t="s">
        <v>1236</v>
      </c>
      <c r="C327" s="3" t="s">
        <v>64</v>
      </c>
      <c r="D327" s="3" t="s">
        <v>173</v>
      </c>
      <c r="E327" s="3" t="s">
        <v>1489</v>
      </c>
      <c r="F327" s="4" t="s">
        <v>1490</v>
      </c>
      <c r="G327" s="4" t="s">
        <v>1491</v>
      </c>
      <c r="H327" s="5">
        <v>493920</v>
      </c>
      <c r="I327" s="5">
        <v>0</v>
      </c>
      <c r="J327" s="5">
        <v>493920</v>
      </c>
      <c r="K327" s="5">
        <v>0</v>
      </c>
      <c r="L327" s="5">
        <v>0</v>
      </c>
      <c r="M327" s="5">
        <v>0</v>
      </c>
      <c r="N327" s="5">
        <v>0</v>
      </c>
      <c r="O327" s="5">
        <v>493920</v>
      </c>
      <c r="P327" s="5">
        <v>0</v>
      </c>
      <c r="Q327" s="3" t="s">
        <v>1492</v>
      </c>
      <c r="R327" s="3" t="s">
        <v>34</v>
      </c>
      <c r="S327" s="3" t="s">
        <v>34</v>
      </c>
      <c r="T327" s="3" t="s">
        <v>48</v>
      </c>
      <c r="U327" s="3" t="s">
        <v>34</v>
      </c>
      <c r="V327" s="3" t="s">
        <v>35</v>
      </c>
      <c r="W327" s="3" t="s">
        <v>1493</v>
      </c>
      <c r="X327" s="3" t="s">
        <v>1494</v>
      </c>
      <c r="Y327" s="5">
        <v>493920</v>
      </c>
      <c r="Z327" s="5">
        <v>1</v>
      </c>
    </row>
    <row r="328" spans="1:26" ht="15.75" customHeight="1" x14ac:dyDescent="0.35">
      <c r="A328" s="2"/>
      <c r="B328" s="3" t="s">
        <v>1226</v>
      </c>
      <c r="C328" s="3" t="s">
        <v>59</v>
      </c>
      <c r="D328" s="3" t="s">
        <v>122</v>
      </c>
      <c r="E328" s="3" t="s">
        <v>1495</v>
      </c>
      <c r="F328" s="4" t="s">
        <v>1496</v>
      </c>
      <c r="G328" s="4" t="s">
        <v>1497</v>
      </c>
      <c r="H328" s="5">
        <v>470000</v>
      </c>
      <c r="I328" s="5">
        <v>0</v>
      </c>
      <c r="J328" s="5">
        <v>470000</v>
      </c>
      <c r="K328" s="5">
        <v>0</v>
      </c>
      <c r="L328" s="5">
        <v>0</v>
      </c>
      <c r="M328" s="5">
        <v>0</v>
      </c>
      <c r="N328" s="5">
        <v>470000</v>
      </c>
      <c r="O328" s="5">
        <v>0</v>
      </c>
      <c r="P328" s="5">
        <v>0</v>
      </c>
      <c r="Q328" s="3" t="s">
        <v>1498</v>
      </c>
      <c r="R328" s="3" t="s">
        <v>34</v>
      </c>
      <c r="S328" s="3" t="s">
        <v>34</v>
      </c>
      <c r="T328" s="3" t="s">
        <v>41</v>
      </c>
      <c r="U328" s="3" t="s">
        <v>34</v>
      </c>
      <c r="V328" s="3" t="s">
        <v>35</v>
      </c>
      <c r="W328" s="3" t="s">
        <v>1499</v>
      </c>
      <c r="X328" s="3"/>
      <c r="Y328" s="5">
        <v>470000</v>
      </c>
      <c r="Z328" s="5">
        <v>1</v>
      </c>
    </row>
    <row r="329" spans="1:26" ht="15.75" customHeight="1" x14ac:dyDescent="0.35">
      <c r="A329" s="2"/>
      <c r="B329" s="3" t="s">
        <v>1156</v>
      </c>
      <c r="C329" s="3" t="s">
        <v>29</v>
      </c>
      <c r="D329" s="3" t="s">
        <v>385</v>
      </c>
      <c r="E329" s="3" t="s">
        <v>1500</v>
      </c>
      <c r="F329" s="4" t="s">
        <v>1392</v>
      </c>
      <c r="G329" s="4" t="s">
        <v>1501</v>
      </c>
      <c r="H329" s="5">
        <v>3369000</v>
      </c>
      <c r="I329" s="5">
        <v>150000</v>
      </c>
      <c r="J329" s="5">
        <v>3519000</v>
      </c>
      <c r="K329" s="5">
        <v>0</v>
      </c>
      <c r="L329" s="5">
        <v>0</v>
      </c>
      <c r="M329" s="5">
        <v>0</v>
      </c>
      <c r="N329" s="5">
        <v>3519000</v>
      </c>
      <c r="O329" s="5">
        <v>0</v>
      </c>
      <c r="P329" s="5">
        <v>0</v>
      </c>
      <c r="Q329" s="3" t="s">
        <v>34</v>
      </c>
      <c r="R329" s="3" t="s">
        <v>34</v>
      </c>
      <c r="S329" s="3" t="s">
        <v>1502</v>
      </c>
      <c r="T329" s="3" t="s">
        <v>41</v>
      </c>
      <c r="U329" s="3" t="s">
        <v>34</v>
      </c>
      <c r="V329" s="3" t="s">
        <v>35</v>
      </c>
      <c r="W329" s="3" t="s">
        <v>1503</v>
      </c>
      <c r="X329" s="3"/>
      <c r="Y329" s="5">
        <v>673800</v>
      </c>
      <c r="Z329" s="5">
        <v>5</v>
      </c>
    </row>
    <row r="330" spans="1:26" ht="15.75" customHeight="1" x14ac:dyDescent="0.35">
      <c r="A330" s="2"/>
      <c r="B330" s="3" t="s">
        <v>1504</v>
      </c>
      <c r="C330" s="3" t="s">
        <v>64</v>
      </c>
      <c r="D330" s="3" t="s">
        <v>76</v>
      </c>
      <c r="E330" s="3" t="s">
        <v>1505</v>
      </c>
      <c r="F330" s="4" t="s">
        <v>1506</v>
      </c>
      <c r="G330" s="4" t="s">
        <v>1501</v>
      </c>
      <c r="H330" s="5">
        <v>990000</v>
      </c>
      <c r="I330" s="5">
        <v>0</v>
      </c>
      <c r="J330" s="5">
        <v>990000</v>
      </c>
      <c r="K330" s="5">
        <v>0</v>
      </c>
      <c r="L330" s="5">
        <v>0</v>
      </c>
      <c r="M330" s="5">
        <v>0</v>
      </c>
      <c r="N330" s="5">
        <v>990000</v>
      </c>
      <c r="O330" s="5">
        <v>0</v>
      </c>
      <c r="P330" s="5">
        <v>0</v>
      </c>
      <c r="Q330" s="3" t="s">
        <v>1507</v>
      </c>
      <c r="R330" s="3" t="s">
        <v>34</v>
      </c>
      <c r="S330" s="3" t="s">
        <v>1508</v>
      </c>
      <c r="T330" s="3" t="s">
        <v>53</v>
      </c>
      <c r="U330" s="3" t="s">
        <v>34</v>
      </c>
      <c r="V330" s="3" t="s">
        <v>35</v>
      </c>
      <c r="W330" s="3" t="s">
        <v>43</v>
      </c>
      <c r="X330" s="3"/>
      <c r="Y330" s="5">
        <v>495000</v>
      </c>
      <c r="Z330" s="5">
        <v>2</v>
      </c>
    </row>
    <row r="331" spans="1:26" ht="15.75" customHeight="1" x14ac:dyDescent="0.35">
      <c r="A331" s="2"/>
      <c r="B331" s="3" t="s">
        <v>1198</v>
      </c>
      <c r="C331" s="3" t="s">
        <v>29</v>
      </c>
      <c r="D331" s="3" t="s">
        <v>43</v>
      </c>
      <c r="E331" s="3" t="s">
        <v>1509</v>
      </c>
      <c r="F331" s="4" t="s">
        <v>1510</v>
      </c>
      <c r="G331" s="4" t="s">
        <v>1501</v>
      </c>
      <c r="H331" s="5">
        <v>495000</v>
      </c>
      <c r="I331" s="5">
        <v>0</v>
      </c>
      <c r="J331" s="5">
        <v>495000</v>
      </c>
      <c r="K331" s="5">
        <v>0</v>
      </c>
      <c r="L331" s="5">
        <v>495000</v>
      </c>
      <c r="M331" s="5">
        <v>0</v>
      </c>
      <c r="N331" s="5">
        <v>0</v>
      </c>
      <c r="O331" s="5">
        <v>0</v>
      </c>
      <c r="P331" s="5">
        <v>0</v>
      </c>
      <c r="Q331" s="3" t="s">
        <v>34</v>
      </c>
      <c r="R331" s="3" t="s">
        <v>34</v>
      </c>
      <c r="S331" s="3" t="s">
        <v>34</v>
      </c>
      <c r="T331" s="3" t="s">
        <v>41</v>
      </c>
      <c r="U331" s="3" t="s">
        <v>34</v>
      </c>
      <c r="V331" s="3" t="s">
        <v>35</v>
      </c>
      <c r="W331" s="3" t="s">
        <v>1511</v>
      </c>
      <c r="X331" s="3"/>
      <c r="Y331" s="5">
        <v>495000</v>
      </c>
      <c r="Z331" s="5">
        <v>1</v>
      </c>
    </row>
    <row r="332" spans="1:26" ht="15.75" customHeight="1" x14ac:dyDescent="0.35">
      <c r="A332" s="2"/>
      <c r="B332" s="3" t="s">
        <v>1203</v>
      </c>
      <c r="C332" s="3" t="s">
        <v>29</v>
      </c>
      <c r="D332" s="3" t="s">
        <v>110</v>
      </c>
      <c r="E332" s="3" t="s">
        <v>1512</v>
      </c>
      <c r="F332" s="4" t="s">
        <v>1510</v>
      </c>
      <c r="G332" s="4" t="s">
        <v>1501</v>
      </c>
      <c r="H332" s="5">
        <v>585000</v>
      </c>
      <c r="I332" s="5">
        <v>0</v>
      </c>
      <c r="J332" s="5">
        <v>585000</v>
      </c>
      <c r="K332" s="5">
        <v>0</v>
      </c>
      <c r="L332" s="5">
        <v>0</v>
      </c>
      <c r="M332" s="5">
        <v>0</v>
      </c>
      <c r="N332" s="5">
        <v>585000</v>
      </c>
      <c r="O332" s="5">
        <v>0</v>
      </c>
      <c r="P332" s="5">
        <v>0</v>
      </c>
      <c r="Q332" s="3" t="s">
        <v>1513</v>
      </c>
      <c r="R332" s="3"/>
      <c r="S332" s="3"/>
      <c r="T332" s="3" t="s">
        <v>41</v>
      </c>
      <c r="U332" s="3" t="s">
        <v>34</v>
      </c>
      <c r="V332" s="3" t="s">
        <v>35</v>
      </c>
      <c r="W332" s="3" t="s">
        <v>1514</v>
      </c>
      <c r="X332" s="3"/>
      <c r="Y332" s="5">
        <v>585000</v>
      </c>
      <c r="Z332" s="5">
        <v>1</v>
      </c>
    </row>
    <row r="333" spans="1:26" ht="15.75" customHeight="1" x14ac:dyDescent="0.35">
      <c r="A333" s="2"/>
      <c r="B333" s="3" t="s">
        <v>1265</v>
      </c>
      <c r="C333" s="3" t="s">
        <v>71</v>
      </c>
      <c r="D333" s="3" t="s">
        <v>72</v>
      </c>
      <c r="E333" s="3" t="s">
        <v>571</v>
      </c>
      <c r="F333" s="4" t="s">
        <v>1515</v>
      </c>
      <c r="G333" s="4" t="s">
        <v>1516</v>
      </c>
      <c r="H333" s="5">
        <v>525600</v>
      </c>
      <c r="I333" s="5">
        <v>15000</v>
      </c>
      <c r="J333" s="5">
        <v>540600</v>
      </c>
      <c r="K333" s="5">
        <v>0</v>
      </c>
      <c r="L333" s="5">
        <v>15000</v>
      </c>
      <c r="M333" s="5">
        <v>0</v>
      </c>
      <c r="N333" s="5">
        <v>0</v>
      </c>
      <c r="O333" s="5">
        <v>525600</v>
      </c>
      <c r="P333" s="5">
        <v>0</v>
      </c>
      <c r="Q333" s="3" t="s">
        <v>34</v>
      </c>
      <c r="R333" s="3" t="s">
        <v>34</v>
      </c>
      <c r="S333" s="3" t="s">
        <v>34</v>
      </c>
      <c r="T333" s="3" t="s">
        <v>48</v>
      </c>
      <c r="U333" s="3" t="s">
        <v>34</v>
      </c>
      <c r="V333" s="3" t="s">
        <v>35</v>
      </c>
      <c r="W333" s="3" t="s">
        <v>1517</v>
      </c>
      <c r="X333" s="3" t="s">
        <v>1518</v>
      </c>
      <c r="Y333" s="5">
        <v>525600</v>
      </c>
      <c r="Z333" s="5">
        <v>1</v>
      </c>
    </row>
    <row r="334" spans="1:26" ht="15.75" customHeight="1" x14ac:dyDescent="0.35">
      <c r="A334" s="2"/>
      <c r="B334" s="3" t="s">
        <v>1519</v>
      </c>
      <c r="C334" s="3" t="s">
        <v>29</v>
      </c>
      <c r="D334" s="3" t="s">
        <v>30</v>
      </c>
      <c r="E334" s="3" t="s">
        <v>1520</v>
      </c>
      <c r="F334" s="4" t="s">
        <v>1521</v>
      </c>
      <c r="G334" s="4" t="s">
        <v>1522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3"/>
      <c r="R334" s="3"/>
      <c r="S334" s="3"/>
      <c r="T334" s="3" t="s">
        <v>41</v>
      </c>
      <c r="U334" s="3" t="s">
        <v>34</v>
      </c>
      <c r="V334" s="3" t="s">
        <v>35</v>
      </c>
      <c r="W334" s="3" t="s">
        <v>1523</v>
      </c>
      <c r="X334" s="3"/>
      <c r="Y334" s="5">
        <v>0</v>
      </c>
      <c r="Z334" s="5">
        <v>1</v>
      </c>
    </row>
    <row r="335" spans="1:26" ht="15.75" customHeight="1" x14ac:dyDescent="0.35">
      <c r="A335" s="2"/>
      <c r="B335" s="3" t="s">
        <v>1524</v>
      </c>
      <c r="C335" s="3" t="s">
        <v>59</v>
      </c>
      <c r="D335" s="3" t="s">
        <v>193</v>
      </c>
      <c r="E335" s="3" t="s">
        <v>1512</v>
      </c>
      <c r="F335" s="4" t="s">
        <v>1525</v>
      </c>
      <c r="G335" s="4" t="s">
        <v>1526</v>
      </c>
      <c r="H335" s="5">
        <v>585000</v>
      </c>
      <c r="I335" s="5">
        <v>20000</v>
      </c>
      <c r="J335" s="5">
        <v>605000</v>
      </c>
      <c r="K335" s="5">
        <v>0</v>
      </c>
      <c r="L335" s="5">
        <v>20000</v>
      </c>
      <c r="M335" s="5">
        <v>0</v>
      </c>
      <c r="N335" s="5">
        <v>585000</v>
      </c>
      <c r="O335" s="5">
        <v>0</v>
      </c>
      <c r="P335" s="5">
        <v>0</v>
      </c>
      <c r="Q335" s="3"/>
      <c r="R335" s="3"/>
      <c r="S335" s="3"/>
      <c r="T335" s="3" t="s">
        <v>41</v>
      </c>
      <c r="U335" s="3" t="s">
        <v>34</v>
      </c>
      <c r="V335" s="3" t="s">
        <v>35</v>
      </c>
      <c r="W335" s="3" t="s">
        <v>1527</v>
      </c>
      <c r="X335" s="3"/>
      <c r="Y335" s="5">
        <v>585000</v>
      </c>
      <c r="Z335" s="5">
        <v>1</v>
      </c>
    </row>
    <row r="336" spans="1:26" ht="15.75" customHeight="1" x14ac:dyDescent="0.35">
      <c r="A336" s="2"/>
      <c r="B336" s="3" t="s">
        <v>1528</v>
      </c>
      <c r="C336" s="3" t="s">
        <v>29</v>
      </c>
      <c r="D336" s="3" t="s">
        <v>30</v>
      </c>
      <c r="E336" s="3" t="s">
        <v>1520</v>
      </c>
      <c r="F336" s="4" t="s">
        <v>1529</v>
      </c>
      <c r="G336" s="4" t="s">
        <v>1530</v>
      </c>
      <c r="H336" s="5">
        <v>350000</v>
      </c>
      <c r="I336" s="5">
        <v>0</v>
      </c>
      <c r="J336" s="5">
        <v>350000</v>
      </c>
      <c r="K336" s="5">
        <v>0</v>
      </c>
      <c r="L336" s="5">
        <v>350000</v>
      </c>
      <c r="M336" s="5">
        <v>0</v>
      </c>
      <c r="N336" s="5">
        <v>0</v>
      </c>
      <c r="O336" s="5">
        <v>0</v>
      </c>
      <c r="P336" s="5">
        <v>0</v>
      </c>
      <c r="Q336" s="3"/>
      <c r="R336" s="3"/>
      <c r="S336" s="3"/>
      <c r="T336" s="3" t="s">
        <v>41</v>
      </c>
      <c r="U336" s="3" t="s">
        <v>34</v>
      </c>
      <c r="V336" s="3" t="s">
        <v>35</v>
      </c>
      <c r="W336" s="3" t="s">
        <v>1531</v>
      </c>
      <c r="X336" s="3"/>
      <c r="Y336" s="5">
        <v>350000</v>
      </c>
      <c r="Z336" s="5">
        <v>1</v>
      </c>
    </row>
    <row r="337" spans="1:26" ht="15.75" customHeight="1" x14ac:dyDescent="0.35">
      <c r="A337" s="2"/>
      <c r="B337" s="3" t="s">
        <v>1263</v>
      </c>
      <c r="C337" s="3" t="s">
        <v>59</v>
      </c>
      <c r="D337" s="3" t="s">
        <v>60</v>
      </c>
      <c r="E337" s="3" t="s">
        <v>1532</v>
      </c>
      <c r="F337" s="4" t="s">
        <v>1533</v>
      </c>
      <c r="G337" s="4" t="s">
        <v>1534</v>
      </c>
      <c r="H337" s="5">
        <v>495000</v>
      </c>
      <c r="I337" s="5">
        <v>0</v>
      </c>
      <c r="J337" s="5">
        <v>495000</v>
      </c>
      <c r="K337" s="5">
        <v>0</v>
      </c>
      <c r="L337" s="5">
        <v>0</v>
      </c>
      <c r="M337" s="5">
        <v>0</v>
      </c>
      <c r="N337" s="5">
        <v>495000</v>
      </c>
      <c r="O337" s="5">
        <v>0</v>
      </c>
      <c r="P337" s="5">
        <v>0</v>
      </c>
      <c r="Q337" s="3"/>
      <c r="R337" s="3"/>
      <c r="S337" s="3"/>
      <c r="T337" s="3" t="s">
        <v>41</v>
      </c>
      <c r="U337" s="3" t="s">
        <v>34</v>
      </c>
      <c r="V337" s="3" t="s">
        <v>35</v>
      </c>
      <c r="W337" s="3" t="s">
        <v>1535</v>
      </c>
      <c r="X337" s="3"/>
      <c r="Y337" s="5">
        <v>495000</v>
      </c>
      <c r="Z337" s="5">
        <v>1</v>
      </c>
    </row>
    <row r="338" spans="1:26" ht="15.75" customHeight="1" x14ac:dyDescent="0.35">
      <c r="A338" s="2"/>
      <c r="B338" s="3" t="s">
        <v>1536</v>
      </c>
      <c r="C338" s="3" t="s">
        <v>29</v>
      </c>
      <c r="D338" s="3" t="s">
        <v>110</v>
      </c>
      <c r="E338" s="3" t="s">
        <v>1537</v>
      </c>
      <c r="F338" s="4" t="s">
        <v>1538</v>
      </c>
      <c r="G338" s="4" t="s">
        <v>1539</v>
      </c>
      <c r="H338" s="5">
        <v>899000</v>
      </c>
      <c r="I338" s="5">
        <v>0</v>
      </c>
      <c r="J338" s="5">
        <v>899000</v>
      </c>
      <c r="K338" s="5">
        <v>0</v>
      </c>
      <c r="L338" s="5">
        <v>0</v>
      </c>
      <c r="M338" s="5">
        <v>0</v>
      </c>
      <c r="N338" s="5">
        <v>0</v>
      </c>
      <c r="O338" s="5">
        <v>899000</v>
      </c>
      <c r="P338" s="5">
        <v>0</v>
      </c>
      <c r="Q338" s="3" t="s">
        <v>34</v>
      </c>
      <c r="R338" s="3" t="s">
        <v>34</v>
      </c>
      <c r="S338" s="3" t="s">
        <v>1540</v>
      </c>
      <c r="T338" s="3" t="s">
        <v>41</v>
      </c>
      <c r="U338" s="3" t="s">
        <v>34</v>
      </c>
      <c r="V338" s="3" t="s">
        <v>35</v>
      </c>
      <c r="W338" s="3" t="s">
        <v>1541</v>
      </c>
      <c r="X338" s="3"/>
      <c r="Y338" s="5">
        <v>899000</v>
      </c>
      <c r="Z338" s="5">
        <v>1</v>
      </c>
    </row>
    <row r="339" spans="1:26" ht="15.75" customHeight="1" x14ac:dyDescent="0.35">
      <c r="A339" s="2"/>
      <c r="B339" s="3" t="s">
        <v>1179</v>
      </c>
      <c r="C339" s="3" t="s">
        <v>71</v>
      </c>
      <c r="D339" s="3" t="s">
        <v>95</v>
      </c>
      <c r="E339" s="3" t="s">
        <v>1416</v>
      </c>
      <c r="F339" s="4" t="s">
        <v>1542</v>
      </c>
      <c r="G339" s="4" t="s">
        <v>1543</v>
      </c>
      <c r="H339" s="5">
        <v>1100000</v>
      </c>
      <c r="I339" s="5">
        <v>0</v>
      </c>
      <c r="J339" s="5">
        <v>1100000</v>
      </c>
      <c r="K339" s="5">
        <v>0</v>
      </c>
      <c r="L339" s="5">
        <v>1100000</v>
      </c>
      <c r="M339" s="5">
        <v>0</v>
      </c>
      <c r="N339" s="5">
        <v>0</v>
      </c>
      <c r="O339" s="5">
        <v>0</v>
      </c>
      <c r="P339" s="5">
        <v>0</v>
      </c>
      <c r="Q339" s="3" t="s">
        <v>1419</v>
      </c>
      <c r="R339" s="3" t="s">
        <v>34</v>
      </c>
      <c r="S339" s="3" t="s">
        <v>1420</v>
      </c>
      <c r="T339" s="3" t="s">
        <v>41</v>
      </c>
      <c r="U339" s="3" t="s">
        <v>34</v>
      </c>
      <c r="V339" s="3" t="s">
        <v>35</v>
      </c>
      <c r="W339" s="3" t="s">
        <v>83</v>
      </c>
      <c r="X339" s="3"/>
      <c r="Y339" s="5">
        <v>550000</v>
      </c>
      <c r="Z339" s="5">
        <v>2</v>
      </c>
    </row>
    <row r="340" spans="1:26" ht="15.75" customHeight="1" x14ac:dyDescent="0.35">
      <c r="A340" s="2"/>
      <c r="B340" s="3" t="s">
        <v>1544</v>
      </c>
      <c r="C340" s="3" t="s">
        <v>71</v>
      </c>
      <c r="D340" s="3" t="s">
        <v>72</v>
      </c>
      <c r="E340" s="3" t="s">
        <v>571</v>
      </c>
      <c r="F340" s="4" t="s">
        <v>1545</v>
      </c>
      <c r="G340" s="4" t="s">
        <v>1546</v>
      </c>
      <c r="H340" s="5">
        <v>580000</v>
      </c>
      <c r="I340" s="5">
        <v>0</v>
      </c>
      <c r="J340" s="5">
        <v>580000</v>
      </c>
      <c r="K340" s="5">
        <v>0</v>
      </c>
      <c r="L340" s="5">
        <v>580000</v>
      </c>
      <c r="M340" s="5">
        <v>0</v>
      </c>
      <c r="N340" s="5">
        <v>0</v>
      </c>
      <c r="O340" s="5">
        <v>0</v>
      </c>
      <c r="P340" s="5">
        <v>0</v>
      </c>
      <c r="Q340" s="3" t="s">
        <v>574</v>
      </c>
      <c r="R340" s="3" t="s">
        <v>34</v>
      </c>
      <c r="S340" s="3" t="s">
        <v>34</v>
      </c>
      <c r="T340" s="3" t="s">
        <v>41</v>
      </c>
      <c r="U340" s="3" t="s">
        <v>34</v>
      </c>
      <c r="V340" s="3" t="s">
        <v>35</v>
      </c>
      <c r="W340" s="3" t="s">
        <v>1547</v>
      </c>
      <c r="X340" s="3"/>
      <c r="Y340" s="5">
        <v>580000</v>
      </c>
      <c r="Z340" s="5">
        <v>1</v>
      </c>
    </row>
    <row r="341" spans="1:26" ht="15.75" customHeight="1" x14ac:dyDescent="0.35">
      <c r="A341" s="2"/>
      <c r="B341" s="3" t="s">
        <v>1252</v>
      </c>
      <c r="C341" s="3" t="s">
        <v>29</v>
      </c>
      <c r="D341" s="3" t="s">
        <v>30</v>
      </c>
      <c r="E341" s="3" t="s">
        <v>1548</v>
      </c>
      <c r="F341" s="4" t="s">
        <v>1549</v>
      </c>
      <c r="G341" s="4" t="s">
        <v>1550</v>
      </c>
      <c r="H341" s="5">
        <v>549850</v>
      </c>
      <c r="I341" s="5">
        <v>0</v>
      </c>
      <c r="J341" s="5">
        <v>549850</v>
      </c>
      <c r="K341" s="5">
        <v>0</v>
      </c>
      <c r="L341" s="5">
        <v>0</v>
      </c>
      <c r="M341" s="5">
        <v>0</v>
      </c>
      <c r="N341" s="5">
        <v>0</v>
      </c>
      <c r="O341" s="5">
        <v>549850</v>
      </c>
      <c r="P341" s="5">
        <v>0</v>
      </c>
      <c r="Q341" s="3" t="s">
        <v>1551</v>
      </c>
      <c r="R341" s="3" t="s">
        <v>34</v>
      </c>
      <c r="S341" s="3" t="s">
        <v>34</v>
      </c>
      <c r="T341" s="3" t="s">
        <v>48</v>
      </c>
      <c r="U341" s="3" t="s">
        <v>34</v>
      </c>
      <c r="V341" s="3" t="s">
        <v>35</v>
      </c>
      <c r="W341" s="3" t="s">
        <v>1552</v>
      </c>
      <c r="X341" s="3" t="s">
        <v>1553</v>
      </c>
      <c r="Y341" s="5">
        <v>549850</v>
      </c>
      <c r="Z341" s="5">
        <v>1</v>
      </c>
    </row>
    <row r="342" spans="1:26" ht="15.75" customHeight="1" x14ac:dyDescent="0.35">
      <c r="A342" s="2"/>
      <c r="B342" s="3" t="s">
        <v>1267</v>
      </c>
      <c r="C342" s="3" t="s">
        <v>71</v>
      </c>
      <c r="D342" s="3" t="s">
        <v>95</v>
      </c>
      <c r="E342" s="3" t="s">
        <v>1554</v>
      </c>
      <c r="F342" s="4" t="s">
        <v>1555</v>
      </c>
      <c r="G342" s="4" t="s">
        <v>1556</v>
      </c>
      <c r="H342" s="5">
        <v>585000</v>
      </c>
      <c r="I342" s="5">
        <v>0</v>
      </c>
      <c r="J342" s="5">
        <v>585000</v>
      </c>
      <c r="K342" s="5">
        <v>0</v>
      </c>
      <c r="L342" s="5">
        <v>0</v>
      </c>
      <c r="M342" s="5">
        <v>0</v>
      </c>
      <c r="N342" s="5">
        <v>585000</v>
      </c>
      <c r="O342" s="5">
        <v>0</v>
      </c>
      <c r="P342" s="5">
        <v>0</v>
      </c>
      <c r="Q342" s="3"/>
      <c r="R342" s="3"/>
      <c r="S342" s="3"/>
      <c r="T342" s="3" t="s">
        <v>34</v>
      </c>
      <c r="U342" s="3" t="s">
        <v>34</v>
      </c>
      <c r="V342" s="3" t="s">
        <v>35</v>
      </c>
      <c r="W342" s="3" t="s">
        <v>1557</v>
      </c>
      <c r="X342" s="3"/>
      <c r="Y342" s="5">
        <v>585000</v>
      </c>
      <c r="Z342" s="5">
        <v>1</v>
      </c>
    </row>
    <row r="343" spans="1:26" ht="15.75" customHeight="1" x14ac:dyDescent="0.35">
      <c r="A343" s="2"/>
      <c r="B343" s="3" t="s">
        <v>1256</v>
      </c>
      <c r="C343" s="3" t="s">
        <v>64</v>
      </c>
      <c r="D343" s="3" t="s">
        <v>173</v>
      </c>
      <c r="E343" s="3" t="s">
        <v>1558</v>
      </c>
      <c r="F343" s="4" t="s">
        <v>1559</v>
      </c>
      <c r="G343" s="4" t="s">
        <v>1560</v>
      </c>
      <c r="H343" s="5">
        <v>830000</v>
      </c>
      <c r="I343" s="5">
        <v>0</v>
      </c>
      <c r="J343" s="5">
        <v>830000</v>
      </c>
      <c r="K343" s="5">
        <v>0</v>
      </c>
      <c r="L343" s="5">
        <v>530000</v>
      </c>
      <c r="M343" s="5">
        <v>0</v>
      </c>
      <c r="N343" s="5">
        <v>300000</v>
      </c>
      <c r="O343" s="5">
        <v>0</v>
      </c>
      <c r="P343" s="5">
        <v>0</v>
      </c>
      <c r="Q343" s="3" t="s">
        <v>1561</v>
      </c>
      <c r="R343" s="3" t="s">
        <v>34</v>
      </c>
      <c r="S343" s="3" t="s">
        <v>1562</v>
      </c>
      <c r="T343" s="3" t="s">
        <v>41</v>
      </c>
      <c r="U343" s="3" t="s">
        <v>34</v>
      </c>
      <c r="V343" s="3" t="s">
        <v>35</v>
      </c>
      <c r="W343" s="3" t="s">
        <v>1563</v>
      </c>
      <c r="X343" s="3"/>
      <c r="Y343" s="5">
        <v>830000</v>
      </c>
      <c r="Z343" s="5">
        <v>1</v>
      </c>
    </row>
    <row r="344" spans="1:26" ht="15.75" customHeight="1" x14ac:dyDescent="0.35">
      <c r="A344" s="2"/>
      <c r="B344" s="3" t="s">
        <v>1564</v>
      </c>
      <c r="C344" s="3" t="s">
        <v>59</v>
      </c>
      <c r="D344" s="3" t="s">
        <v>60</v>
      </c>
      <c r="E344" s="3" t="s">
        <v>624</v>
      </c>
      <c r="F344" s="4" t="s">
        <v>1565</v>
      </c>
      <c r="G344" s="4" t="s">
        <v>1566</v>
      </c>
      <c r="H344" s="5">
        <v>1583280</v>
      </c>
      <c r="I344" s="5">
        <v>0</v>
      </c>
      <c r="J344" s="5">
        <v>1583280</v>
      </c>
      <c r="K344" s="5">
        <v>0</v>
      </c>
      <c r="L344" s="5">
        <v>0</v>
      </c>
      <c r="M344" s="5">
        <v>0</v>
      </c>
      <c r="N344" s="5">
        <v>0</v>
      </c>
      <c r="O344" s="5">
        <v>1583280</v>
      </c>
      <c r="P344" s="5">
        <v>0</v>
      </c>
      <c r="Q344" s="3" t="s">
        <v>1567</v>
      </c>
      <c r="R344" s="3" t="s">
        <v>1568</v>
      </c>
      <c r="S344" s="3" t="s">
        <v>34</v>
      </c>
      <c r="T344" s="3" t="s">
        <v>48</v>
      </c>
      <c r="U344" s="3" t="s">
        <v>34</v>
      </c>
      <c r="V344" s="3" t="s">
        <v>35</v>
      </c>
      <c r="W344" s="3" t="s">
        <v>1504</v>
      </c>
      <c r="X344" s="3" t="s">
        <v>1569</v>
      </c>
      <c r="Y344" s="5">
        <v>1583280</v>
      </c>
      <c r="Z344" s="5">
        <v>1</v>
      </c>
    </row>
    <row r="345" spans="1:26" ht="15.75" customHeight="1" x14ac:dyDescent="0.35">
      <c r="A345" s="2"/>
      <c r="B345" s="3" t="s">
        <v>1273</v>
      </c>
      <c r="C345" s="3" t="s">
        <v>64</v>
      </c>
      <c r="D345" s="3" t="s">
        <v>76</v>
      </c>
      <c r="E345" s="3" t="s">
        <v>1570</v>
      </c>
      <c r="F345" s="4" t="s">
        <v>1571</v>
      </c>
      <c r="G345" s="4" t="s">
        <v>1572</v>
      </c>
      <c r="H345" s="5">
        <v>1500000</v>
      </c>
      <c r="I345" s="5">
        <v>0</v>
      </c>
      <c r="J345" s="5">
        <v>1500000</v>
      </c>
      <c r="K345" s="5">
        <v>0</v>
      </c>
      <c r="L345" s="5">
        <v>0</v>
      </c>
      <c r="M345" s="5">
        <v>0</v>
      </c>
      <c r="N345" s="5">
        <v>1500000</v>
      </c>
      <c r="O345" s="5">
        <v>0</v>
      </c>
      <c r="P345" s="5">
        <v>0</v>
      </c>
      <c r="Q345" s="3" t="s">
        <v>1573</v>
      </c>
      <c r="R345" s="3" t="s">
        <v>34</v>
      </c>
      <c r="S345" s="3" t="s">
        <v>1574</v>
      </c>
      <c r="T345" s="3" t="s">
        <v>41</v>
      </c>
      <c r="U345" s="3" t="s">
        <v>34</v>
      </c>
      <c r="V345" s="3" t="s">
        <v>35</v>
      </c>
      <c r="W345" s="3" t="s">
        <v>1575</v>
      </c>
      <c r="X345" s="3"/>
      <c r="Y345" s="5">
        <v>500000</v>
      </c>
      <c r="Z345" s="5">
        <v>3</v>
      </c>
    </row>
    <row r="346" spans="1:26" ht="15.75" customHeight="1" x14ac:dyDescent="0.35">
      <c r="A346" s="2"/>
      <c r="B346" s="3" t="s">
        <v>680</v>
      </c>
      <c r="C346" s="3" t="s">
        <v>64</v>
      </c>
      <c r="D346" s="3" t="s">
        <v>65</v>
      </c>
      <c r="E346" s="3" t="s">
        <v>1576</v>
      </c>
      <c r="F346" s="4" t="s">
        <v>1577</v>
      </c>
      <c r="G346" s="4" t="s">
        <v>1578</v>
      </c>
      <c r="H346" s="5">
        <v>1941120</v>
      </c>
      <c r="I346" s="5">
        <v>0</v>
      </c>
      <c r="J346" s="5">
        <v>1941120</v>
      </c>
      <c r="K346" s="5">
        <v>0</v>
      </c>
      <c r="L346" s="5">
        <v>0</v>
      </c>
      <c r="M346" s="5">
        <v>0</v>
      </c>
      <c r="N346" s="5">
        <v>0</v>
      </c>
      <c r="O346" s="5">
        <v>1941120</v>
      </c>
      <c r="P346" s="5">
        <v>0</v>
      </c>
      <c r="Q346" s="3" t="s">
        <v>34</v>
      </c>
      <c r="R346" s="3" t="s">
        <v>34</v>
      </c>
      <c r="S346" s="3" t="s">
        <v>34</v>
      </c>
      <c r="T346" s="3" t="s">
        <v>48</v>
      </c>
      <c r="U346" s="3" t="s">
        <v>34</v>
      </c>
      <c r="V346" s="3" t="s">
        <v>35</v>
      </c>
      <c r="W346" s="3" t="s">
        <v>974</v>
      </c>
      <c r="X346" s="3" t="s">
        <v>1579</v>
      </c>
      <c r="Y346" s="5">
        <v>485280</v>
      </c>
      <c r="Z346" s="5">
        <v>4</v>
      </c>
    </row>
    <row r="347" spans="1:26" ht="15.75" customHeight="1" x14ac:dyDescent="0.35">
      <c r="A347" s="2"/>
      <c r="B347" s="3" t="s">
        <v>1580</v>
      </c>
      <c r="C347" s="3" t="s">
        <v>64</v>
      </c>
      <c r="D347" s="3" t="s">
        <v>89</v>
      </c>
      <c r="E347" s="3" t="s">
        <v>1581</v>
      </c>
      <c r="F347" s="4" t="s">
        <v>1582</v>
      </c>
      <c r="G347" s="4" t="s">
        <v>1578</v>
      </c>
      <c r="H347" s="5">
        <v>1592800</v>
      </c>
      <c r="I347" s="5">
        <v>0</v>
      </c>
      <c r="J347" s="5">
        <v>1483000</v>
      </c>
      <c r="K347" s="5">
        <v>0</v>
      </c>
      <c r="L347" s="5">
        <v>0</v>
      </c>
      <c r="M347" s="5">
        <v>0</v>
      </c>
      <c r="N347" s="5">
        <v>1483000</v>
      </c>
      <c r="O347" s="5">
        <v>0</v>
      </c>
      <c r="P347" s="5">
        <v>0</v>
      </c>
      <c r="Q347" s="3" t="s">
        <v>1583</v>
      </c>
      <c r="R347" s="3" t="s">
        <v>1584</v>
      </c>
      <c r="S347" s="3" t="s">
        <v>1585</v>
      </c>
      <c r="T347" s="3" t="s">
        <v>41</v>
      </c>
      <c r="U347" s="3" t="s">
        <v>34</v>
      </c>
      <c r="V347" s="3" t="s">
        <v>35</v>
      </c>
      <c r="W347" s="3" t="s">
        <v>1580</v>
      </c>
      <c r="X347" s="3" t="s">
        <v>1586</v>
      </c>
      <c r="Y347" s="5">
        <v>530933.33330000006</v>
      </c>
      <c r="Z347" s="5">
        <v>3</v>
      </c>
    </row>
    <row r="348" spans="1:26" ht="15.75" customHeight="1" x14ac:dyDescent="0.35">
      <c r="A348" s="2"/>
      <c r="B348" s="3" t="s">
        <v>1231</v>
      </c>
      <c r="C348" s="3" t="s">
        <v>59</v>
      </c>
      <c r="D348" s="3" t="s">
        <v>122</v>
      </c>
      <c r="E348" s="3" t="s">
        <v>258</v>
      </c>
      <c r="F348" s="4" t="s">
        <v>1587</v>
      </c>
      <c r="G348" s="4" t="s">
        <v>1588</v>
      </c>
      <c r="H348" s="5">
        <v>1755000</v>
      </c>
      <c r="I348" s="5">
        <v>0</v>
      </c>
      <c r="J348" s="5">
        <v>1755000</v>
      </c>
      <c r="K348" s="5">
        <v>0</v>
      </c>
      <c r="L348" s="5">
        <v>1755000</v>
      </c>
      <c r="M348" s="5">
        <v>0</v>
      </c>
      <c r="N348" s="5">
        <v>0</v>
      </c>
      <c r="O348" s="5">
        <v>0</v>
      </c>
      <c r="P348" s="5">
        <v>0</v>
      </c>
      <c r="Q348" s="3"/>
      <c r="R348" s="3"/>
      <c r="S348" s="3"/>
      <c r="T348" s="3" t="s">
        <v>41</v>
      </c>
      <c r="U348" s="3" t="s">
        <v>34</v>
      </c>
      <c r="V348" s="3" t="s">
        <v>35</v>
      </c>
      <c r="W348" s="3" t="s">
        <v>1589</v>
      </c>
      <c r="X348" s="3"/>
      <c r="Y348" s="5">
        <v>585000</v>
      </c>
      <c r="Z348" s="5">
        <v>3</v>
      </c>
    </row>
    <row r="349" spans="1:26" ht="15.75" customHeight="1" x14ac:dyDescent="0.35">
      <c r="A349" s="2"/>
      <c r="B349" s="3" t="s">
        <v>1285</v>
      </c>
      <c r="C349" s="3" t="s">
        <v>71</v>
      </c>
      <c r="D349" s="3" t="s">
        <v>1086</v>
      </c>
      <c r="E349" s="3" t="s">
        <v>1500</v>
      </c>
      <c r="F349" s="4" t="s">
        <v>1590</v>
      </c>
      <c r="G349" s="4" t="s">
        <v>1591</v>
      </c>
      <c r="H349" s="5">
        <v>629000</v>
      </c>
      <c r="I349" s="5">
        <v>25000</v>
      </c>
      <c r="J349" s="5">
        <v>654000</v>
      </c>
      <c r="K349" s="5">
        <v>0</v>
      </c>
      <c r="L349" s="5">
        <v>0</v>
      </c>
      <c r="M349" s="5">
        <v>0</v>
      </c>
      <c r="N349" s="5">
        <v>654000</v>
      </c>
      <c r="O349" s="5">
        <v>0</v>
      </c>
      <c r="P349" s="5">
        <v>0</v>
      </c>
      <c r="Q349" s="3" t="s">
        <v>34</v>
      </c>
      <c r="R349" s="3" t="s">
        <v>34</v>
      </c>
      <c r="S349" s="3" t="s">
        <v>1502</v>
      </c>
      <c r="T349" s="3" t="s">
        <v>41</v>
      </c>
      <c r="U349" s="3" t="s">
        <v>34</v>
      </c>
      <c r="V349" s="3" t="s">
        <v>35</v>
      </c>
      <c r="W349" s="3" t="s">
        <v>1592</v>
      </c>
      <c r="X349" s="3"/>
      <c r="Y349" s="5">
        <v>629000</v>
      </c>
      <c r="Z349" s="5">
        <v>1</v>
      </c>
    </row>
    <row r="350" spans="1:26" ht="15.75" customHeight="1" x14ac:dyDescent="0.35">
      <c r="A350" s="2"/>
      <c r="B350" s="3" t="s">
        <v>1043</v>
      </c>
      <c r="C350" s="3" t="s">
        <v>64</v>
      </c>
      <c r="D350" s="3" t="s">
        <v>99</v>
      </c>
      <c r="E350" s="3" t="s">
        <v>1593</v>
      </c>
      <c r="F350" s="4" t="s">
        <v>1594</v>
      </c>
      <c r="G350" s="4" t="s">
        <v>1595</v>
      </c>
      <c r="H350" s="5">
        <v>1800000</v>
      </c>
      <c r="I350" s="5">
        <v>0</v>
      </c>
      <c r="J350" s="5">
        <v>1800000</v>
      </c>
      <c r="K350" s="5">
        <v>0</v>
      </c>
      <c r="L350" s="5">
        <v>1800000</v>
      </c>
      <c r="M350" s="5">
        <v>0</v>
      </c>
      <c r="N350" s="5">
        <v>0</v>
      </c>
      <c r="O350" s="5">
        <v>0</v>
      </c>
      <c r="P350" s="5">
        <v>0</v>
      </c>
      <c r="Q350" s="3"/>
      <c r="R350" s="3"/>
      <c r="S350" s="3"/>
      <c r="T350" s="3" t="s">
        <v>41</v>
      </c>
      <c r="U350" s="3" t="s">
        <v>34</v>
      </c>
      <c r="V350" s="3" t="s">
        <v>35</v>
      </c>
      <c r="W350" s="3" t="s">
        <v>1596</v>
      </c>
      <c r="X350" s="3"/>
      <c r="Y350" s="5">
        <v>450000</v>
      </c>
      <c r="Z350" s="5">
        <v>4</v>
      </c>
    </row>
    <row r="351" spans="1:26" ht="15.75" customHeight="1" x14ac:dyDescent="0.35">
      <c r="A351" s="2"/>
      <c r="B351" s="3" t="s">
        <v>1043</v>
      </c>
      <c r="C351" s="3" t="s">
        <v>59</v>
      </c>
      <c r="D351" s="3" t="s">
        <v>182</v>
      </c>
      <c r="E351" s="3" t="s">
        <v>226</v>
      </c>
      <c r="F351" s="4" t="s">
        <v>1594</v>
      </c>
      <c r="G351" s="4" t="s">
        <v>1595</v>
      </c>
      <c r="H351" s="5">
        <v>2140000</v>
      </c>
      <c r="I351" s="5">
        <v>0</v>
      </c>
      <c r="J351" s="5">
        <v>2140000</v>
      </c>
      <c r="K351" s="5">
        <v>0</v>
      </c>
      <c r="L351" s="5">
        <v>2140000</v>
      </c>
      <c r="M351" s="5">
        <v>0</v>
      </c>
      <c r="N351" s="5">
        <v>0</v>
      </c>
      <c r="O351" s="5">
        <v>0</v>
      </c>
      <c r="P351" s="5">
        <v>0</v>
      </c>
      <c r="Q351" s="3"/>
      <c r="R351" s="3"/>
      <c r="S351" s="3"/>
      <c r="T351" s="3" t="s">
        <v>41</v>
      </c>
      <c r="U351" s="3" t="s">
        <v>34</v>
      </c>
      <c r="V351" s="3" t="s">
        <v>35</v>
      </c>
      <c r="W351" s="3" t="s">
        <v>1597</v>
      </c>
      <c r="X351" s="3"/>
      <c r="Y351" s="5">
        <v>535000</v>
      </c>
      <c r="Z351" s="5">
        <v>4</v>
      </c>
    </row>
    <row r="352" spans="1:26" ht="15.75" customHeight="1" x14ac:dyDescent="0.35">
      <c r="A352" s="2"/>
      <c r="B352" s="3" t="s">
        <v>1279</v>
      </c>
      <c r="C352" s="3" t="s">
        <v>29</v>
      </c>
      <c r="D352" s="3" t="s">
        <v>43</v>
      </c>
      <c r="E352" s="3" t="s">
        <v>1598</v>
      </c>
      <c r="F352" s="4" t="s">
        <v>1599</v>
      </c>
      <c r="G352" s="4" t="s">
        <v>1600</v>
      </c>
      <c r="H352" s="5">
        <v>800000</v>
      </c>
      <c r="I352" s="5">
        <v>50000</v>
      </c>
      <c r="J352" s="5">
        <v>850000</v>
      </c>
      <c r="K352" s="5">
        <v>0</v>
      </c>
      <c r="L352" s="5">
        <v>850000</v>
      </c>
      <c r="M352" s="5">
        <v>0</v>
      </c>
      <c r="N352" s="5">
        <v>0</v>
      </c>
      <c r="O352" s="5">
        <v>0</v>
      </c>
      <c r="P352" s="5">
        <v>0</v>
      </c>
      <c r="Q352" s="3"/>
      <c r="R352" s="3"/>
      <c r="S352" s="3"/>
      <c r="T352" s="3" t="s">
        <v>41</v>
      </c>
      <c r="U352" s="3" t="s">
        <v>34</v>
      </c>
      <c r="V352" s="3" t="s">
        <v>35</v>
      </c>
      <c r="W352" s="3" t="s">
        <v>1601</v>
      </c>
      <c r="X352" s="3"/>
      <c r="Y352" s="5">
        <v>800000</v>
      </c>
      <c r="Z352" s="5">
        <v>1</v>
      </c>
    </row>
    <row r="353" spans="1:26" ht="15.75" customHeight="1" x14ac:dyDescent="0.35">
      <c r="A353" s="2"/>
      <c r="B353" s="3" t="s">
        <v>1130</v>
      </c>
      <c r="C353" s="3" t="s">
        <v>29</v>
      </c>
      <c r="D353" s="3" t="s">
        <v>506</v>
      </c>
      <c r="E353" s="3" t="s">
        <v>1292</v>
      </c>
      <c r="F353" s="4" t="s">
        <v>1602</v>
      </c>
      <c r="G353" s="4" t="s">
        <v>1603</v>
      </c>
      <c r="H353" s="5">
        <v>3500000</v>
      </c>
      <c r="I353" s="5">
        <v>0</v>
      </c>
      <c r="J353" s="5">
        <v>3500000</v>
      </c>
      <c r="K353" s="5">
        <v>0</v>
      </c>
      <c r="L353" s="5">
        <v>0</v>
      </c>
      <c r="M353" s="5">
        <v>0</v>
      </c>
      <c r="N353" s="5">
        <v>0</v>
      </c>
      <c r="O353" s="5">
        <v>3500000</v>
      </c>
      <c r="P353" s="5">
        <v>0</v>
      </c>
      <c r="Q353" s="3"/>
      <c r="R353" s="3"/>
      <c r="S353" s="3"/>
      <c r="T353" s="3" t="s">
        <v>34</v>
      </c>
      <c r="U353" s="3" t="s">
        <v>34</v>
      </c>
      <c r="V353" s="3" t="s">
        <v>35</v>
      </c>
      <c r="W353" s="3" t="s">
        <v>1604</v>
      </c>
      <c r="X353" s="3"/>
      <c r="Y353" s="5">
        <v>388888.88880000002</v>
      </c>
      <c r="Z353" s="5">
        <v>9</v>
      </c>
    </row>
    <row r="354" spans="1:26" ht="15.75" customHeight="1" x14ac:dyDescent="0.35">
      <c r="A354" s="2"/>
      <c r="B354" s="3" t="s">
        <v>1605</v>
      </c>
      <c r="C354" s="3" t="s">
        <v>59</v>
      </c>
      <c r="D354" s="3" t="s">
        <v>193</v>
      </c>
      <c r="E354" s="3" t="s">
        <v>1606</v>
      </c>
      <c r="F354" s="4" t="s">
        <v>1607</v>
      </c>
      <c r="G354" s="4" t="s">
        <v>1603</v>
      </c>
      <c r="H354" s="5">
        <v>1165000</v>
      </c>
      <c r="I354" s="5">
        <v>0</v>
      </c>
      <c r="J354" s="5">
        <v>1165000</v>
      </c>
      <c r="K354" s="5">
        <v>0</v>
      </c>
      <c r="L354" s="5">
        <v>85000</v>
      </c>
      <c r="M354" s="5">
        <v>0</v>
      </c>
      <c r="N354" s="5">
        <v>1080000</v>
      </c>
      <c r="O354" s="5">
        <v>0</v>
      </c>
      <c r="P354" s="5">
        <v>0</v>
      </c>
      <c r="Q354" s="3"/>
      <c r="R354" s="3"/>
      <c r="S354" s="3"/>
      <c r="T354" s="3" t="s">
        <v>34</v>
      </c>
      <c r="U354" s="3" t="s">
        <v>34</v>
      </c>
      <c r="V354" s="3" t="s">
        <v>35</v>
      </c>
      <c r="W354" s="3" t="s">
        <v>1608</v>
      </c>
      <c r="X354" s="3"/>
      <c r="Y354" s="5">
        <v>582500</v>
      </c>
      <c r="Z354" s="5">
        <v>2</v>
      </c>
    </row>
    <row r="355" spans="1:26" ht="15.75" customHeight="1" x14ac:dyDescent="0.35">
      <c r="A355" s="2"/>
      <c r="B355" s="3" t="s">
        <v>1609</v>
      </c>
      <c r="C355" s="3" t="s">
        <v>29</v>
      </c>
      <c r="D355" s="3" t="s">
        <v>110</v>
      </c>
      <c r="E355" s="3" t="s">
        <v>1610</v>
      </c>
      <c r="F355" s="4" t="s">
        <v>1611</v>
      </c>
      <c r="G355" s="4" t="s">
        <v>1603</v>
      </c>
      <c r="H355" s="5">
        <v>1603440</v>
      </c>
      <c r="I355" s="5">
        <v>0</v>
      </c>
      <c r="J355" s="5">
        <v>1603440</v>
      </c>
      <c r="K355" s="5">
        <v>0</v>
      </c>
      <c r="L355" s="5">
        <v>0</v>
      </c>
      <c r="M355" s="5">
        <v>0</v>
      </c>
      <c r="N355" s="5">
        <v>0</v>
      </c>
      <c r="O355" s="5">
        <v>1603440</v>
      </c>
      <c r="P355" s="5">
        <v>0</v>
      </c>
      <c r="Q355" s="3" t="s">
        <v>1612</v>
      </c>
      <c r="R355" s="3" t="s">
        <v>34</v>
      </c>
      <c r="S355" s="3" t="s">
        <v>1613</v>
      </c>
      <c r="T355" s="3" t="s">
        <v>48</v>
      </c>
      <c r="U355" s="3" t="s">
        <v>34</v>
      </c>
      <c r="V355" s="3" t="s">
        <v>35</v>
      </c>
      <c r="W355" s="3" t="s">
        <v>1614</v>
      </c>
      <c r="X355" s="3" t="s">
        <v>1615</v>
      </c>
      <c r="Y355" s="5">
        <v>801720</v>
      </c>
      <c r="Z355" s="5">
        <v>2</v>
      </c>
    </row>
    <row r="356" spans="1:26" ht="15.75" customHeight="1" x14ac:dyDescent="0.35">
      <c r="A356" s="2"/>
      <c r="B356" s="3" t="s">
        <v>1240</v>
      </c>
      <c r="C356" s="3" t="s">
        <v>29</v>
      </c>
      <c r="D356" s="3" t="s">
        <v>385</v>
      </c>
      <c r="E356" s="3" t="s">
        <v>1616</v>
      </c>
      <c r="F356" s="4" t="s">
        <v>1617</v>
      </c>
      <c r="G356" s="4" t="s">
        <v>1603</v>
      </c>
      <c r="H356" s="5">
        <v>495000</v>
      </c>
      <c r="I356" s="5">
        <v>0</v>
      </c>
      <c r="J356" s="5">
        <v>495000</v>
      </c>
      <c r="K356" s="5">
        <v>0</v>
      </c>
      <c r="L356" s="5">
        <v>0</v>
      </c>
      <c r="M356" s="5">
        <v>0</v>
      </c>
      <c r="N356" s="5">
        <v>495000</v>
      </c>
      <c r="O356" s="5">
        <v>0</v>
      </c>
      <c r="P356" s="5">
        <v>0</v>
      </c>
      <c r="Q356" s="3" t="s">
        <v>1618</v>
      </c>
      <c r="R356" s="3" t="s">
        <v>34</v>
      </c>
      <c r="S356" s="3" t="s">
        <v>34</v>
      </c>
      <c r="T356" s="3" t="s">
        <v>41</v>
      </c>
      <c r="U356" s="3" t="s">
        <v>34</v>
      </c>
      <c r="V356" s="3" t="s">
        <v>35</v>
      </c>
      <c r="W356" s="3" t="s">
        <v>1619</v>
      </c>
      <c r="X356" s="3"/>
      <c r="Y356" s="5">
        <v>495000</v>
      </c>
      <c r="Z356" s="5">
        <v>1</v>
      </c>
    </row>
    <row r="357" spans="1:26" ht="15.75" customHeight="1" x14ac:dyDescent="0.35">
      <c r="A357" s="2"/>
      <c r="B357" s="3" t="s">
        <v>1408</v>
      </c>
      <c r="C357" s="3" t="s">
        <v>29</v>
      </c>
      <c r="D357" s="3" t="s">
        <v>30</v>
      </c>
      <c r="E357" s="3" t="s">
        <v>1620</v>
      </c>
      <c r="F357" s="4" t="s">
        <v>1621</v>
      </c>
      <c r="G357" s="4" t="s">
        <v>1603</v>
      </c>
      <c r="H357" s="5">
        <v>566640</v>
      </c>
      <c r="I357" s="5">
        <v>0</v>
      </c>
      <c r="J357" s="5">
        <v>566640</v>
      </c>
      <c r="K357" s="5">
        <v>0</v>
      </c>
      <c r="L357" s="5">
        <v>0</v>
      </c>
      <c r="M357" s="5">
        <v>0</v>
      </c>
      <c r="N357" s="5">
        <v>0</v>
      </c>
      <c r="O357" s="5">
        <v>566640</v>
      </c>
      <c r="P357" s="5">
        <v>0</v>
      </c>
      <c r="Q357" s="3" t="s">
        <v>1622</v>
      </c>
      <c r="R357" s="3" t="s">
        <v>34</v>
      </c>
      <c r="S357" s="3" t="s">
        <v>1623</v>
      </c>
      <c r="T357" s="3" t="s">
        <v>48</v>
      </c>
      <c r="U357" s="3" t="s">
        <v>34</v>
      </c>
      <c r="V357" s="3" t="s">
        <v>35</v>
      </c>
      <c r="W357" s="3" t="s">
        <v>1624</v>
      </c>
      <c r="X357" s="3" t="s">
        <v>1625</v>
      </c>
      <c r="Y357" s="5">
        <v>566640</v>
      </c>
      <c r="Z357" s="5">
        <v>1</v>
      </c>
    </row>
    <row r="358" spans="1:26" ht="15.75" customHeight="1" x14ac:dyDescent="0.35">
      <c r="A358" s="2"/>
      <c r="B358" s="3" t="s">
        <v>1301</v>
      </c>
      <c r="C358" s="3" t="s">
        <v>71</v>
      </c>
      <c r="D358" s="3" t="s">
        <v>72</v>
      </c>
      <c r="E358" s="3" t="s">
        <v>1626</v>
      </c>
      <c r="F358" s="4" t="s">
        <v>1627</v>
      </c>
      <c r="G358" s="4" t="s">
        <v>1603</v>
      </c>
      <c r="H358" s="5">
        <v>1095000</v>
      </c>
      <c r="I358" s="5">
        <v>0</v>
      </c>
      <c r="J358" s="5">
        <v>1095000</v>
      </c>
      <c r="K358" s="5">
        <v>0</v>
      </c>
      <c r="L358" s="5">
        <v>300000</v>
      </c>
      <c r="M358" s="5">
        <v>0</v>
      </c>
      <c r="N358" s="5">
        <v>795000</v>
      </c>
      <c r="O358" s="5">
        <v>0</v>
      </c>
      <c r="P358" s="5">
        <v>0</v>
      </c>
      <c r="Q358" s="3" t="s">
        <v>34</v>
      </c>
      <c r="R358" s="3" t="s">
        <v>34</v>
      </c>
      <c r="S358" s="3" t="s">
        <v>34</v>
      </c>
      <c r="T358" s="3" t="s">
        <v>41</v>
      </c>
      <c r="U358" s="3" t="s">
        <v>34</v>
      </c>
      <c r="V358" s="3" t="s">
        <v>35</v>
      </c>
      <c r="W358" s="3" t="s">
        <v>1628</v>
      </c>
      <c r="X358" s="3"/>
      <c r="Y358" s="5">
        <v>547500</v>
      </c>
      <c r="Z358" s="5">
        <v>2</v>
      </c>
    </row>
    <row r="359" spans="1:26" ht="15.75" customHeight="1" x14ac:dyDescent="0.35">
      <c r="A359" s="2"/>
      <c r="B359" s="3" t="s">
        <v>1597</v>
      </c>
      <c r="C359" s="3" t="s">
        <v>59</v>
      </c>
      <c r="D359" s="3" t="s">
        <v>193</v>
      </c>
      <c r="E359" s="3" t="s">
        <v>1606</v>
      </c>
      <c r="F359" s="4" t="s">
        <v>1629</v>
      </c>
      <c r="G359" s="4" t="s">
        <v>1630</v>
      </c>
      <c r="H359" s="5">
        <v>580000</v>
      </c>
      <c r="I359" s="5">
        <v>0</v>
      </c>
      <c r="J359" s="5">
        <v>580000</v>
      </c>
      <c r="K359" s="5">
        <v>0</v>
      </c>
      <c r="L359" s="5">
        <v>0</v>
      </c>
      <c r="M359" s="5">
        <v>0</v>
      </c>
      <c r="N359" s="5">
        <v>580000</v>
      </c>
      <c r="O359" s="5">
        <v>0</v>
      </c>
      <c r="P359" s="5">
        <v>0</v>
      </c>
      <c r="Q359" s="3"/>
      <c r="R359" s="3"/>
      <c r="S359" s="3"/>
      <c r="T359" s="3" t="s">
        <v>34</v>
      </c>
      <c r="U359" s="3" t="s">
        <v>34</v>
      </c>
      <c r="V359" s="3" t="s">
        <v>35</v>
      </c>
      <c r="W359" s="3" t="s">
        <v>1631</v>
      </c>
      <c r="X359" s="3"/>
      <c r="Y359" s="5">
        <v>580000</v>
      </c>
      <c r="Z359" s="5">
        <v>1</v>
      </c>
    </row>
    <row r="360" spans="1:26" ht="15.75" customHeight="1" x14ac:dyDescent="0.35">
      <c r="A360" s="2"/>
      <c r="B360" s="3" t="s">
        <v>1596</v>
      </c>
      <c r="C360" s="3" t="s">
        <v>29</v>
      </c>
      <c r="D360" s="3" t="s">
        <v>43</v>
      </c>
      <c r="E360" s="3" t="s">
        <v>1632</v>
      </c>
      <c r="F360" s="4" t="s">
        <v>1629</v>
      </c>
      <c r="G360" s="4" t="s">
        <v>1630</v>
      </c>
      <c r="H360" s="5">
        <v>450000</v>
      </c>
      <c r="I360" s="5">
        <v>0</v>
      </c>
      <c r="J360" s="5">
        <v>450000</v>
      </c>
      <c r="K360" s="5">
        <v>0</v>
      </c>
      <c r="L360" s="5">
        <v>0</v>
      </c>
      <c r="M360" s="5">
        <v>0</v>
      </c>
      <c r="N360" s="5">
        <v>450000</v>
      </c>
      <c r="O360" s="5">
        <v>0</v>
      </c>
      <c r="P360" s="5">
        <v>0</v>
      </c>
      <c r="Q360" s="3" t="s">
        <v>1633</v>
      </c>
      <c r="R360" s="3" t="s">
        <v>34</v>
      </c>
      <c r="S360" s="3" t="s">
        <v>34</v>
      </c>
      <c r="T360" s="3" t="s">
        <v>41</v>
      </c>
      <c r="U360" s="3" t="s">
        <v>34</v>
      </c>
      <c r="V360" s="3" t="s">
        <v>35</v>
      </c>
      <c r="W360" s="3" t="s">
        <v>1634</v>
      </c>
      <c r="X360" s="3"/>
      <c r="Y360" s="5">
        <v>450000</v>
      </c>
      <c r="Z360" s="5">
        <v>1</v>
      </c>
    </row>
    <row r="361" spans="1:26" ht="15.75" customHeight="1" x14ac:dyDescent="0.35">
      <c r="A361" s="2"/>
      <c r="B361" s="3" t="s">
        <v>1247</v>
      </c>
      <c r="C361" s="3" t="s">
        <v>64</v>
      </c>
      <c r="D361" s="3" t="s">
        <v>173</v>
      </c>
      <c r="E361" s="3" t="s">
        <v>1427</v>
      </c>
      <c r="F361" s="4" t="s">
        <v>1560</v>
      </c>
      <c r="G361" s="4" t="s">
        <v>1635</v>
      </c>
      <c r="H361" s="5">
        <v>940500</v>
      </c>
      <c r="I361" s="5">
        <v>0</v>
      </c>
      <c r="J361" s="5">
        <v>940500</v>
      </c>
      <c r="K361" s="5">
        <v>0</v>
      </c>
      <c r="L361" s="5">
        <v>0</v>
      </c>
      <c r="M361" s="5">
        <v>0</v>
      </c>
      <c r="N361" s="5">
        <v>0</v>
      </c>
      <c r="O361" s="5">
        <v>940500</v>
      </c>
      <c r="P361" s="5">
        <v>0</v>
      </c>
      <c r="Q361" s="3" t="s">
        <v>1636</v>
      </c>
      <c r="R361" s="3" t="s">
        <v>34</v>
      </c>
      <c r="S361" s="3" t="s">
        <v>1637</v>
      </c>
      <c r="T361" s="3" t="s">
        <v>245</v>
      </c>
      <c r="U361" s="3" t="s">
        <v>34</v>
      </c>
      <c r="V361" s="3" t="s">
        <v>35</v>
      </c>
      <c r="W361" s="3" t="s">
        <v>1638</v>
      </c>
      <c r="X361" s="3"/>
      <c r="Y361" s="5">
        <v>470250</v>
      </c>
      <c r="Z361" s="5">
        <v>2</v>
      </c>
    </row>
    <row r="362" spans="1:26" ht="15.75" customHeight="1" x14ac:dyDescent="0.35">
      <c r="A362" s="2"/>
      <c r="B362" s="3" t="s">
        <v>1431</v>
      </c>
      <c r="C362" s="3" t="s">
        <v>29</v>
      </c>
      <c r="D362" s="3" t="s">
        <v>30</v>
      </c>
      <c r="E362" s="3" t="s">
        <v>1639</v>
      </c>
      <c r="F362" s="4" t="s">
        <v>1640</v>
      </c>
      <c r="G362" s="4" t="s">
        <v>1641</v>
      </c>
      <c r="H362" s="5">
        <v>400000</v>
      </c>
      <c r="I362" s="5">
        <v>0</v>
      </c>
      <c r="J362" s="5">
        <v>400000</v>
      </c>
      <c r="K362" s="5">
        <v>0</v>
      </c>
      <c r="L362" s="5">
        <v>400000</v>
      </c>
      <c r="M362" s="5">
        <v>0</v>
      </c>
      <c r="N362" s="5">
        <v>0</v>
      </c>
      <c r="O362" s="5">
        <v>0</v>
      </c>
      <c r="P362" s="5">
        <v>0</v>
      </c>
      <c r="Q362" s="3"/>
      <c r="R362" s="3"/>
      <c r="S362" s="3"/>
      <c r="T362" s="3" t="s">
        <v>41</v>
      </c>
      <c r="U362" s="3" t="s">
        <v>34</v>
      </c>
      <c r="V362" s="3" t="s">
        <v>35</v>
      </c>
      <c r="W362" s="3" t="s">
        <v>1642</v>
      </c>
      <c r="X362" s="3"/>
      <c r="Y362" s="5">
        <v>400000</v>
      </c>
      <c r="Z362" s="5">
        <v>1</v>
      </c>
    </row>
    <row r="363" spans="1:26" ht="15.75" customHeight="1" x14ac:dyDescent="0.35">
      <c r="A363" s="2"/>
      <c r="B363" s="3" t="s">
        <v>1311</v>
      </c>
      <c r="C363" s="3" t="s">
        <v>64</v>
      </c>
      <c r="D363" s="3" t="s">
        <v>76</v>
      </c>
      <c r="E363" s="3" t="s">
        <v>226</v>
      </c>
      <c r="F363" s="4" t="s">
        <v>1643</v>
      </c>
      <c r="G363" s="4" t="s">
        <v>1644</v>
      </c>
      <c r="H363" s="5">
        <v>997542</v>
      </c>
      <c r="I363" s="5">
        <v>0</v>
      </c>
      <c r="J363" s="5">
        <v>997542</v>
      </c>
      <c r="K363" s="5">
        <v>0</v>
      </c>
      <c r="L363" s="5">
        <v>0</v>
      </c>
      <c r="M363" s="5">
        <v>0</v>
      </c>
      <c r="N363" s="5">
        <v>0</v>
      </c>
      <c r="O363" s="5">
        <v>997542</v>
      </c>
      <c r="P363" s="5">
        <v>0</v>
      </c>
      <c r="Q363" s="3"/>
      <c r="R363" s="3"/>
      <c r="S363" s="3"/>
      <c r="T363" s="3" t="s">
        <v>245</v>
      </c>
      <c r="U363" s="3" t="s">
        <v>34</v>
      </c>
      <c r="V363" s="3" t="s">
        <v>35</v>
      </c>
      <c r="W363" s="3" t="s">
        <v>1257</v>
      </c>
      <c r="X363" s="3"/>
      <c r="Y363" s="5">
        <v>498771</v>
      </c>
      <c r="Z363" s="5">
        <v>2</v>
      </c>
    </row>
    <row r="364" spans="1:26" ht="15.75" customHeight="1" x14ac:dyDescent="0.35">
      <c r="A364" s="2"/>
      <c r="B364" s="3" t="s">
        <v>1311</v>
      </c>
      <c r="C364" s="3" t="s">
        <v>64</v>
      </c>
      <c r="D364" s="3" t="s">
        <v>99</v>
      </c>
      <c r="E364" s="3" t="s">
        <v>226</v>
      </c>
      <c r="F364" s="4" t="s">
        <v>1643</v>
      </c>
      <c r="G364" s="4" t="s">
        <v>1644</v>
      </c>
      <c r="H364" s="5">
        <v>1398000</v>
      </c>
      <c r="I364" s="5">
        <v>0</v>
      </c>
      <c r="J364" s="5">
        <v>1398000</v>
      </c>
      <c r="K364" s="5">
        <v>0</v>
      </c>
      <c r="L364" s="5">
        <v>0</v>
      </c>
      <c r="M364" s="5">
        <v>0</v>
      </c>
      <c r="N364" s="5">
        <v>0</v>
      </c>
      <c r="O364" s="5">
        <v>1398000</v>
      </c>
      <c r="P364" s="5">
        <v>0</v>
      </c>
      <c r="Q364" s="3"/>
      <c r="R364" s="3"/>
      <c r="S364" s="3"/>
      <c r="T364" s="3" t="s">
        <v>245</v>
      </c>
      <c r="U364" s="3" t="s">
        <v>34</v>
      </c>
      <c r="V364" s="3" t="s">
        <v>35</v>
      </c>
      <c r="W364" s="3" t="s">
        <v>1199</v>
      </c>
      <c r="X364" s="3"/>
      <c r="Y364" s="5">
        <v>699000</v>
      </c>
      <c r="Z364" s="5">
        <v>2</v>
      </c>
    </row>
    <row r="365" spans="1:26" ht="15.75" customHeight="1" x14ac:dyDescent="0.35">
      <c r="A365" s="2"/>
      <c r="B365" s="3" t="s">
        <v>1311</v>
      </c>
      <c r="C365" s="3" t="s">
        <v>59</v>
      </c>
      <c r="D365" s="3" t="s">
        <v>122</v>
      </c>
      <c r="E365" s="3" t="s">
        <v>226</v>
      </c>
      <c r="F365" s="4" t="s">
        <v>1643</v>
      </c>
      <c r="G365" s="4" t="s">
        <v>1644</v>
      </c>
      <c r="H365" s="5">
        <v>997542</v>
      </c>
      <c r="I365" s="5">
        <v>0</v>
      </c>
      <c r="J365" s="5">
        <v>997542</v>
      </c>
      <c r="K365" s="5">
        <v>0</v>
      </c>
      <c r="L365" s="5">
        <v>0</v>
      </c>
      <c r="M365" s="5">
        <v>0</v>
      </c>
      <c r="N365" s="5">
        <v>0</v>
      </c>
      <c r="O365" s="5">
        <v>997542</v>
      </c>
      <c r="P365" s="5">
        <v>0</v>
      </c>
      <c r="Q365" s="3"/>
      <c r="R365" s="3"/>
      <c r="S365" s="3"/>
      <c r="T365" s="3" t="s">
        <v>245</v>
      </c>
      <c r="U365" s="3" t="s">
        <v>34</v>
      </c>
      <c r="V365" s="3" t="s">
        <v>35</v>
      </c>
      <c r="W365" s="3" t="s">
        <v>1194</v>
      </c>
      <c r="X365" s="3"/>
      <c r="Y365" s="5">
        <v>498771</v>
      </c>
      <c r="Z365" s="5">
        <v>2</v>
      </c>
    </row>
    <row r="366" spans="1:26" ht="15.75" customHeight="1" x14ac:dyDescent="0.35">
      <c r="A366" s="2"/>
      <c r="B366" s="3" t="s">
        <v>1311</v>
      </c>
      <c r="C366" s="3" t="s">
        <v>59</v>
      </c>
      <c r="D366" s="3" t="s">
        <v>60</v>
      </c>
      <c r="E366" s="3" t="s">
        <v>1645</v>
      </c>
      <c r="F366" s="4" t="s">
        <v>1643</v>
      </c>
      <c r="G366" s="4" t="s">
        <v>1644</v>
      </c>
      <c r="H366" s="5">
        <v>997542</v>
      </c>
      <c r="I366" s="5">
        <v>0</v>
      </c>
      <c r="J366" s="5">
        <v>997542</v>
      </c>
      <c r="K366" s="5">
        <v>0</v>
      </c>
      <c r="L366" s="5">
        <v>0</v>
      </c>
      <c r="M366" s="5">
        <v>0</v>
      </c>
      <c r="N366" s="5">
        <v>0</v>
      </c>
      <c r="O366" s="5">
        <v>997542</v>
      </c>
      <c r="P366" s="5">
        <v>0</v>
      </c>
      <c r="Q366" s="3"/>
      <c r="R366" s="3"/>
      <c r="S366" s="3"/>
      <c r="T366" s="3" t="s">
        <v>245</v>
      </c>
      <c r="U366" s="3" t="s">
        <v>34</v>
      </c>
      <c r="V366" s="3" t="s">
        <v>35</v>
      </c>
      <c r="W366" s="3" t="s">
        <v>1232</v>
      </c>
      <c r="X366" s="3"/>
      <c r="Y366" s="5">
        <v>498771</v>
      </c>
      <c r="Z366" s="5">
        <v>2</v>
      </c>
    </row>
    <row r="367" spans="1:26" ht="15.75" customHeight="1" x14ac:dyDescent="0.35">
      <c r="A367" s="2"/>
      <c r="B367" s="3" t="s">
        <v>1311</v>
      </c>
      <c r="C367" s="3" t="s">
        <v>29</v>
      </c>
      <c r="D367" s="3" t="s">
        <v>385</v>
      </c>
      <c r="E367" s="3" t="s">
        <v>226</v>
      </c>
      <c r="F367" s="4" t="s">
        <v>1643</v>
      </c>
      <c r="G367" s="4" t="s">
        <v>1644</v>
      </c>
      <c r="H367" s="5">
        <v>997542</v>
      </c>
      <c r="I367" s="5">
        <v>0</v>
      </c>
      <c r="J367" s="5">
        <v>997542</v>
      </c>
      <c r="K367" s="5">
        <v>0</v>
      </c>
      <c r="L367" s="5">
        <v>0</v>
      </c>
      <c r="M367" s="5">
        <v>0</v>
      </c>
      <c r="N367" s="5">
        <v>0</v>
      </c>
      <c r="O367" s="5">
        <v>997542</v>
      </c>
      <c r="P367" s="5">
        <v>0</v>
      </c>
      <c r="Q367" s="3" t="s">
        <v>34</v>
      </c>
      <c r="R367" s="3" t="s">
        <v>34</v>
      </c>
      <c r="S367" s="3" t="s">
        <v>34</v>
      </c>
      <c r="T367" s="3" t="s">
        <v>245</v>
      </c>
      <c r="U367" s="3" t="s">
        <v>34</v>
      </c>
      <c r="V367" s="3" t="s">
        <v>35</v>
      </c>
      <c r="W367" s="3" t="s">
        <v>1564</v>
      </c>
      <c r="X367" s="3"/>
      <c r="Y367" s="5">
        <v>498771</v>
      </c>
      <c r="Z367" s="5">
        <v>2</v>
      </c>
    </row>
    <row r="368" spans="1:26" ht="15.75" customHeight="1" x14ac:dyDescent="0.35">
      <c r="A368" s="2"/>
      <c r="B368" s="3" t="s">
        <v>1311</v>
      </c>
      <c r="C368" s="3" t="s">
        <v>29</v>
      </c>
      <c r="D368" s="3" t="s">
        <v>413</v>
      </c>
      <c r="E368" s="3" t="s">
        <v>1646</v>
      </c>
      <c r="F368" s="4" t="s">
        <v>1643</v>
      </c>
      <c r="G368" s="4" t="s">
        <v>1644</v>
      </c>
      <c r="H368" s="5">
        <v>997542</v>
      </c>
      <c r="I368" s="5">
        <v>0</v>
      </c>
      <c r="J368" s="5">
        <v>997542</v>
      </c>
      <c r="K368" s="5">
        <v>0</v>
      </c>
      <c r="L368" s="5">
        <v>0</v>
      </c>
      <c r="M368" s="5">
        <v>0</v>
      </c>
      <c r="N368" s="5">
        <v>0</v>
      </c>
      <c r="O368" s="5">
        <v>997542</v>
      </c>
      <c r="P368" s="5">
        <v>0</v>
      </c>
      <c r="Q368" s="3" t="s">
        <v>34</v>
      </c>
      <c r="R368" s="3" t="s">
        <v>34</v>
      </c>
      <c r="S368" s="3" t="s">
        <v>1647</v>
      </c>
      <c r="T368" s="3" t="s">
        <v>245</v>
      </c>
      <c r="U368" s="3" t="s">
        <v>34</v>
      </c>
      <c r="V368" s="3" t="s">
        <v>35</v>
      </c>
      <c r="W368" s="3" t="s">
        <v>1268</v>
      </c>
      <c r="X368" s="3"/>
      <c r="Y368" s="5">
        <v>498771</v>
      </c>
      <c r="Z368" s="5">
        <v>2</v>
      </c>
    </row>
    <row r="369" spans="1:26" ht="15.75" customHeight="1" x14ac:dyDescent="0.35">
      <c r="A369" s="2"/>
      <c r="B369" s="3" t="s">
        <v>1648</v>
      </c>
      <c r="C369" s="3" t="s">
        <v>71</v>
      </c>
      <c r="D369" s="3" t="s">
        <v>95</v>
      </c>
      <c r="E369" s="3" t="s">
        <v>1649</v>
      </c>
      <c r="F369" s="4" t="s">
        <v>1650</v>
      </c>
      <c r="G369" s="4" t="s">
        <v>1651</v>
      </c>
      <c r="H369" s="5">
        <v>1890000</v>
      </c>
      <c r="I369" s="5">
        <v>0</v>
      </c>
      <c r="J369" s="5">
        <v>1890000</v>
      </c>
      <c r="K369" s="5">
        <v>0</v>
      </c>
      <c r="L369" s="5">
        <v>0</v>
      </c>
      <c r="M369" s="5">
        <v>0</v>
      </c>
      <c r="N369" s="5">
        <v>1890000</v>
      </c>
      <c r="O369" s="5">
        <v>0</v>
      </c>
      <c r="P369" s="5">
        <v>0</v>
      </c>
      <c r="Q369" s="3" t="s">
        <v>1652</v>
      </c>
      <c r="R369" s="3" t="s">
        <v>34</v>
      </c>
      <c r="S369" s="3" t="s">
        <v>1653</v>
      </c>
      <c r="T369" s="3" t="s">
        <v>41</v>
      </c>
      <c r="U369" s="3" t="s">
        <v>34</v>
      </c>
      <c r="V369" s="3" t="s">
        <v>35</v>
      </c>
      <c r="W369" s="3" t="s">
        <v>1654</v>
      </c>
      <c r="X369" s="3"/>
      <c r="Y369" s="5">
        <v>630000</v>
      </c>
      <c r="Z369" s="5">
        <v>3</v>
      </c>
    </row>
    <row r="370" spans="1:26" ht="15.75" customHeight="1" x14ac:dyDescent="0.35">
      <c r="A370" s="2"/>
      <c r="B370" s="3" t="s">
        <v>1655</v>
      </c>
      <c r="C370" s="3" t="s">
        <v>59</v>
      </c>
      <c r="D370" s="3" t="s">
        <v>182</v>
      </c>
      <c r="E370" s="3" t="s">
        <v>1656</v>
      </c>
      <c r="F370" s="4" t="s">
        <v>1657</v>
      </c>
      <c r="G370" s="4" t="s">
        <v>1658</v>
      </c>
      <c r="H370" s="5">
        <v>585000</v>
      </c>
      <c r="I370" s="5">
        <v>0</v>
      </c>
      <c r="J370" s="5">
        <v>585000</v>
      </c>
      <c r="K370" s="5">
        <v>0</v>
      </c>
      <c r="L370" s="5">
        <v>0</v>
      </c>
      <c r="M370" s="5">
        <v>0</v>
      </c>
      <c r="N370" s="5">
        <v>585000</v>
      </c>
      <c r="O370" s="5">
        <v>0</v>
      </c>
      <c r="P370" s="5">
        <v>0</v>
      </c>
      <c r="Q370" s="3" t="s">
        <v>34</v>
      </c>
      <c r="R370" s="3" t="s">
        <v>34</v>
      </c>
      <c r="S370" s="3" t="s">
        <v>34</v>
      </c>
      <c r="T370" s="3" t="s">
        <v>41</v>
      </c>
      <c r="U370" s="3" t="s">
        <v>34</v>
      </c>
      <c r="V370" s="3" t="s">
        <v>35</v>
      </c>
      <c r="W370" s="3" t="s">
        <v>1659</v>
      </c>
      <c r="X370" s="3"/>
      <c r="Y370" s="5">
        <v>585000</v>
      </c>
      <c r="Z370" s="5">
        <v>1</v>
      </c>
    </row>
    <row r="371" spans="1:26" ht="15.75" customHeight="1" x14ac:dyDescent="0.35">
      <c r="A371" s="2"/>
      <c r="B371" s="3" t="s">
        <v>1351</v>
      </c>
      <c r="C371" s="3" t="s">
        <v>71</v>
      </c>
      <c r="D371" s="3" t="s">
        <v>1086</v>
      </c>
      <c r="E371" s="3" t="s">
        <v>1660</v>
      </c>
      <c r="F371" s="4" t="s">
        <v>1661</v>
      </c>
      <c r="G371" s="4" t="s">
        <v>1662</v>
      </c>
      <c r="H371" s="5">
        <v>650000</v>
      </c>
      <c r="I371" s="5">
        <v>0</v>
      </c>
      <c r="J371" s="5">
        <v>650000</v>
      </c>
      <c r="K371" s="5">
        <v>0</v>
      </c>
      <c r="L371" s="5">
        <v>0</v>
      </c>
      <c r="M371" s="5">
        <v>0</v>
      </c>
      <c r="N371" s="5">
        <v>650000</v>
      </c>
      <c r="O371" s="5">
        <v>0</v>
      </c>
      <c r="P371" s="5">
        <v>0</v>
      </c>
      <c r="Q371" s="3" t="s">
        <v>1663</v>
      </c>
      <c r="R371" s="3" t="s">
        <v>34</v>
      </c>
      <c r="S371" s="3" t="s">
        <v>1664</v>
      </c>
      <c r="T371" s="3" t="s">
        <v>41</v>
      </c>
      <c r="U371" s="3" t="s">
        <v>34</v>
      </c>
      <c r="V371" s="3" t="s">
        <v>35</v>
      </c>
      <c r="W371" s="3" t="s">
        <v>1665</v>
      </c>
      <c r="X371" s="3"/>
      <c r="Y371" s="5">
        <v>650000</v>
      </c>
      <c r="Z371" s="5">
        <v>1</v>
      </c>
    </row>
    <row r="372" spans="1:26" ht="15.75" customHeight="1" x14ac:dyDescent="0.35">
      <c r="A372" s="2"/>
      <c r="B372" s="3" t="s">
        <v>1323</v>
      </c>
      <c r="C372" s="3" t="s">
        <v>59</v>
      </c>
      <c r="D372" s="3" t="s">
        <v>193</v>
      </c>
      <c r="E372" s="3" t="s">
        <v>1666</v>
      </c>
      <c r="F372" s="4" t="s">
        <v>1667</v>
      </c>
      <c r="G372" s="4" t="s">
        <v>1668</v>
      </c>
      <c r="H372" s="5">
        <v>600000</v>
      </c>
      <c r="I372" s="5">
        <v>35000</v>
      </c>
      <c r="J372" s="5">
        <v>635000</v>
      </c>
      <c r="K372" s="5">
        <v>0</v>
      </c>
      <c r="L372" s="5">
        <v>35000</v>
      </c>
      <c r="M372" s="5">
        <v>0</v>
      </c>
      <c r="N372" s="5">
        <v>600000</v>
      </c>
      <c r="O372" s="5">
        <v>0</v>
      </c>
      <c r="P372" s="5">
        <v>0</v>
      </c>
      <c r="Q372" s="3" t="s">
        <v>1669</v>
      </c>
      <c r="R372" s="3" t="s">
        <v>34</v>
      </c>
      <c r="S372" s="3" t="s">
        <v>1670</v>
      </c>
      <c r="T372" s="3" t="s">
        <v>41</v>
      </c>
      <c r="U372" s="3" t="s">
        <v>34</v>
      </c>
      <c r="V372" s="3" t="s">
        <v>35</v>
      </c>
      <c r="W372" s="3" t="s">
        <v>1671</v>
      </c>
      <c r="X372" s="3"/>
      <c r="Y372" s="5">
        <v>600000</v>
      </c>
      <c r="Z372" s="5">
        <v>1</v>
      </c>
    </row>
    <row r="373" spans="1:26" ht="15.75" customHeight="1" x14ac:dyDescent="0.35">
      <c r="A373" s="2"/>
      <c r="B373" s="3" t="s">
        <v>1356</v>
      </c>
      <c r="C373" s="3" t="s">
        <v>29</v>
      </c>
      <c r="D373" s="3" t="s">
        <v>506</v>
      </c>
      <c r="E373" s="3" t="s">
        <v>1672</v>
      </c>
      <c r="F373" s="4" t="s">
        <v>1673</v>
      </c>
      <c r="G373" s="4" t="s">
        <v>1674</v>
      </c>
      <c r="H373" s="5">
        <v>450000</v>
      </c>
      <c r="I373" s="5">
        <v>0</v>
      </c>
      <c r="J373" s="5">
        <v>450000</v>
      </c>
      <c r="K373" s="5">
        <v>0</v>
      </c>
      <c r="L373" s="5">
        <v>450000</v>
      </c>
      <c r="M373" s="5">
        <v>0</v>
      </c>
      <c r="N373" s="5">
        <v>0</v>
      </c>
      <c r="O373" s="5">
        <v>0</v>
      </c>
      <c r="P373" s="5">
        <v>0</v>
      </c>
      <c r="Q373" s="3"/>
      <c r="R373" s="3"/>
      <c r="S373" s="3"/>
      <c r="T373" s="3" t="s">
        <v>41</v>
      </c>
      <c r="U373" s="3" t="s">
        <v>34</v>
      </c>
      <c r="V373" s="3" t="s">
        <v>35</v>
      </c>
      <c r="W373" s="3" t="s">
        <v>1675</v>
      </c>
      <c r="X373" s="3"/>
      <c r="Y373" s="5">
        <v>450000</v>
      </c>
      <c r="Z373" s="5">
        <v>1</v>
      </c>
    </row>
    <row r="374" spans="1:26" ht="15.75" customHeight="1" x14ac:dyDescent="0.35">
      <c r="A374" s="2"/>
      <c r="B374" s="3" t="s">
        <v>1305</v>
      </c>
      <c r="C374" s="3" t="s">
        <v>71</v>
      </c>
      <c r="D374" s="3" t="s">
        <v>1086</v>
      </c>
      <c r="E374" s="3" t="s">
        <v>1660</v>
      </c>
      <c r="F374" s="4" t="s">
        <v>1676</v>
      </c>
      <c r="G374" s="4" t="s">
        <v>1677</v>
      </c>
      <c r="H374" s="5">
        <v>500000</v>
      </c>
      <c r="I374" s="5">
        <v>0</v>
      </c>
      <c r="J374" s="5">
        <v>500000</v>
      </c>
      <c r="K374" s="5">
        <v>0</v>
      </c>
      <c r="L374" s="5">
        <v>100000</v>
      </c>
      <c r="M374" s="5">
        <v>0</v>
      </c>
      <c r="N374" s="5">
        <v>400000</v>
      </c>
      <c r="O374" s="5">
        <v>0</v>
      </c>
      <c r="P374" s="5">
        <v>0</v>
      </c>
      <c r="Q374" s="3" t="s">
        <v>1663</v>
      </c>
      <c r="R374" s="3" t="s">
        <v>34</v>
      </c>
      <c r="S374" s="3" t="s">
        <v>1664</v>
      </c>
      <c r="T374" s="3" t="s">
        <v>41</v>
      </c>
      <c r="U374" s="3" t="s">
        <v>34</v>
      </c>
      <c r="V374" s="3" t="s">
        <v>35</v>
      </c>
      <c r="W374" s="3" t="s">
        <v>1678</v>
      </c>
      <c r="X374" s="3"/>
      <c r="Y374" s="5">
        <v>500000</v>
      </c>
      <c r="Z374" s="5">
        <v>1</v>
      </c>
    </row>
    <row r="375" spans="1:26" ht="15.75" customHeight="1" x14ac:dyDescent="0.35">
      <c r="A375" s="2"/>
      <c r="B375" s="3" t="s">
        <v>1604</v>
      </c>
      <c r="C375" s="3" t="s">
        <v>59</v>
      </c>
      <c r="D375" s="3" t="s">
        <v>122</v>
      </c>
      <c r="E375" s="3" t="s">
        <v>226</v>
      </c>
      <c r="F375" s="4" t="s">
        <v>1679</v>
      </c>
      <c r="G375" s="4" t="s">
        <v>1680</v>
      </c>
      <c r="H375" s="5">
        <v>1100000</v>
      </c>
      <c r="I375" s="5">
        <v>0</v>
      </c>
      <c r="J375" s="5">
        <v>1100000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1100000</v>
      </c>
      <c r="Q375" s="3"/>
      <c r="R375" s="3"/>
      <c r="S375" s="3"/>
      <c r="T375" s="3" t="s">
        <v>41</v>
      </c>
      <c r="U375" s="3" t="s">
        <v>34</v>
      </c>
      <c r="V375" s="3" t="s">
        <v>35</v>
      </c>
      <c r="W375" s="3" t="s">
        <v>1681</v>
      </c>
      <c r="X375" s="3"/>
      <c r="Y375" s="5">
        <v>1100000</v>
      </c>
      <c r="Z375" s="5">
        <v>1</v>
      </c>
    </row>
    <row r="376" spans="1:26" ht="15.75" customHeight="1" x14ac:dyDescent="0.35">
      <c r="A376" s="2"/>
      <c r="B376" s="3" t="s">
        <v>1054</v>
      </c>
      <c r="C376" s="3" t="s">
        <v>29</v>
      </c>
      <c r="D376" s="3" t="s">
        <v>37</v>
      </c>
      <c r="E376" s="3" t="s">
        <v>1682</v>
      </c>
      <c r="F376" s="4" t="s">
        <v>1128</v>
      </c>
      <c r="G376" s="4" t="s">
        <v>1683</v>
      </c>
      <c r="H376" s="5">
        <v>14700000</v>
      </c>
      <c r="I376" s="5">
        <v>1378400</v>
      </c>
      <c r="J376" s="5">
        <v>16078400</v>
      </c>
      <c r="K376" s="5">
        <v>0</v>
      </c>
      <c r="L376" s="5">
        <v>0</v>
      </c>
      <c r="M376" s="5">
        <v>0</v>
      </c>
      <c r="N376" s="5">
        <v>0</v>
      </c>
      <c r="O376" s="5">
        <v>16078400</v>
      </c>
      <c r="P376" s="5">
        <v>0</v>
      </c>
      <c r="Q376" s="3" t="s">
        <v>34</v>
      </c>
      <c r="R376" s="3" t="s">
        <v>34</v>
      </c>
      <c r="S376" s="3" t="s">
        <v>1684</v>
      </c>
      <c r="T376" s="3" t="s">
        <v>41</v>
      </c>
      <c r="U376" s="3" t="s">
        <v>34</v>
      </c>
      <c r="V376" s="3" t="s">
        <v>35</v>
      </c>
      <c r="W376" s="3" t="s">
        <v>1347</v>
      </c>
      <c r="X376" s="3"/>
      <c r="Y376" s="5">
        <v>700000</v>
      </c>
      <c r="Z376" s="5">
        <v>21</v>
      </c>
    </row>
    <row r="377" spans="1:26" ht="15.75" customHeight="1" x14ac:dyDescent="0.35">
      <c r="A377" s="2"/>
      <c r="B377" s="3" t="s">
        <v>1346</v>
      </c>
      <c r="C377" s="3" t="s">
        <v>29</v>
      </c>
      <c r="D377" s="3" t="s">
        <v>30</v>
      </c>
      <c r="E377" s="3" t="s">
        <v>1685</v>
      </c>
      <c r="F377" s="4" t="s">
        <v>1686</v>
      </c>
      <c r="G377" s="4" t="s">
        <v>1687</v>
      </c>
      <c r="H377" s="5">
        <v>1798000</v>
      </c>
      <c r="I377" s="5">
        <v>0</v>
      </c>
      <c r="J377" s="5">
        <v>1798000</v>
      </c>
      <c r="K377" s="5">
        <v>0</v>
      </c>
      <c r="L377" s="5">
        <v>1298000</v>
      </c>
      <c r="M377" s="5">
        <v>0</v>
      </c>
      <c r="N377" s="5">
        <v>500000</v>
      </c>
      <c r="O377" s="5">
        <v>0</v>
      </c>
      <c r="P377" s="5">
        <v>0</v>
      </c>
      <c r="Q377" s="3" t="s">
        <v>1688</v>
      </c>
      <c r="R377" s="3" t="s">
        <v>34</v>
      </c>
      <c r="S377" s="3" t="s">
        <v>1689</v>
      </c>
      <c r="T377" s="3" t="s">
        <v>41</v>
      </c>
      <c r="U377" s="3" t="s">
        <v>34</v>
      </c>
      <c r="V377" s="3" t="s">
        <v>35</v>
      </c>
      <c r="W377" s="3" t="s">
        <v>1690</v>
      </c>
      <c r="X377" s="3"/>
      <c r="Y377" s="5">
        <v>899000</v>
      </c>
      <c r="Z377" s="5">
        <v>2</v>
      </c>
    </row>
    <row r="378" spans="1:26" ht="15.75" customHeight="1" x14ac:dyDescent="0.35">
      <c r="A378" s="2"/>
      <c r="B378" s="3" t="s">
        <v>1344</v>
      </c>
      <c r="C378" s="3" t="s">
        <v>59</v>
      </c>
      <c r="D378" s="3" t="s">
        <v>193</v>
      </c>
      <c r="E378" s="3" t="s">
        <v>1691</v>
      </c>
      <c r="F378" s="4" t="s">
        <v>1692</v>
      </c>
      <c r="G378" s="4" t="s">
        <v>1693</v>
      </c>
      <c r="H378" s="5">
        <v>549000</v>
      </c>
      <c r="I378" s="5">
        <v>20000</v>
      </c>
      <c r="J378" s="5">
        <v>569000</v>
      </c>
      <c r="K378" s="5">
        <v>0</v>
      </c>
      <c r="L378" s="5">
        <v>369000</v>
      </c>
      <c r="M378" s="5">
        <v>0</v>
      </c>
      <c r="N378" s="5">
        <v>200000</v>
      </c>
      <c r="O378" s="5">
        <v>0</v>
      </c>
      <c r="P378" s="5">
        <v>0</v>
      </c>
      <c r="Q378" s="3"/>
      <c r="R378" s="3"/>
      <c r="S378" s="3"/>
      <c r="T378" s="3" t="s">
        <v>41</v>
      </c>
      <c r="U378" s="3" t="s">
        <v>34</v>
      </c>
      <c r="V378" s="3" t="s">
        <v>35</v>
      </c>
      <c r="W378" s="3" t="s">
        <v>1694</v>
      </c>
      <c r="X378" s="3"/>
      <c r="Y378" s="5">
        <v>549000</v>
      </c>
      <c r="Z378" s="5">
        <v>1</v>
      </c>
    </row>
    <row r="379" spans="1:26" ht="15.75" customHeight="1" x14ac:dyDescent="0.35">
      <c r="A379" s="2"/>
      <c r="B379" s="3" t="s">
        <v>1604</v>
      </c>
      <c r="C379" s="3" t="s">
        <v>64</v>
      </c>
      <c r="D379" s="3" t="s">
        <v>173</v>
      </c>
      <c r="E379" s="3" t="s">
        <v>226</v>
      </c>
      <c r="F379" s="4" t="s">
        <v>1679</v>
      </c>
      <c r="G379" s="4" t="s">
        <v>1693</v>
      </c>
      <c r="H379" s="5">
        <v>1100000</v>
      </c>
      <c r="I379" s="5">
        <v>704000</v>
      </c>
      <c r="J379" s="5">
        <v>1804000</v>
      </c>
      <c r="K379" s="5">
        <v>0</v>
      </c>
      <c r="L379" s="5">
        <v>0</v>
      </c>
      <c r="M379" s="5">
        <v>0</v>
      </c>
      <c r="N379" s="5">
        <v>1804000</v>
      </c>
      <c r="O379" s="5">
        <v>0</v>
      </c>
      <c r="P379" s="5">
        <v>0</v>
      </c>
      <c r="Q379" s="3" t="s">
        <v>34</v>
      </c>
      <c r="R379" s="3" t="s">
        <v>34</v>
      </c>
      <c r="S379" s="3" t="s">
        <v>34</v>
      </c>
      <c r="T379" s="3" t="s">
        <v>41</v>
      </c>
      <c r="U379" s="3" t="s">
        <v>34</v>
      </c>
      <c r="V379" s="3" t="s">
        <v>35</v>
      </c>
      <c r="W379" s="3" t="s">
        <v>1695</v>
      </c>
      <c r="X379" s="3"/>
      <c r="Y379" s="5">
        <v>550000</v>
      </c>
      <c r="Z379" s="5">
        <v>2</v>
      </c>
    </row>
    <row r="380" spans="1:26" ht="15.75" customHeight="1" x14ac:dyDescent="0.35">
      <c r="A380" s="2"/>
      <c r="B380" s="3" t="s">
        <v>1604</v>
      </c>
      <c r="C380" s="3" t="s">
        <v>64</v>
      </c>
      <c r="D380" s="3" t="s">
        <v>99</v>
      </c>
      <c r="E380" s="3" t="s">
        <v>226</v>
      </c>
      <c r="F380" s="4" t="s">
        <v>1679</v>
      </c>
      <c r="G380" s="4" t="s">
        <v>1693</v>
      </c>
      <c r="H380" s="5">
        <v>1000000</v>
      </c>
      <c r="I380" s="5">
        <v>0</v>
      </c>
      <c r="J380" s="5">
        <v>1000000</v>
      </c>
      <c r="K380" s="5">
        <v>0</v>
      </c>
      <c r="L380" s="5">
        <v>0</v>
      </c>
      <c r="M380" s="5">
        <v>0</v>
      </c>
      <c r="N380" s="5">
        <v>1000000</v>
      </c>
      <c r="O380" s="5">
        <v>0</v>
      </c>
      <c r="P380" s="5">
        <v>0</v>
      </c>
      <c r="Q380" s="3"/>
      <c r="R380" s="3"/>
      <c r="S380" s="3"/>
      <c r="T380" s="3" t="s">
        <v>41</v>
      </c>
      <c r="U380" s="3" t="s">
        <v>34</v>
      </c>
      <c r="V380" s="3" t="s">
        <v>35</v>
      </c>
      <c r="W380" s="3" t="s">
        <v>1696</v>
      </c>
      <c r="X380" s="3"/>
      <c r="Y380" s="5">
        <v>500000</v>
      </c>
      <c r="Z380" s="5">
        <v>2</v>
      </c>
    </row>
    <row r="381" spans="1:26" ht="15.75" customHeight="1" x14ac:dyDescent="0.35">
      <c r="A381" s="2"/>
      <c r="B381" s="3" t="s">
        <v>1604</v>
      </c>
      <c r="C381" s="3" t="s">
        <v>64</v>
      </c>
      <c r="D381" s="3" t="s">
        <v>76</v>
      </c>
      <c r="E381" s="3" t="s">
        <v>226</v>
      </c>
      <c r="F381" s="4" t="s">
        <v>1679</v>
      </c>
      <c r="G381" s="4" t="s">
        <v>1693</v>
      </c>
      <c r="H381" s="5">
        <v>1000000</v>
      </c>
      <c r="I381" s="5">
        <v>0</v>
      </c>
      <c r="J381" s="5">
        <v>1000000</v>
      </c>
      <c r="K381" s="5">
        <v>0</v>
      </c>
      <c r="L381" s="5">
        <v>0</v>
      </c>
      <c r="M381" s="5">
        <v>0</v>
      </c>
      <c r="N381" s="5">
        <v>1000000</v>
      </c>
      <c r="O381" s="5">
        <v>0</v>
      </c>
      <c r="P381" s="5">
        <v>0</v>
      </c>
      <c r="Q381" s="3"/>
      <c r="R381" s="3"/>
      <c r="S381" s="3"/>
      <c r="T381" s="3" t="s">
        <v>41</v>
      </c>
      <c r="U381" s="3" t="s">
        <v>34</v>
      </c>
      <c r="V381" s="3" t="s">
        <v>35</v>
      </c>
      <c r="W381" s="3" t="s">
        <v>1697</v>
      </c>
      <c r="X381" s="3"/>
      <c r="Y381" s="5">
        <v>500000</v>
      </c>
      <c r="Z381" s="5">
        <v>2</v>
      </c>
    </row>
    <row r="382" spans="1:26" ht="15.75" customHeight="1" x14ac:dyDescent="0.35">
      <c r="A382" s="2"/>
      <c r="B382" s="3" t="s">
        <v>1604</v>
      </c>
      <c r="C382" s="3" t="s">
        <v>59</v>
      </c>
      <c r="D382" s="3" t="s">
        <v>182</v>
      </c>
      <c r="E382" s="3" t="s">
        <v>226</v>
      </c>
      <c r="F382" s="4" t="s">
        <v>1679</v>
      </c>
      <c r="G382" s="4" t="s">
        <v>1693</v>
      </c>
      <c r="H382" s="5">
        <v>1100000</v>
      </c>
      <c r="I382" s="5">
        <v>0</v>
      </c>
      <c r="J382" s="5">
        <v>1100000</v>
      </c>
      <c r="K382" s="5">
        <v>0</v>
      </c>
      <c r="L382" s="5">
        <v>0</v>
      </c>
      <c r="M382" s="5">
        <v>0</v>
      </c>
      <c r="N382" s="5">
        <v>1100000</v>
      </c>
      <c r="O382" s="5">
        <v>0</v>
      </c>
      <c r="P382" s="5">
        <v>0</v>
      </c>
      <c r="Q382" s="3"/>
      <c r="R382" s="3"/>
      <c r="S382" s="3"/>
      <c r="T382" s="3" t="s">
        <v>41</v>
      </c>
      <c r="U382" s="3" t="s">
        <v>34</v>
      </c>
      <c r="V382" s="3" t="s">
        <v>35</v>
      </c>
      <c r="W382" s="3" t="s">
        <v>1698</v>
      </c>
      <c r="X382" s="3"/>
      <c r="Y382" s="5">
        <v>550000</v>
      </c>
      <c r="Z382" s="5">
        <v>2</v>
      </c>
    </row>
    <row r="383" spans="1:26" ht="15.75" customHeight="1" x14ac:dyDescent="0.35">
      <c r="A383" s="2"/>
      <c r="B383" s="3" t="s">
        <v>1604</v>
      </c>
      <c r="C383" s="3" t="s">
        <v>71</v>
      </c>
      <c r="D383" s="3" t="s">
        <v>72</v>
      </c>
      <c r="E383" s="3" t="s">
        <v>1699</v>
      </c>
      <c r="F383" s="4" t="s">
        <v>1679</v>
      </c>
      <c r="G383" s="4" t="s">
        <v>1693</v>
      </c>
      <c r="H383" s="5">
        <v>1100000</v>
      </c>
      <c r="I383" s="5">
        <v>0</v>
      </c>
      <c r="J383" s="5">
        <v>1100000</v>
      </c>
      <c r="K383" s="5">
        <v>0</v>
      </c>
      <c r="L383" s="5">
        <v>0</v>
      </c>
      <c r="M383" s="5">
        <v>0</v>
      </c>
      <c r="N383" s="5">
        <v>1100000</v>
      </c>
      <c r="O383" s="5">
        <v>0</v>
      </c>
      <c r="P383" s="5">
        <v>0</v>
      </c>
      <c r="Q383" s="3" t="s">
        <v>1700</v>
      </c>
      <c r="R383" s="3"/>
      <c r="S383" s="3"/>
      <c r="T383" s="3" t="s">
        <v>41</v>
      </c>
      <c r="U383" s="3" t="s">
        <v>34</v>
      </c>
      <c r="V383" s="3" t="s">
        <v>35</v>
      </c>
      <c r="W383" s="3" t="s">
        <v>1701</v>
      </c>
      <c r="X383" s="3"/>
      <c r="Y383" s="5">
        <v>550000</v>
      </c>
      <c r="Z383" s="5">
        <v>2</v>
      </c>
    </row>
    <row r="384" spans="1:26" ht="15.75" customHeight="1" x14ac:dyDescent="0.35">
      <c r="A384" s="2"/>
      <c r="B384" s="3" t="s">
        <v>1604</v>
      </c>
      <c r="C384" s="3" t="s">
        <v>59</v>
      </c>
      <c r="D384" s="3" t="s">
        <v>60</v>
      </c>
      <c r="E384" s="3" t="s">
        <v>226</v>
      </c>
      <c r="F384" s="4" t="s">
        <v>1679</v>
      </c>
      <c r="G384" s="4" t="s">
        <v>1693</v>
      </c>
      <c r="H384" s="5">
        <v>1006000</v>
      </c>
      <c r="I384" s="5">
        <v>0</v>
      </c>
      <c r="J384" s="5">
        <v>1006000</v>
      </c>
      <c r="K384" s="5">
        <v>0</v>
      </c>
      <c r="L384" s="5">
        <v>0</v>
      </c>
      <c r="M384" s="5">
        <v>0</v>
      </c>
      <c r="N384" s="5">
        <v>1006000</v>
      </c>
      <c r="O384" s="5">
        <v>0</v>
      </c>
      <c r="P384" s="5">
        <v>0</v>
      </c>
      <c r="Q384" s="3"/>
      <c r="R384" s="3"/>
      <c r="S384" s="3"/>
      <c r="T384" s="3" t="s">
        <v>41</v>
      </c>
      <c r="U384" s="3" t="s">
        <v>34</v>
      </c>
      <c r="V384" s="3" t="s">
        <v>35</v>
      </c>
      <c r="W384" s="3" t="s">
        <v>1702</v>
      </c>
      <c r="X384" s="3"/>
      <c r="Y384" s="5">
        <v>503000</v>
      </c>
      <c r="Z384" s="5">
        <v>2</v>
      </c>
    </row>
    <row r="385" spans="1:26" ht="15.75" customHeight="1" x14ac:dyDescent="0.35">
      <c r="A385" s="2"/>
      <c r="B385" s="3" t="s">
        <v>1318</v>
      </c>
      <c r="C385" s="3" t="s">
        <v>71</v>
      </c>
      <c r="D385" s="3" t="s">
        <v>95</v>
      </c>
      <c r="E385" s="3" t="s">
        <v>1703</v>
      </c>
      <c r="F385" s="4" t="s">
        <v>1704</v>
      </c>
      <c r="G385" s="4" t="s">
        <v>1693</v>
      </c>
      <c r="H385" s="5">
        <v>1300000</v>
      </c>
      <c r="I385" s="5">
        <v>200000</v>
      </c>
      <c r="J385" s="5">
        <v>1500000</v>
      </c>
      <c r="K385" s="5">
        <v>0</v>
      </c>
      <c r="L385" s="5">
        <v>0</v>
      </c>
      <c r="M385" s="5">
        <v>0</v>
      </c>
      <c r="N385" s="5">
        <v>1500000</v>
      </c>
      <c r="O385" s="5">
        <v>0</v>
      </c>
      <c r="P385" s="5">
        <v>0</v>
      </c>
      <c r="Q385" s="3" t="s">
        <v>1705</v>
      </c>
      <c r="R385" s="3" t="s">
        <v>34</v>
      </c>
      <c r="S385" s="3" t="s">
        <v>34</v>
      </c>
      <c r="T385" s="3" t="s">
        <v>41</v>
      </c>
      <c r="U385" s="3" t="s">
        <v>34</v>
      </c>
      <c r="V385" s="3" t="s">
        <v>35</v>
      </c>
      <c r="W385" s="3" t="s">
        <v>1706</v>
      </c>
      <c r="X385" s="3"/>
      <c r="Y385" s="5">
        <v>650000</v>
      </c>
      <c r="Z385" s="5">
        <v>2</v>
      </c>
    </row>
    <row r="386" spans="1:26" ht="15.75" customHeight="1" x14ac:dyDescent="0.35">
      <c r="A386" s="2"/>
      <c r="B386" s="3" t="s">
        <v>1488</v>
      </c>
      <c r="C386" s="3" t="s">
        <v>29</v>
      </c>
      <c r="D386" s="3" t="s">
        <v>43</v>
      </c>
      <c r="E386" s="3" t="s">
        <v>1707</v>
      </c>
      <c r="F386" s="4" t="s">
        <v>1674</v>
      </c>
      <c r="G386" s="4" t="s">
        <v>1693</v>
      </c>
      <c r="H386" s="5">
        <v>585000</v>
      </c>
      <c r="I386" s="5">
        <v>200000</v>
      </c>
      <c r="J386" s="5">
        <v>785000</v>
      </c>
      <c r="K386" s="5">
        <v>0</v>
      </c>
      <c r="L386" s="5">
        <v>200000</v>
      </c>
      <c r="M386" s="5">
        <v>0</v>
      </c>
      <c r="N386" s="5">
        <v>585000</v>
      </c>
      <c r="O386" s="5">
        <v>0</v>
      </c>
      <c r="P386" s="5">
        <v>0</v>
      </c>
      <c r="Q386" s="3" t="s">
        <v>1708</v>
      </c>
      <c r="R386" s="3" t="s">
        <v>34</v>
      </c>
      <c r="S386" s="3" t="s">
        <v>34</v>
      </c>
      <c r="T386" s="3" t="s">
        <v>41</v>
      </c>
      <c r="U386" s="3" t="s">
        <v>34</v>
      </c>
      <c r="V386" s="3" t="s">
        <v>35</v>
      </c>
      <c r="W386" s="3" t="s">
        <v>1709</v>
      </c>
      <c r="X386" s="3"/>
      <c r="Y386" s="5">
        <v>585000</v>
      </c>
      <c r="Z386" s="5">
        <v>1</v>
      </c>
    </row>
    <row r="387" spans="1:26" ht="15.5" customHeight="1" x14ac:dyDescent="0.35">
      <c r="A387" s="2"/>
      <c r="B387" s="3" t="s">
        <v>1604</v>
      </c>
      <c r="C387" s="3" t="s">
        <v>29</v>
      </c>
      <c r="D387" s="3" t="s">
        <v>385</v>
      </c>
      <c r="E387" s="3" t="s">
        <v>226</v>
      </c>
      <c r="F387" s="4" t="s">
        <v>1679</v>
      </c>
      <c r="G387" s="4" t="s">
        <v>1710</v>
      </c>
      <c r="H387" s="5">
        <v>1100000</v>
      </c>
      <c r="I387" s="5">
        <v>0</v>
      </c>
      <c r="J387" s="5">
        <v>1100000</v>
      </c>
      <c r="K387" s="5">
        <v>0</v>
      </c>
      <c r="L387" s="5">
        <v>0</v>
      </c>
      <c r="M387" s="5">
        <v>0</v>
      </c>
      <c r="N387" s="5">
        <v>2200000</v>
      </c>
      <c r="O387" s="5">
        <v>0</v>
      </c>
      <c r="P387" s="5">
        <v>-1100000</v>
      </c>
      <c r="Q387" s="3"/>
      <c r="R387" s="3"/>
      <c r="S387" s="3"/>
      <c r="T387" s="3" t="s">
        <v>41</v>
      </c>
      <c r="U387" s="3" t="s">
        <v>34</v>
      </c>
      <c r="V387" s="3" t="s">
        <v>35</v>
      </c>
      <c r="W387" s="3" t="s">
        <v>1711</v>
      </c>
      <c r="X387" s="3"/>
      <c r="Y387" s="5">
        <v>550000</v>
      </c>
      <c r="Z387" s="5">
        <v>2</v>
      </c>
    </row>
    <row r="388" spans="1:26" ht="15.75" customHeight="1" x14ac:dyDescent="0.35">
      <c r="A388" s="2"/>
      <c r="B388" s="3" t="s">
        <v>1318</v>
      </c>
      <c r="C388" s="3" t="s">
        <v>29</v>
      </c>
      <c r="D388" s="3" t="s">
        <v>110</v>
      </c>
      <c r="E388" s="3" t="s">
        <v>226</v>
      </c>
      <c r="F388" s="4" t="s">
        <v>1704</v>
      </c>
      <c r="G388" s="4" t="s">
        <v>1712</v>
      </c>
      <c r="H388" s="5">
        <v>1600000</v>
      </c>
      <c r="I388" s="5">
        <v>0</v>
      </c>
      <c r="J388" s="5">
        <v>1600000</v>
      </c>
      <c r="K388" s="5">
        <v>0</v>
      </c>
      <c r="L388" s="5">
        <v>0</v>
      </c>
      <c r="M388" s="5">
        <v>0</v>
      </c>
      <c r="N388" s="5">
        <v>1600000</v>
      </c>
      <c r="O388" s="5">
        <v>0</v>
      </c>
      <c r="P388" s="5">
        <v>0</v>
      </c>
      <c r="Q388" s="3" t="s">
        <v>34</v>
      </c>
      <c r="R388" s="3" t="s">
        <v>34</v>
      </c>
      <c r="S388" s="3" t="s">
        <v>34</v>
      </c>
      <c r="T388" s="3" t="s">
        <v>41</v>
      </c>
      <c r="U388" s="3" t="s">
        <v>34</v>
      </c>
      <c r="V388" s="3" t="s">
        <v>35</v>
      </c>
      <c r="W388" s="3" t="s">
        <v>1713</v>
      </c>
      <c r="X388" s="3"/>
      <c r="Y388" s="5">
        <v>800000</v>
      </c>
      <c r="Z388" s="5">
        <v>2</v>
      </c>
    </row>
    <row r="389" spans="1:26" ht="15.75" customHeight="1" x14ac:dyDescent="0.35">
      <c r="A389" s="2"/>
      <c r="B389" s="3" t="s">
        <v>1390</v>
      </c>
      <c r="C389" s="3" t="s">
        <v>59</v>
      </c>
      <c r="D389" s="3" t="s">
        <v>60</v>
      </c>
      <c r="E389" s="3" t="s">
        <v>1714</v>
      </c>
      <c r="F389" s="4" t="s">
        <v>1715</v>
      </c>
      <c r="G389" s="4" t="s">
        <v>1716</v>
      </c>
      <c r="H389" s="5">
        <v>712080</v>
      </c>
      <c r="I389" s="5">
        <v>0</v>
      </c>
      <c r="J389" s="5">
        <v>712080</v>
      </c>
      <c r="K389" s="5">
        <v>0</v>
      </c>
      <c r="L389" s="5">
        <v>0</v>
      </c>
      <c r="M389" s="5">
        <v>0</v>
      </c>
      <c r="N389" s="5">
        <v>0</v>
      </c>
      <c r="O389" s="5">
        <v>712080</v>
      </c>
      <c r="P389" s="5">
        <v>0</v>
      </c>
      <c r="Q389" s="3" t="s">
        <v>1717</v>
      </c>
      <c r="R389" s="3" t="s">
        <v>1718</v>
      </c>
      <c r="S389" s="3" t="s">
        <v>34</v>
      </c>
      <c r="T389" s="3" t="s">
        <v>48</v>
      </c>
      <c r="U389" s="3" t="s">
        <v>34</v>
      </c>
      <c r="V389" s="3" t="s">
        <v>35</v>
      </c>
      <c r="W389" s="3" t="s">
        <v>1719</v>
      </c>
      <c r="X389" s="3" t="s">
        <v>1720</v>
      </c>
      <c r="Y389" s="5">
        <v>712080</v>
      </c>
      <c r="Z389" s="5">
        <v>1</v>
      </c>
    </row>
    <row r="390" spans="1:26" ht="15.75" customHeight="1" x14ac:dyDescent="0.35">
      <c r="A390" s="2"/>
      <c r="B390" s="3" t="s">
        <v>1381</v>
      </c>
      <c r="C390" s="3" t="s">
        <v>59</v>
      </c>
      <c r="D390" s="3" t="s">
        <v>182</v>
      </c>
      <c r="E390" s="3" t="s">
        <v>1721</v>
      </c>
      <c r="F390" s="4" t="s">
        <v>1722</v>
      </c>
      <c r="G390" s="4" t="s">
        <v>1723</v>
      </c>
      <c r="H390" s="5">
        <v>549000</v>
      </c>
      <c r="I390" s="5">
        <v>0</v>
      </c>
      <c r="J390" s="5">
        <v>549000</v>
      </c>
      <c r="K390" s="5">
        <v>0</v>
      </c>
      <c r="L390" s="5">
        <v>0</v>
      </c>
      <c r="M390" s="5">
        <v>0</v>
      </c>
      <c r="N390" s="5">
        <v>549000</v>
      </c>
      <c r="O390" s="5">
        <v>0</v>
      </c>
      <c r="P390" s="5">
        <v>0</v>
      </c>
      <c r="Q390" s="3" t="s">
        <v>1724</v>
      </c>
      <c r="R390" s="3" t="s">
        <v>34</v>
      </c>
      <c r="S390" s="3" t="s">
        <v>1725</v>
      </c>
      <c r="T390" s="3" t="s">
        <v>41</v>
      </c>
      <c r="U390" s="3" t="s">
        <v>34</v>
      </c>
      <c r="V390" s="3" t="s">
        <v>35</v>
      </c>
      <c r="W390" s="3" t="s">
        <v>1726</v>
      </c>
      <c r="X390" s="3"/>
      <c r="Y390" s="5">
        <v>549000</v>
      </c>
      <c r="Z390" s="5">
        <v>1</v>
      </c>
    </row>
    <row r="391" spans="1:26" ht="15.75" customHeight="1" x14ac:dyDescent="0.35">
      <c r="A391" s="2"/>
      <c r="B391" s="3" t="s">
        <v>1394</v>
      </c>
      <c r="C391" s="3" t="s">
        <v>71</v>
      </c>
      <c r="D391" s="3" t="s">
        <v>72</v>
      </c>
      <c r="E391" s="3" t="s">
        <v>1727</v>
      </c>
      <c r="F391" s="4" t="s">
        <v>1728</v>
      </c>
      <c r="G391" s="4" t="s">
        <v>1729</v>
      </c>
      <c r="H391" s="5">
        <v>749000</v>
      </c>
      <c r="I391" s="5">
        <v>0</v>
      </c>
      <c r="J391" s="5">
        <v>749000</v>
      </c>
      <c r="K391" s="5">
        <v>0</v>
      </c>
      <c r="L391" s="5">
        <v>0</v>
      </c>
      <c r="M391" s="5">
        <v>0</v>
      </c>
      <c r="N391" s="5">
        <v>749000</v>
      </c>
      <c r="O391" s="5">
        <v>0</v>
      </c>
      <c r="P391" s="5">
        <v>0</v>
      </c>
      <c r="Q391" s="3" t="s">
        <v>1730</v>
      </c>
      <c r="R391" s="3" t="s">
        <v>34</v>
      </c>
      <c r="S391" s="3" t="s">
        <v>1731</v>
      </c>
      <c r="T391" s="3" t="s">
        <v>41</v>
      </c>
      <c r="U391" s="3" t="s">
        <v>34</v>
      </c>
      <c r="V391" s="3" t="s">
        <v>35</v>
      </c>
      <c r="W391" s="3" t="s">
        <v>1732</v>
      </c>
      <c r="X391" s="3"/>
      <c r="Y391" s="5">
        <v>749000</v>
      </c>
      <c r="Z391" s="5">
        <v>1</v>
      </c>
    </row>
    <row r="392" spans="1:26" ht="15.75" customHeight="1" x14ac:dyDescent="0.35">
      <c r="A392" s="2"/>
      <c r="B392" s="3" t="s">
        <v>1733</v>
      </c>
      <c r="C392" s="3" t="s">
        <v>71</v>
      </c>
      <c r="D392" s="3" t="s">
        <v>1086</v>
      </c>
      <c r="E392" s="3" t="s">
        <v>1734</v>
      </c>
      <c r="F392" s="4" t="s">
        <v>1735</v>
      </c>
      <c r="G392" s="4" t="s">
        <v>1736</v>
      </c>
      <c r="H392" s="5">
        <v>700000</v>
      </c>
      <c r="I392" s="5">
        <v>0</v>
      </c>
      <c r="J392" s="5">
        <v>700000</v>
      </c>
      <c r="K392" s="5">
        <v>0</v>
      </c>
      <c r="L392" s="5">
        <v>0</v>
      </c>
      <c r="M392" s="5">
        <v>0</v>
      </c>
      <c r="N392" s="5">
        <v>700000</v>
      </c>
      <c r="O392" s="5">
        <v>0</v>
      </c>
      <c r="P392" s="5">
        <v>0</v>
      </c>
      <c r="Q392" s="3" t="s">
        <v>34</v>
      </c>
      <c r="R392" s="3" t="s">
        <v>34</v>
      </c>
      <c r="S392" s="3" t="s">
        <v>34</v>
      </c>
      <c r="T392" s="3" t="s">
        <v>41</v>
      </c>
      <c r="U392" s="3" t="s">
        <v>34</v>
      </c>
      <c r="V392" s="3" t="s">
        <v>35</v>
      </c>
      <c r="W392" s="3" t="s">
        <v>1737</v>
      </c>
      <c r="X392" s="3"/>
      <c r="Y392" s="5">
        <v>700000</v>
      </c>
      <c r="Z392" s="5">
        <v>1</v>
      </c>
    </row>
    <row r="393" spans="1:26" ht="15.75" customHeight="1" x14ac:dyDescent="0.35">
      <c r="A393" s="2"/>
      <c r="B393" s="3" t="s">
        <v>1733</v>
      </c>
      <c r="C393" s="3" t="s">
        <v>29</v>
      </c>
      <c r="D393" s="3" t="s">
        <v>30</v>
      </c>
      <c r="E393" s="3" t="s">
        <v>226</v>
      </c>
      <c r="F393" s="4" t="s">
        <v>1735</v>
      </c>
      <c r="G393" s="4" t="s">
        <v>1736</v>
      </c>
      <c r="H393" s="5">
        <v>900000</v>
      </c>
      <c r="I393" s="5">
        <v>0</v>
      </c>
      <c r="J393" s="5">
        <v>900000</v>
      </c>
      <c r="K393" s="5">
        <v>0</v>
      </c>
      <c r="L393" s="5">
        <v>0</v>
      </c>
      <c r="M393" s="5">
        <v>0</v>
      </c>
      <c r="N393" s="5">
        <v>900000</v>
      </c>
      <c r="O393" s="5">
        <v>0</v>
      </c>
      <c r="P393" s="5">
        <v>0</v>
      </c>
      <c r="Q393" s="3"/>
      <c r="R393" s="3"/>
      <c r="S393" s="3"/>
      <c r="T393" s="3" t="s">
        <v>41</v>
      </c>
      <c r="U393" s="3" t="s">
        <v>34</v>
      </c>
      <c r="V393" s="3" t="s">
        <v>35</v>
      </c>
      <c r="W393" s="3" t="s">
        <v>1738</v>
      </c>
      <c r="X393" s="3"/>
      <c r="Y393" s="5">
        <v>900000</v>
      </c>
      <c r="Z393" s="5">
        <v>1</v>
      </c>
    </row>
    <row r="394" spans="1:26" ht="15.75" customHeight="1" x14ac:dyDescent="0.35">
      <c r="A394" s="2"/>
      <c r="B394" s="3" t="s">
        <v>1361</v>
      </c>
      <c r="C394" s="3" t="s">
        <v>59</v>
      </c>
      <c r="D394" s="3" t="s">
        <v>193</v>
      </c>
      <c r="E394" s="3" t="s">
        <v>376</v>
      </c>
      <c r="F394" s="4" t="s">
        <v>1739</v>
      </c>
      <c r="G394" s="4" t="s">
        <v>1740</v>
      </c>
      <c r="H394" s="5">
        <v>1298000</v>
      </c>
      <c r="I394" s="5">
        <v>0</v>
      </c>
      <c r="J394" s="5">
        <v>1298000</v>
      </c>
      <c r="K394" s="5">
        <v>0</v>
      </c>
      <c r="L394" s="5">
        <v>1298000</v>
      </c>
      <c r="M394" s="5">
        <v>0</v>
      </c>
      <c r="N394" s="5">
        <v>0</v>
      </c>
      <c r="O394" s="5">
        <v>0</v>
      </c>
      <c r="P394" s="5">
        <v>0</v>
      </c>
      <c r="Q394" s="3" t="s">
        <v>378</v>
      </c>
      <c r="R394" s="3" t="s">
        <v>34</v>
      </c>
      <c r="S394" s="3" t="s">
        <v>34</v>
      </c>
      <c r="T394" s="3" t="s">
        <v>41</v>
      </c>
      <c r="U394" s="3" t="s">
        <v>34</v>
      </c>
      <c r="V394" s="3" t="s">
        <v>35</v>
      </c>
      <c r="W394" s="3" t="s">
        <v>1741</v>
      </c>
      <c r="X394" s="3"/>
      <c r="Y394" s="5">
        <v>649000</v>
      </c>
      <c r="Z394" s="5">
        <v>2</v>
      </c>
    </row>
    <row r="395" spans="1:26" ht="15.75" customHeight="1" x14ac:dyDescent="0.35">
      <c r="A395" s="2"/>
      <c r="B395" s="3" t="s">
        <v>1400</v>
      </c>
      <c r="C395" s="3" t="s">
        <v>71</v>
      </c>
      <c r="D395" s="3" t="s">
        <v>72</v>
      </c>
      <c r="E395" s="3" t="s">
        <v>1742</v>
      </c>
      <c r="F395" s="4" t="s">
        <v>1743</v>
      </c>
      <c r="G395" s="4" t="s">
        <v>1740</v>
      </c>
      <c r="H395" s="5">
        <v>555750</v>
      </c>
      <c r="I395" s="5">
        <v>0</v>
      </c>
      <c r="J395" s="5">
        <v>555750</v>
      </c>
      <c r="K395" s="5">
        <v>0</v>
      </c>
      <c r="L395" s="5">
        <v>0</v>
      </c>
      <c r="M395" s="5">
        <v>0</v>
      </c>
      <c r="N395" s="5">
        <v>0</v>
      </c>
      <c r="O395" s="5">
        <v>555750</v>
      </c>
      <c r="P395" s="5">
        <v>0</v>
      </c>
      <c r="Q395" s="3" t="s">
        <v>34</v>
      </c>
      <c r="R395" s="3" t="s">
        <v>34</v>
      </c>
      <c r="S395" s="3" t="s">
        <v>34</v>
      </c>
      <c r="T395" s="3" t="s">
        <v>245</v>
      </c>
      <c r="U395" s="3" t="s">
        <v>34</v>
      </c>
      <c r="V395" s="3" t="s">
        <v>35</v>
      </c>
      <c r="W395" s="3" t="s">
        <v>1744</v>
      </c>
      <c r="X395" s="3"/>
      <c r="Y395" s="5">
        <v>555750</v>
      </c>
      <c r="Z395" s="5">
        <v>1</v>
      </c>
    </row>
    <row r="396" spans="1:26" ht="15.75" customHeight="1" x14ac:dyDescent="0.35">
      <c r="A396" s="2"/>
      <c r="B396" s="3" t="s">
        <v>1442</v>
      </c>
      <c r="C396" s="3" t="s">
        <v>29</v>
      </c>
      <c r="D396" s="3" t="s">
        <v>413</v>
      </c>
      <c r="E396" s="3" t="s">
        <v>1745</v>
      </c>
      <c r="F396" s="4" t="s">
        <v>1743</v>
      </c>
      <c r="G396" s="4" t="s">
        <v>1740</v>
      </c>
      <c r="H396" s="5">
        <v>750000</v>
      </c>
      <c r="I396" s="5">
        <v>0</v>
      </c>
      <c r="J396" s="5">
        <v>750000</v>
      </c>
      <c r="K396" s="5">
        <v>0</v>
      </c>
      <c r="L396" s="5">
        <v>750000</v>
      </c>
      <c r="M396" s="5">
        <v>0</v>
      </c>
      <c r="N396" s="5">
        <v>0</v>
      </c>
      <c r="O396" s="5">
        <v>0</v>
      </c>
      <c r="P396" s="5">
        <v>0</v>
      </c>
      <c r="Q396" s="3" t="s">
        <v>1746</v>
      </c>
      <c r="R396" s="3"/>
      <c r="S396" s="3"/>
      <c r="T396" s="3" t="s">
        <v>41</v>
      </c>
      <c r="U396" s="3" t="s">
        <v>34</v>
      </c>
      <c r="V396" s="3" t="s">
        <v>35</v>
      </c>
      <c r="W396" s="3" t="s">
        <v>1747</v>
      </c>
      <c r="X396" s="3"/>
      <c r="Y396" s="5">
        <v>750000</v>
      </c>
      <c r="Z396" s="5">
        <v>1</v>
      </c>
    </row>
    <row r="397" spans="1:26" ht="15.75" customHeight="1" x14ac:dyDescent="0.35">
      <c r="A397" s="2"/>
      <c r="B397" s="3" t="s">
        <v>1404</v>
      </c>
      <c r="C397" s="3" t="s">
        <v>64</v>
      </c>
      <c r="D397" s="3" t="s">
        <v>173</v>
      </c>
      <c r="E397" s="3" t="s">
        <v>1748</v>
      </c>
      <c r="F397" s="4" t="s">
        <v>1749</v>
      </c>
      <c r="G397" s="4" t="s">
        <v>1740</v>
      </c>
      <c r="H397" s="5">
        <v>649000</v>
      </c>
      <c r="I397" s="5">
        <v>0</v>
      </c>
      <c r="J397" s="5">
        <v>649000</v>
      </c>
      <c r="K397" s="5">
        <v>0</v>
      </c>
      <c r="L397" s="5">
        <v>0</v>
      </c>
      <c r="M397" s="5">
        <v>0</v>
      </c>
      <c r="N397" s="5">
        <v>649000</v>
      </c>
      <c r="O397" s="5">
        <v>0</v>
      </c>
      <c r="P397" s="5">
        <v>0</v>
      </c>
      <c r="Q397" s="3" t="s">
        <v>1750</v>
      </c>
      <c r="R397" s="3" t="s">
        <v>1751</v>
      </c>
      <c r="S397" s="3" t="s">
        <v>1752</v>
      </c>
      <c r="T397" s="3" t="s">
        <v>41</v>
      </c>
      <c r="U397" s="3" t="s">
        <v>34</v>
      </c>
      <c r="V397" s="3" t="s">
        <v>35</v>
      </c>
      <c r="W397" s="3" t="s">
        <v>1753</v>
      </c>
      <c r="X397" s="3" t="s">
        <v>1754</v>
      </c>
      <c r="Y397" s="5">
        <v>649000</v>
      </c>
      <c r="Z397" s="5">
        <v>1</v>
      </c>
    </row>
    <row r="398" spans="1:26" ht="15.75" customHeight="1" x14ac:dyDescent="0.35">
      <c r="A398" s="2"/>
      <c r="B398" s="3" t="s">
        <v>1755</v>
      </c>
      <c r="C398" s="3" t="s">
        <v>71</v>
      </c>
      <c r="D398" s="3" t="s">
        <v>1086</v>
      </c>
      <c r="E398" s="3" t="s">
        <v>1756</v>
      </c>
      <c r="F398" s="4" t="s">
        <v>1757</v>
      </c>
      <c r="G398" s="4" t="s">
        <v>1758</v>
      </c>
      <c r="H398" s="5">
        <v>400000</v>
      </c>
      <c r="I398" s="5">
        <v>0</v>
      </c>
      <c r="J398" s="5">
        <v>400000</v>
      </c>
      <c r="K398" s="5">
        <v>0</v>
      </c>
      <c r="L398" s="5">
        <v>400000</v>
      </c>
      <c r="M398" s="5">
        <v>0</v>
      </c>
      <c r="N398" s="5">
        <v>0</v>
      </c>
      <c r="O398" s="5">
        <v>0</v>
      </c>
      <c r="P398" s="5">
        <v>0</v>
      </c>
      <c r="Q398" s="3" t="s">
        <v>1759</v>
      </c>
      <c r="R398" s="3" t="s">
        <v>34</v>
      </c>
      <c r="S398" s="3" t="s">
        <v>1760</v>
      </c>
      <c r="T398" s="3" t="s">
        <v>41</v>
      </c>
      <c r="U398" s="3" t="s">
        <v>34</v>
      </c>
      <c r="V398" s="3" t="s">
        <v>35</v>
      </c>
      <c r="W398" s="3" t="s">
        <v>1761</v>
      </c>
      <c r="X398" s="3"/>
      <c r="Y398" s="5">
        <v>400000</v>
      </c>
      <c r="Z398" s="5">
        <v>1</v>
      </c>
    </row>
    <row r="399" spans="1:26" ht="15.75" customHeight="1" x14ac:dyDescent="0.35">
      <c r="A399" s="2"/>
      <c r="B399" s="3" t="s">
        <v>1762</v>
      </c>
      <c r="C399" s="3" t="s">
        <v>59</v>
      </c>
      <c r="D399" s="3" t="s">
        <v>193</v>
      </c>
      <c r="E399" s="3" t="s">
        <v>1763</v>
      </c>
      <c r="F399" s="4" t="s">
        <v>1764</v>
      </c>
      <c r="G399" s="4" t="s">
        <v>1765</v>
      </c>
      <c r="H399" s="5">
        <v>400000</v>
      </c>
      <c r="I399" s="5">
        <v>0</v>
      </c>
      <c r="J399" s="5">
        <v>400000</v>
      </c>
      <c r="K399" s="5">
        <v>0</v>
      </c>
      <c r="L399" s="5">
        <v>0</v>
      </c>
      <c r="M399" s="5">
        <v>0</v>
      </c>
      <c r="N399" s="5">
        <v>400000</v>
      </c>
      <c r="O399" s="5">
        <v>0</v>
      </c>
      <c r="P399" s="5">
        <v>0</v>
      </c>
      <c r="Q399" s="3" t="s">
        <v>1766</v>
      </c>
      <c r="R399" s="3" t="s">
        <v>34</v>
      </c>
      <c r="S399" s="3" t="s">
        <v>1767</v>
      </c>
      <c r="T399" s="3" t="s">
        <v>41</v>
      </c>
      <c r="U399" s="3" t="s">
        <v>34</v>
      </c>
      <c r="V399" s="3" t="s">
        <v>35</v>
      </c>
      <c r="W399" s="3" t="s">
        <v>1768</v>
      </c>
      <c r="X399" s="3"/>
      <c r="Y399" s="5">
        <v>400000</v>
      </c>
      <c r="Z399" s="5">
        <v>1</v>
      </c>
    </row>
    <row r="400" spans="1:26" ht="15.75" customHeight="1" x14ac:dyDescent="0.35">
      <c r="A400" s="2"/>
      <c r="B400" s="3" t="s">
        <v>1261</v>
      </c>
      <c r="C400" s="3" t="s">
        <v>71</v>
      </c>
      <c r="D400" s="3" t="s">
        <v>95</v>
      </c>
      <c r="E400" s="3" t="s">
        <v>429</v>
      </c>
      <c r="F400" s="4" t="s">
        <v>1743</v>
      </c>
      <c r="G400" s="4" t="s">
        <v>1769</v>
      </c>
      <c r="H400" s="5">
        <v>1258000</v>
      </c>
      <c r="I400" s="5">
        <v>0</v>
      </c>
      <c r="J400" s="5">
        <v>1258000</v>
      </c>
      <c r="K400" s="5">
        <v>0</v>
      </c>
      <c r="L400" s="5">
        <v>0</v>
      </c>
      <c r="M400" s="5">
        <v>0</v>
      </c>
      <c r="N400" s="5">
        <v>1258000</v>
      </c>
      <c r="O400" s="5">
        <v>0</v>
      </c>
      <c r="P400" s="5">
        <v>0</v>
      </c>
      <c r="Q400" s="3" t="s">
        <v>432</v>
      </c>
      <c r="R400" s="3" t="s">
        <v>34</v>
      </c>
      <c r="S400" s="3" t="s">
        <v>34</v>
      </c>
      <c r="T400" s="3" t="s">
        <v>41</v>
      </c>
      <c r="U400" s="3" t="s">
        <v>34</v>
      </c>
      <c r="V400" s="3" t="s">
        <v>35</v>
      </c>
      <c r="W400" s="3" t="s">
        <v>1770</v>
      </c>
      <c r="X400" s="3"/>
      <c r="Y400" s="5">
        <v>629000</v>
      </c>
      <c r="Z400" s="5">
        <v>2</v>
      </c>
    </row>
    <row r="401" spans="1:26" ht="15.75" customHeight="1" x14ac:dyDescent="0.35">
      <c r="A401" s="2"/>
      <c r="B401" s="3" t="s">
        <v>1733</v>
      </c>
      <c r="C401" s="3" t="s">
        <v>29</v>
      </c>
      <c r="D401" s="3" t="s">
        <v>506</v>
      </c>
      <c r="E401" s="3" t="s">
        <v>226</v>
      </c>
      <c r="F401" s="4" t="s">
        <v>1735</v>
      </c>
      <c r="G401" s="4" t="s">
        <v>1771</v>
      </c>
      <c r="H401" s="5">
        <v>1800000</v>
      </c>
      <c r="I401" s="5">
        <v>35000</v>
      </c>
      <c r="J401" s="5">
        <v>1835000</v>
      </c>
      <c r="K401" s="5">
        <v>0</v>
      </c>
      <c r="L401" s="5">
        <v>35000</v>
      </c>
      <c r="M401" s="5">
        <v>0</v>
      </c>
      <c r="N401" s="5">
        <v>1800000</v>
      </c>
      <c r="O401" s="5">
        <v>0</v>
      </c>
      <c r="P401" s="5">
        <v>0</v>
      </c>
      <c r="Q401" s="3"/>
      <c r="R401" s="3"/>
      <c r="S401" s="3"/>
      <c r="T401" s="3" t="s">
        <v>41</v>
      </c>
      <c r="U401" s="3" t="s">
        <v>34</v>
      </c>
      <c r="V401" s="3" t="s">
        <v>35</v>
      </c>
      <c r="W401" s="3" t="s">
        <v>1772</v>
      </c>
      <c r="X401" s="3"/>
      <c r="Y401" s="5">
        <v>900000</v>
      </c>
      <c r="Z401" s="5">
        <v>2</v>
      </c>
    </row>
    <row r="402" spans="1:26" ht="15.75" customHeight="1" x14ac:dyDescent="0.35">
      <c r="A402" s="2"/>
      <c r="B402" s="3" t="s">
        <v>1733</v>
      </c>
      <c r="C402" s="3" t="s">
        <v>29</v>
      </c>
      <c r="D402" s="3" t="s">
        <v>110</v>
      </c>
      <c r="E402" s="3" t="s">
        <v>226</v>
      </c>
      <c r="F402" s="4" t="s">
        <v>1735</v>
      </c>
      <c r="G402" s="4" t="s">
        <v>1771</v>
      </c>
      <c r="H402" s="5">
        <v>1800000</v>
      </c>
      <c r="I402" s="5">
        <v>0</v>
      </c>
      <c r="J402" s="5">
        <v>1800000</v>
      </c>
      <c r="K402" s="5">
        <v>0</v>
      </c>
      <c r="L402" s="5">
        <v>0</v>
      </c>
      <c r="M402" s="5">
        <v>0</v>
      </c>
      <c r="N402" s="5">
        <v>1800000</v>
      </c>
      <c r="O402" s="5">
        <v>0</v>
      </c>
      <c r="P402" s="5">
        <v>0</v>
      </c>
      <c r="Q402" s="3"/>
      <c r="R402" s="3"/>
      <c r="S402" s="3"/>
      <c r="T402" s="3" t="s">
        <v>41</v>
      </c>
      <c r="U402" s="3" t="s">
        <v>34</v>
      </c>
      <c r="V402" s="3" t="s">
        <v>35</v>
      </c>
      <c r="W402" s="3" t="s">
        <v>1773</v>
      </c>
      <c r="X402" s="3"/>
      <c r="Y402" s="5">
        <v>900000</v>
      </c>
      <c r="Z402" s="5">
        <v>2</v>
      </c>
    </row>
    <row r="403" spans="1:26" ht="15.75" customHeight="1" x14ac:dyDescent="0.35">
      <c r="A403" s="2"/>
      <c r="B403" s="3" t="s">
        <v>1426</v>
      </c>
      <c r="C403" s="3" t="s">
        <v>59</v>
      </c>
      <c r="D403" s="3" t="s">
        <v>60</v>
      </c>
      <c r="E403" s="3" t="s">
        <v>1774</v>
      </c>
      <c r="F403" s="4" t="s">
        <v>1775</v>
      </c>
      <c r="G403" s="4" t="s">
        <v>1776</v>
      </c>
      <c r="H403" s="5">
        <v>1300000</v>
      </c>
      <c r="I403" s="5">
        <v>0</v>
      </c>
      <c r="J403" s="5">
        <v>1300000</v>
      </c>
      <c r="K403" s="5">
        <v>0</v>
      </c>
      <c r="L403" s="5">
        <v>0</v>
      </c>
      <c r="M403" s="5">
        <v>0</v>
      </c>
      <c r="N403" s="5">
        <v>1300000</v>
      </c>
      <c r="O403" s="5">
        <v>0</v>
      </c>
      <c r="P403" s="5">
        <v>0</v>
      </c>
      <c r="Q403" s="3" t="s">
        <v>1777</v>
      </c>
      <c r="R403" s="3" t="s">
        <v>34</v>
      </c>
      <c r="S403" s="3" t="s">
        <v>1778</v>
      </c>
      <c r="T403" s="3" t="s">
        <v>41</v>
      </c>
      <c r="U403" s="3" t="s">
        <v>34</v>
      </c>
      <c r="V403" s="3" t="s">
        <v>35</v>
      </c>
      <c r="W403" s="3" t="s">
        <v>1779</v>
      </c>
      <c r="X403" s="3"/>
      <c r="Y403" s="5">
        <v>650000</v>
      </c>
      <c r="Z403" s="5">
        <v>2</v>
      </c>
    </row>
    <row r="404" spans="1:26" ht="15.75" customHeight="1" x14ac:dyDescent="0.35">
      <c r="A404" s="2"/>
      <c r="B404" s="3" t="s">
        <v>1414</v>
      </c>
      <c r="C404" s="3" t="s">
        <v>29</v>
      </c>
      <c r="D404" s="3" t="s">
        <v>43</v>
      </c>
      <c r="E404" s="3" t="s">
        <v>226</v>
      </c>
      <c r="F404" s="4" t="s">
        <v>1780</v>
      </c>
      <c r="G404" s="4" t="s">
        <v>1781</v>
      </c>
      <c r="H404" s="5">
        <v>2700000</v>
      </c>
      <c r="I404" s="5">
        <v>0</v>
      </c>
      <c r="J404" s="5">
        <v>2700000</v>
      </c>
      <c r="K404" s="5">
        <v>0</v>
      </c>
      <c r="L404" s="5">
        <v>0</v>
      </c>
      <c r="M404" s="5">
        <v>0</v>
      </c>
      <c r="N404" s="5">
        <v>2700000</v>
      </c>
      <c r="O404" s="5">
        <v>0</v>
      </c>
      <c r="P404" s="5">
        <v>0</v>
      </c>
      <c r="Q404" s="3" t="s">
        <v>34</v>
      </c>
      <c r="R404" s="3" t="s">
        <v>34</v>
      </c>
      <c r="S404" s="3" t="s">
        <v>34</v>
      </c>
      <c r="T404" s="3" t="s">
        <v>41</v>
      </c>
      <c r="U404" s="3" t="s">
        <v>34</v>
      </c>
      <c r="V404" s="3" t="s">
        <v>35</v>
      </c>
      <c r="W404" s="3" t="s">
        <v>1782</v>
      </c>
      <c r="X404" s="3"/>
      <c r="Y404" s="5">
        <v>900000</v>
      </c>
      <c r="Z404" s="5">
        <v>3</v>
      </c>
    </row>
    <row r="405" spans="1:26" ht="15.75" customHeight="1" x14ac:dyDescent="0.35">
      <c r="A405" s="2"/>
      <c r="B405" s="3" t="s">
        <v>1414</v>
      </c>
      <c r="C405" s="3" t="s">
        <v>59</v>
      </c>
      <c r="D405" s="3" t="s">
        <v>122</v>
      </c>
      <c r="E405" s="3" t="s">
        <v>1783</v>
      </c>
      <c r="F405" s="4" t="s">
        <v>1784</v>
      </c>
      <c r="G405" s="4" t="s">
        <v>1781</v>
      </c>
      <c r="H405" s="5">
        <v>1950000</v>
      </c>
      <c r="I405" s="5">
        <v>0</v>
      </c>
      <c r="J405" s="5">
        <v>1950000</v>
      </c>
      <c r="K405" s="5">
        <v>0</v>
      </c>
      <c r="L405" s="5">
        <v>0</v>
      </c>
      <c r="M405" s="5">
        <v>0</v>
      </c>
      <c r="N405" s="5">
        <v>1950000</v>
      </c>
      <c r="O405" s="5">
        <v>0</v>
      </c>
      <c r="P405" s="5">
        <v>0</v>
      </c>
      <c r="Q405" s="3"/>
      <c r="R405" s="3"/>
      <c r="S405" s="3"/>
      <c r="T405" s="3" t="s">
        <v>41</v>
      </c>
      <c r="U405" s="3" t="s">
        <v>34</v>
      </c>
      <c r="V405" s="3" t="s">
        <v>35</v>
      </c>
      <c r="W405" s="3" t="s">
        <v>1785</v>
      </c>
      <c r="X405" s="3"/>
      <c r="Y405" s="5">
        <v>650000</v>
      </c>
      <c r="Z405" s="5">
        <v>3</v>
      </c>
    </row>
    <row r="406" spans="1:26" ht="15.75" customHeight="1" x14ac:dyDescent="0.35">
      <c r="A406" s="2"/>
      <c r="B406" s="3" t="s">
        <v>1365</v>
      </c>
      <c r="C406" s="3" t="s">
        <v>64</v>
      </c>
      <c r="D406" s="3" t="s">
        <v>173</v>
      </c>
      <c r="E406" s="3" t="s">
        <v>1786</v>
      </c>
      <c r="F406" s="4" t="s">
        <v>1787</v>
      </c>
      <c r="G406" s="4" t="s">
        <v>1788</v>
      </c>
      <c r="H406" s="5">
        <v>602640</v>
      </c>
      <c r="I406" s="5">
        <v>0</v>
      </c>
      <c r="J406" s="5">
        <v>602640</v>
      </c>
      <c r="K406" s="5">
        <v>0</v>
      </c>
      <c r="L406" s="5">
        <v>602640</v>
      </c>
      <c r="M406" s="5">
        <v>0</v>
      </c>
      <c r="N406" s="5">
        <v>0</v>
      </c>
      <c r="O406" s="5">
        <v>0</v>
      </c>
      <c r="P406" s="5">
        <v>0</v>
      </c>
      <c r="Q406" s="3" t="s">
        <v>1789</v>
      </c>
      <c r="R406" s="3" t="s">
        <v>1790</v>
      </c>
      <c r="S406" s="3" t="s">
        <v>34</v>
      </c>
      <c r="T406" s="3" t="s">
        <v>48</v>
      </c>
      <c r="U406" s="3" t="s">
        <v>34</v>
      </c>
      <c r="V406" s="3" t="s">
        <v>35</v>
      </c>
      <c r="W406" s="3" t="s">
        <v>1791</v>
      </c>
      <c r="X406" s="3" t="s">
        <v>1792</v>
      </c>
      <c r="Y406" s="5">
        <v>602640</v>
      </c>
      <c r="Z406" s="5">
        <v>1</v>
      </c>
    </row>
    <row r="407" spans="1:26" ht="15.75" customHeight="1" x14ac:dyDescent="0.35">
      <c r="A407" s="2"/>
      <c r="B407" s="3" t="s">
        <v>1469</v>
      </c>
      <c r="C407" s="3" t="s">
        <v>59</v>
      </c>
      <c r="D407" s="3" t="s">
        <v>122</v>
      </c>
      <c r="E407" s="3" t="s">
        <v>1793</v>
      </c>
      <c r="F407" s="4" t="s">
        <v>1794</v>
      </c>
      <c r="G407" s="4" t="s">
        <v>1795</v>
      </c>
      <c r="H407" s="5">
        <v>602640</v>
      </c>
      <c r="I407" s="5">
        <v>0</v>
      </c>
      <c r="J407" s="5">
        <v>602640</v>
      </c>
      <c r="K407" s="5">
        <v>0</v>
      </c>
      <c r="L407" s="5">
        <v>0</v>
      </c>
      <c r="M407" s="5">
        <v>0</v>
      </c>
      <c r="N407" s="5">
        <v>0</v>
      </c>
      <c r="O407" s="5">
        <v>602640</v>
      </c>
      <c r="P407" s="5">
        <v>0</v>
      </c>
      <c r="Q407" s="3" t="s">
        <v>1796</v>
      </c>
      <c r="R407" s="3" t="s">
        <v>1797</v>
      </c>
      <c r="S407" s="3" t="s">
        <v>1798</v>
      </c>
      <c r="T407" s="3" t="s">
        <v>48</v>
      </c>
      <c r="U407" s="3" t="s">
        <v>34</v>
      </c>
      <c r="V407" s="3" t="s">
        <v>35</v>
      </c>
      <c r="W407" s="3" t="s">
        <v>1799</v>
      </c>
      <c r="X407" s="3" t="s">
        <v>1800</v>
      </c>
      <c r="Y407" s="5">
        <v>602640</v>
      </c>
      <c r="Z407" s="5">
        <v>1</v>
      </c>
    </row>
    <row r="408" spans="1:26" ht="15.75" customHeight="1" x14ac:dyDescent="0.35">
      <c r="A408" s="2"/>
      <c r="B408" s="3" t="s">
        <v>1436</v>
      </c>
      <c r="C408" s="3" t="s">
        <v>59</v>
      </c>
      <c r="D408" s="3" t="s">
        <v>193</v>
      </c>
      <c r="E408" s="3" t="s">
        <v>1748</v>
      </c>
      <c r="F408" s="4" t="s">
        <v>1801</v>
      </c>
      <c r="G408" s="4" t="s">
        <v>1802</v>
      </c>
      <c r="H408" s="5">
        <v>549000</v>
      </c>
      <c r="I408" s="5">
        <v>0</v>
      </c>
      <c r="J408" s="5">
        <v>549000</v>
      </c>
      <c r="K408" s="5">
        <v>0</v>
      </c>
      <c r="L408" s="5">
        <v>0</v>
      </c>
      <c r="M408" s="5">
        <v>0</v>
      </c>
      <c r="N408" s="5">
        <v>549000</v>
      </c>
      <c r="O408" s="5">
        <v>0</v>
      </c>
      <c r="P408" s="5">
        <v>0</v>
      </c>
      <c r="Q408" s="3" t="s">
        <v>1750</v>
      </c>
      <c r="R408" s="3" t="s">
        <v>1751</v>
      </c>
      <c r="S408" s="3" t="s">
        <v>1752</v>
      </c>
      <c r="T408" s="3" t="s">
        <v>41</v>
      </c>
      <c r="U408" s="3" t="s">
        <v>34</v>
      </c>
      <c r="V408" s="3" t="s">
        <v>35</v>
      </c>
      <c r="W408" s="3" t="s">
        <v>1803</v>
      </c>
      <c r="X408" s="3"/>
      <c r="Y408" s="5">
        <v>549000</v>
      </c>
      <c r="Z408" s="5">
        <v>1</v>
      </c>
    </row>
    <row r="409" spans="1:26" ht="15.75" customHeight="1" x14ac:dyDescent="0.35">
      <c r="A409" s="2"/>
      <c r="B409" s="3" t="s">
        <v>1340</v>
      </c>
      <c r="C409" s="3" t="s">
        <v>64</v>
      </c>
      <c r="D409" s="3" t="s">
        <v>89</v>
      </c>
      <c r="E409" s="3" t="s">
        <v>1804</v>
      </c>
      <c r="F409" s="4" t="s">
        <v>1805</v>
      </c>
      <c r="G409" s="4" t="s">
        <v>1806</v>
      </c>
      <c r="H409" s="5">
        <v>2600000</v>
      </c>
      <c r="I409" s="5">
        <v>0</v>
      </c>
      <c r="J409" s="5">
        <v>2600000</v>
      </c>
      <c r="K409" s="5">
        <v>0</v>
      </c>
      <c r="L409" s="5">
        <v>1000000</v>
      </c>
      <c r="M409" s="5">
        <v>0</v>
      </c>
      <c r="N409" s="5">
        <v>1600000</v>
      </c>
      <c r="O409" s="5">
        <v>0</v>
      </c>
      <c r="P409" s="5">
        <v>0</v>
      </c>
      <c r="Q409" s="3" t="s">
        <v>1807</v>
      </c>
      <c r="R409" s="3" t="s">
        <v>34</v>
      </c>
      <c r="S409" s="3" t="s">
        <v>1808</v>
      </c>
      <c r="T409" s="3" t="s">
        <v>34</v>
      </c>
      <c r="U409" s="3" t="s">
        <v>34</v>
      </c>
      <c r="V409" s="3" t="s">
        <v>35</v>
      </c>
      <c r="W409" s="3" t="s">
        <v>1809</v>
      </c>
      <c r="X409" s="3"/>
      <c r="Y409" s="5">
        <v>520000</v>
      </c>
      <c r="Z409" s="5">
        <v>5</v>
      </c>
    </row>
    <row r="410" spans="1:26" ht="15.75" customHeight="1" x14ac:dyDescent="0.35">
      <c r="A410" s="2"/>
      <c r="B410" s="3" t="s">
        <v>1810</v>
      </c>
      <c r="C410" s="3" t="s">
        <v>71</v>
      </c>
      <c r="D410" s="3" t="s">
        <v>72</v>
      </c>
      <c r="E410" s="3" t="s">
        <v>1811</v>
      </c>
      <c r="F410" s="4" t="s">
        <v>1812</v>
      </c>
      <c r="G410" s="4" t="s">
        <v>1813</v>
      </c>
      <c r="H410" s="5">
        <v>1350000</v>
      </c>
      <c r="I410" s="5">
        <v>0</v>
      </c>
      <c r="J410" s="5">
        <v>1350000</v>
      </c>
      <c r="K410" s="5">
        <v>0</v>
      </c>
      <c r="L410" s="5">
        <v>1350000</v>
      </c>
      <c r="M410" s="5">
        <v>0</v>
      </c>
      <c r="N410" s="5">
        <v>0</v>
      </c>
      <c r="O410" s="5">
        <v>0</v>
      </c>
      <c r="P410" s="5">
        <v>0</v>
      </c>
      <c r="Q410" s="3" t="s">
        <v>1814</v>
      </c>
      <c r="R410" s="3" t="s">
        <v>34</v>
      </c>
      <c r="S410" s="3" t="s">
        <v>34</v>
      </c>
      <c r="T410" s="3" t="s">
        <v>41</v>
      </c>
      <c r="U410" s="3" t="s">
        <v>34</v>
      </c>
      <c r="V410" s="3" t="s">
        <v>35</v>
      </c>
      <c r="W410" s="3" t="s">
        <v>1815</v>
      </c>
      <c r="X410" s="3"/>
      <c r="Y410" s="5">
        <v>675000</v>
      </c>
      <c r="Z410" s="5">
        <v>2</v>
      </c>
    </row>
    <row r="411" spans="1:26" ht="15.75" customHeight="1" x14ac:dyDescent="0.35">
      <c r="A411" s="2"/>
      <c r="B411" s="3" t="s">
        <v>1816</v>
      </c>
      <c r="C411" s="3" t="s">
        <v>71</v>
      </c>
      <c r="D411" s="3" t="s">
        <v>95</v>
      </c>
      <c r="E411" s="3" t="s">
        <v>1817</v>
      </c>
      <c r="F411" s="4" t="s">
        <v>1818</v>
      </c>
      <c r="G411" s="4" t="s">
        <v>1813</v>
      </c>
      <c r="H411" s="5">
        <v>699000</v>
      </c>
      <c r="I411" s="5">
        <v>0</v>
      </c>
      <c r="J411" s="5">
        <v>699000</v>
      </c>
      <c r="K411" s="5">
        <v>0</v>
      </c>
      <c r="L411" s="5">
        <v>0</v>
      </c>
      <c r="M411" s="5">
        <v>0</v>
      </c>
      <c r="N411" s="5">
        <v>699000</v>
      </c>
      <c r="O411" s="5">
        <v>0</v>
      </c>
      <c r="P411" s="5">
        <v>0</v>
      </c>
      <c r="Q411" s="3" t="s">
        <v>1819</v>
      </c>
      <c r="R411" s="3" t="s">
        <v>34</v>
      </c>
      <c r="S411" s="3" t="s">
        <v>34</v>
      </c>
      <c r="T411" s="3" t="s">
        <v>41</v>
      </c>
      <c r="U411" s="3" t="s">
        <v>34</v>
      </c>
      <c r="V411" s="3" t="s">
        <v>35</v>
      </c>
      <c r="W411" s="3" t="s">
        <v>1820</v>
      </c>
      <c r="X411" s="3"/>
      <c r="Y411" s="5">
        <v>699000</v>
      </c>
      <c r="Z411" s="5">
        <v>1</v>
      </c>
    </row>
    <row r="412" spans="1:26" ht="15.75" customHeight="1" x14ac:dyDescent="0.35">
      <c r="A412" s="2"/>
      <c r="B412" s="3" t="s">
        <v>565</v>
      </c>
      <c r="C412" s="3" t="s">
        <v>59</v>
      </c>
      <c r="D412" s="3" t="s">
        <v>182</v>
      </c>
      <c r="E412" s="3" t="s">
        <v>1821</v>
      </c>
      <c r="F412" s="4" t="s">
        <v>1822</v>
      </c>
      <c r="G412" s="4" t="s">
        <v>1823</v>
      </c>
      <c r="H412" s="5">
        <v>1503031</v>
      </c>
      <c r="I412" s="5">
        <v>0</v>
      </c>
      <c r="J412" s="5">
        <v>1503031</v>
      </c>
      <c r="K412" s="5">
        <v>0</v>
      </c>
      <c r="L412" s="5">
        <v>0</v>
      </c>
      <c r="M412" s="5">
        <v>0</v>
      </c>
      <c r="N412" s="5">
        <v>0</v>
      </c>
      <c r="O412" s="5">
        <v>1503031</v>
      </c>
      <c r="P412" s="5">
        <v>0</v>
      </c>
      <c r="Q412" s="3" t="s">
        <v>1824</v>
      </c>
      <c r="R412" s="3" t="s">
        <v>1825</v>
      </c>
      <c r="S412" s="3" t="s">
        <v>34</v>
      </c>
      <c r="T412" s="3" t="s">
        <v>48</v>
      </c>
      <c r="U412" s="3" t="s">
        <v>34</v>
      </c>
      <c r="V412" s="3" t="s">
        <v>35</v>
      </c>
      <c r="W412" s="3" t="s">
        <v>849</v>
      </c>
      <c r="X412" s="3" t="s">
        <v>1826</v>
      </c>
      <c r="Y412" s="5">
        <v>501010.3333</v>
      </c>
      <c r="Z412" s="5">
        <v>3</v>
      </c>
    </row>
    <row r="413" spans="1:26" ht="15.75" customHeight="1" x14ac:dyDescent="0.35">
      <c r="A413" s="2"/>
      <c r="B413" s="3" t="s">
        <v>1462</v>
      </c>
      <c r="C413" s="3" t="s">
        <v>29</v>
      </c>
      <c r="D413" s="3" t="s">
        <v>110</v>
      </c>
      <c r="E413" s="3" t="s">
        <v>1827</v>
      </c>
      <c r="F413" s="4" t="s">
        <v>1818</v>
      </c>
      <c r="G413" s="4" t="s">
        <v>1828</v>
      </c>
      <c r="H413" s="5">
        <v>1560000</v>
      </c>
      <c r="I413" s="5">
        <v>352000</v>
      </c>
      <c r="J413" s="5">
        <v>1912000</v>
      </c>
      <c r="K413" s="5">
        <v>0</v>
      </c>
      <c r="L413" s="5">
        <v>0</v>
      </c>
      <c r="M413" s="5">
        <v>0</v>
      </c>
      <c r="N413" s="5">
        <v>1912000</v>
      </c>
      <c r="O413" s="5">
        <v>0</v>
      </c>
      <c r="P413" s="5">
        <v>0</v>
      </c>
      <c r="Q413" s="3" t="s">
        <v>34</v>
      </c>
      <c r="R413" s="3" t="s">
        <v>34</v>
      </c>
      <c r="S413" s="3" t="s">
        <v>34</v>
      </c>
      <c r="T413" s="3" t="s">
        <v>41</v>
      </c>
      <c r="U413" s="3" t="s">
        <v>34</v>
      </c>
      <c r="V413" s="3" t="s">
        <v>35</v>
      </c>
      <c r="W413" s="3" t="s">
        <v>1829</v>
      </c>
      <c r="X413" s="3"/>
      <c r="Y413" s="5">
        <v>780000</v>
      </c>
      <c r="Z413" s="5">
        <v>2</v>
      </c>
    </row>
    <row r="414" spans="1:26" ht="15.75" customHeight="1" x14ac:dyDescent="0.35">
      <c r="A414" s="2"/>
      <c r="B414" s="3" t="s">
        <v>1462</v>
      </c>
      <c r="C414" s="3" t="s">
        <v>29</v>
      </c>
      <c r="D414" s="3" t="s">
        <v>30</v>
      </c>
      <c r="E414" s="3" t="s">
        <v>226</v>
      </c>
      <c r="F414" s="4" t="s">
        <v>1818</v>
      </c>
      <c r="G414" s="4" t="s">
        <v>1828</v>
      </c>
      <c r="H414" s="5">
        <v>1560000</v>
      </c>
      <c r="I414" s="5">
        <v>0</v>
      </c>
      <c r="J414" s="5">
        <v>1560000</v>
      </c>
      <c r="K414" s="5">
        <v>0</v>
      </c>
      <c r="L414" s="5">
        <v>0</v>
      </c>
      <c r="M414" s="5">
        <v>0</v>
      </c>
      <c r="N414" s="5">
        <v>1560000</v>
      </c>
      <c r="O414" s="5">
        <v>0</v>
      </c>
      <c r="P414" s="5">
        <v>0</v>
      </c>
      <c r="Q414" s="3"/>
      <c r="R414" s="3"/>
      <c r="S414" s="3"/>
      <c r="T414" s="3" t="s">
        <v>41</v>
      </c>
      <c r="U414" s="3" t="s">
        <v>34</v>
      </c>
      <c r="V414" s="3" t="s">
        <v>35</v>
      </c>
      <c r="W414" s="3" t="s">
        <v>1830</v>
      </c>
      <c r="X414" s="3"/>
      <c r="Y414" s="5">
        <v>780000</v>
      </c>
      <c r="Z414" s="5">
        <v>2</v>
      </c>
    </row>
    <row r="415" spans="1:26" ht="15.75" customHeight="1" x14ac:dyDescent="0.35">
      <c r="A415" s="2"/>
      <c r="B415" s="3" t="s">
        <v>811</v>
      </c>
      <c r="C415" s="3" t="s">
        <v>64</v>
      </c>
      <c r="D415" s="3" t="s">
        <v>83</v>
      </c>
      <c r="E415" s="3" t="s">
        <v>226</v>
      </c>
      <c r="F415" s="4" t="s">
        <v>1831</v>
      </c>
      <c r="G415" s="4" t="s">
        <v>1832</v>
      </c>
      <c r="H415" s="5">
        <v>15000000</v>
      </c>
      <c r="I415" s="5">
        <v>470000</v>
      </c>
      <c r="J415" s="5">
        <v>15470000</v>
      </c>
      <c r="K415" s="5">
        <v>0</v>
      </c>
      <c r="L415" s="5">
        <v>90000</v>
      </c>
      <c r="M415" s="5">
        <v>0</v>
      </c>
      <c r="N415" s="5">
        <v>15380000</v>
      </c>
      <c r="O415" s="5">
        <v>0</v>
      </c>
      <c r="P415" s="5">
        <v>0</v>
      </c>
      <c r="Q415" s="3"/>
      <c r="R415" s="3"/>
      <c r="S415" s="3"/>
      <c r="T415" s="3" t="s">
        <v>41</v>
      </c>
      <c r="U415" s="3" t="s">
        <v>34</v>
      </c>
      <c r="V415" s="3" t="s">
        <v>35</v>
      </c>
      <c r="W415" s="3" t="s">
        <v>1214</v>
      </c>
      <c r="X415" s="3"/>
      <c r="Y415" s="5">
        <v>500000</v>
      </c>
      <c r="Z415" s="5">
        <v>30</v>
      </c>
    </row>
    <row r="416" spans="1:26" ht="15.75" customHeight="1" x14ac:dyDescent="0.35">
      <c r="A416" s="2"/>
      <c r="B416" s="3" t="s">
        <v>1654</v>
      </c>
      <c r="C416" s="3" t="s">
        <v>64</v>
      </c>
      <c r="D416" s="3" t="s">
        <v>89</v>
      </c>
      <c r="E416" s="3" t="s">
        <v>1833</v>
      </c>
      <c r="F416" s="4" t="s">
        <v>1834</v>
      </c>
      <c r="G416" s="4" t="s">
        <v>1832</v>
      </c>
      <c r="H416" s="5">
        <v>493920</v>
      </c>
      <c r="I416" s="5">
        <v>0</v>
      </c>
      <c r="J416" s="5">
        <v>493920</v>
      </c>
      <c r="K416" s="5">
        <v>0</v>
      </c>
      <c r="L416" s="5">
        <v>0</v>
      </c>
      <c r="M416" s="5">
        <v>0</v>
      </c>
      <c r="N416" s="5">
        <v>0</v>
      </c>
      <c r="O416" s="5">
        <v>493920</v>
      </c>
      <c r="P416" s="5">
        <v>0</v>
      </c>
      <c r="Q416" s="3" t="s">
        <v>34</v>
      </c>
      <c r="R416" s="3" t="s">
        <v>34</v>
      </c>
      <c r="S416" s="3" t="s">
        <v>34</v>
      </c>
      <c r="T416" s="3" t="s">
        <v>48</v>
      </c>
      <c r="U416" s="3" t="s">
        <v>34</v>
      </c>
      <c r="V416" s="3" t="s">
        <v>35</v>
      </c>
      <c r="W416" s="3" t="s">
        <v>1835</v>
      </c>
      <c r="X416" s="3" t="s">
        <v>1836</v>
      </c>
      <c r="Y416" s="5">
        <v>493920</v>
      </c>
      <c r="Z416" s="5">
        <v>1</v>
      </c>
    </row>
    <row r="417" spans="1:26" ht="15.75" customHeight="1" x14ac:dyDescent="0.35">
      <c r="A417" s="2"/>
      <c r="B417" s="3" t="s">
        <v>1837</v>
      </c>
      <c r="C417" s="3" t="s">
        <v>71</v>
      </c>
      <c r="D417" s="3" t="s">
        <v>72</v>
      </c>
      <c r="E417" s="3" t="s">
        <v>1685</v>
      </c>
      <c r="F417" s="4" t="s">
        <v>1838</v>
      </c>
      <c r="G417" s="4" t="s">
        <v>1839</v>
      </c>
      <c r="H417" s="5">
        <v>649000</v>
      </c>
      <c r="I417" s="5">
        <v>0</v>
      </c>
      <c r="J417" s="5">
        <v>649000</v>
      </c>
      <c r="K417" s="5">
        <v>0</v>
      </c>
      <c r="L417" s="5">
        <v>0</v>
      </c>
      <c r="M417" s="5">
        <v>0</v>
      </c>
      <c r="N417" s="5">
        <v>649000</v>
      </c>
      <c r="O417" s="5">
        <v>0</v>
      </c>
      <c r="P417" s="5">
        <v>0</v>
      </c>
      <c r="Q417" s="3" t="s">
        <v>1688</v>
      </c>
      <c r="R417" s="3" t="s">
        <v>34</v>
      </c>
      <c r="S417" s="3" t="s">
        <v>1689</v>
      </c>
      <c r="T417" s="3" t="s">
        <v>41</v>
      </c>
      <c r="U417" s="3" t="s">
        <v>34</v>
      </c>
      <c r="V417" s="3" t="s">
        <v>35</v>
      </c>
      <c r="W417" s="3" t="s">
        <v>1840</v>
      </c>
      <c r="X417" s="3"/>
      <c r="Y417" s="5">
        <v>649000</v>
      </c>
      <c r="Z417" s="5">
        <v>1</v>
      </c>
    </row>
    <row r="418" spans="1:26" ht="15.75" customHeight="1" x14ac:dyDescent="0.35">
      <c r="A418" s="2"/>
      <c r="B418" s="3" t="s">
        <v>43</v>
      </c>
      <c r="C418" s="3" t="s">
        <v>64</v>
      </c>
      <c r="D418" s="3" t="s">
        <v>89</v>
      </c>
      <c r="E418" s="3" t="s">
        <v>1833</v>
      </c>
      <c r="F418" s="4" t="s">
        <v>1841</v>
      </c>
      <c r="G418" s="4" t="s">
        <v>1842</v>
      </c>
      <c r="H418" s="5">
        <v>493920</v>
      </c>
      <c r="I418" s="5">
        <v>0</v>
      </c>
      <c r="J418" s="5">
        <v>493920</v>
      </c>
      <c r="K418" s="5">
        <v>0</v>
      </c>
      <c r="L418" s="5">
        <v>0</v>
      </c>
      <c r="M418" s="5">
        <v>0</v>
      </c>
      <c r="N418" s="5">
        <v>0</v>
      </c>
      <c r="O418" s="5">
        <v>493920</v>
      </c>
      <c r="P418" s="5">
        <v>0</v>
      </c>
      <c r="Q418" s="3" t="s">
        <v>1843</v>
      </c>
      <c r="R418" s="3" t="s">
        <v>34</v>
      </c>
      <c r="S418" s="3" t="s">
        <v>34</v>
      </c>
      <c r="T418" s="3" t="s">
        <v>48</v>
      </c>
      <c r="U418" s="3" t="s">
        <v>34</v>
      </c>
      <c r="V418" s="3" t="s">
        <v>35</v>
      </c>
      <c r="W418" s="3" t="s">
        <v>1844</v>
      </c>
      <c r="X418" s="3" t="s">
        <v>1845</v>
      </c>
      <c r="Y418" s="5">
        <v>493920</v>
      </c>
      <c r="Z418" s="5">
        <v>1</v>
      </c>
    </row>
    <row r="419" spans="1:26" ht="15.75" customHeight="1" x14ac:dyDescent="0.35">
      <c r="A419" s="2"/>
      <c r="B419" s="3" t="s">
        <v>1328</v>
      </c>
      <c r="C419" s="3" t="s">
        <v>59</v>
      </c>
      <c r="D419" s="3" t="s">
        <v>60</v>
      </c>
      <c r="E419" s="3" t="s">
        <v>624</v>
      </c>
      <c r="F419" s="4" t="s">
        <v>1846</v>
      </c>
      <c r="G419" s="4" t="s">
        <v>1847</v>
      </c>
      <c r="H419" s="5">
        <v>629000</v>
      </c>
      <c r="I419" s="5">
        <v>0</v>
      </c>
      <c r="J419" s="5">
        <v>629000</v>
      </c>
      <c r="K419" s="5">
        <v>0</v>
      </c>
      <c r="L419" s="5">
        <v>0</v>
      </c>
      <c r="M419" s="5">
        <v>0</v>
      </c>
      <c r="N419" s="5">
        <v>0</v>
      </c>
      <c r="O419" s="5">
        <v>629000</v>
      </c>
      <c r="P419" s="5">
        <v>0</v>
      </c>
      <c r="Q419" s="3" t="s">
        <v>1567</v>
      </c>
      <c r="R419" s="3" t="s">
        <v>1568</v>
      </c>
      <c r="S419" s="3" t="s">
        <v>34</v>
      </c>
      <c r="T419" s="3" t="s">
        <v>41</v>
      </c>
      <c r="U419" s="3" t="s">
        <v>34</v>
      </c>
      <c r="V419" s="3" t="s">
        <v>35</v>
      </c>
      <c r="W419" s="3" t="s">
        <v>1848</v>
      </c>
      <c r="X419" s="3"/>
      <c r="Y419" s="5">
        <v>629000</v>
      </c>
      <c r="Z419" s="5">
        <v>1</v>
      </c>
    </row>
    <row r="420" spans="1:26" ht="15.75" customHeight="1" x14ac:dyDescent="0.35">
      <c r="A420" s="2"/>
      <c r="B420" s="3" t="s">
        <v>1503</v>
      </c>
      <c r="C420" s="3" t="s">
        <v>64</v>
      </c>
      <c r="D420" s="3" t="s">
        <v>99</v>
      </c>
      <c r="E420" s="3" t="s">
        <v>1849</v>
      </c>
      <c r="F420" s="4" t="s">
        <v>1784</v>
      </c>
      <c r="G420" s="4" t="s">
        <v>1847</v>
      </c>
      <c r="H420" s="5">
        <v>3000000</v>
      </c>
      <c r="I420" s="5">
        <v>0</v>
      </c>
      <c r="J420" s="5">
        <v>3000000</v>
      </c>
      <c r="K420" s="5">
        <v>0</v>
      </c>
      <c r="L420" s="5">
        <v>3000000</v>
      </c>
      <c r="M420" s="5">
        <v>0</v>
      </c>
      <c r="N420" s="5">
        <v>0</v>
      </c>
      <c r="O420" s="5">
        <v>0</v>
      </c>
      <c r="P420" s="5">
        <v>0</v>
      </c>
      <c r="Q420" s="3" t="s">
        <v>34</v>
      </c>
      <c r="R420" s="3" t="s">
        <v>34</v>
      </c>
      <c r="S420" s="3" t="s">
        <v>34</v>
      </c>
      <c r="T420" s="3" t="s">
        <v>41</v>
      </c>
      <c r="U420" s="3" t="s">
        <v>34</v>
      </c>
      <c r="V420" s="3" t="s">
        <v>35</v>
      </c>
      <c r="W420" s="3" t="s">
        <v>1850</v>
      </c>
      <c r="X420" s="3"/>
      <c r="Y420" s="5">
        <v>500000</v>
      </c>
      <c r="Z420" s="5">
        <v>6</v>
      </c>
    </row>
    <row r="421" spans="1:26" ht="15.75" customHeight="1" x14ac:dyDescent="0.35">
      <c r="A421" s="2"/>
      <c r="B421" s="3" t="s">
        <v>811</v>
      </c>
      <c r="C421" s="3" t="s">
        <v>64</v>
      </c>
      <c r="D421" s="3" t="s">
        <v>83</v>
      </c>
      <c r="E421" s="3" t="s">
        <v>850</v>
      </c>
      <c r="F421" s="4" t="s">
        <v>1841</v>
      </c>
      <c r="G421" s="4" t="s">
        <v>1847</v>
      </c>
      <c r="H421" s="5">
        <v>500000</v>
      </c>
      <c r="I421" s="5">
        <v>0</v>
      </c>
      <c r="J421" s="5">
        <v>500000</v>
      </c>
      <c r="K421" s="5">
        <v>0</v>
      </c>
      <c r="L421" s="5">
        <v>0</v>
      </c>
      <c r="M421" s="5">
        <v>0</v>
      </c>
      <c r="N421" s="5">
        <v>500000</v>
      </c>
      <c r="O421" s="5">
        <v>0</v>
      </c>
      <c r="P421" s="5">
        <v>0</v>
      </c>
      <c r="Q421" s="3" t="s">
        <v>853</v>
      </c>
      <c r="R421" s="3" t="s">
        <v>34</v>
      </c>
      <c r="S421" s="3" t="s">
        <v>854</v>
      </c>
      <c r="T421" s="3" t="s">
        <v>41</v>
      </c>
      <c r="U421" s="3" t="s">
        <v>34</v>
      </c>
      <c r="V421" s="3" t="s">
        <v>35</v>
      </c>
      <c r="W421" s="3" t="s">
        <v>1851</v>
      </c>
      <c r="X421" s="3"/>
      <c r="Y421" s="5">
        <v>500000</v>
      </c>
      <c r="Z421" s="5">
        <v>1</v>
      </c>
    </row>
    <row r="422" spans="1:26" ht="15.75" customHeight="1" x14ac:dyDescent="0.35">
      <c r="A422" s="2"/>
      <c r="B422" s="3" t="s">
        <v>1770</v>
      </c>
      <c r="C422" s="3" t="s">
        <v>59</v>
      </c>
      <c r="D422" s="3" t="s">
        <v>122</v>
      </c>
      <c r="E422" s="3" t="s">
        <v>1852</v>
      </c>
      <c r="F422" s="4" t="s">
        <v>1853</v>
      </c>
      <c r="G422" s="4" t="s">
        <v>1847</v>
      </c>
      <c r="H422" s="5">
        <v>550000</v>
      </c>
      <c r="I422" s="5">
        <v>0</v>
      </c>
      <c r="J422" s="5">
        <v>550000</v>
      </c>
      <c r="K422" s="5">
        <v>0</v>
      </c>
      <c r="L422" s="5">
        <v>550000</v>
      </c>
      <c r="M422" s="5">
        <v>0</v>
      </c>
      <c r="N422" s="5">
        <v>0</v>
      </c>
      <c r="O422" s="5">
        <v>0</v>
      </c>
      <c r="P422" s="5">
        <v>0</v>
      </c>
      <c r="Q422" s="3"/>
      <c r="R422" s="3"/>
      <c r="S422" s="3"/>
      <c r="T422" s="3" t="s">
        <v>41</v>
      </c>
      <c r="U422" s="3" t="s">
        <v>34</v>
      </c>
      <c r="V422" s="3" t="s">
        <v>35</v>
      </c>
      <c r="W422" s="3" t="s">
        <v>1854</v>
      </c>
      <c r="X422" s="3"/>
      <c r="Y422" s="5">
        <v>550000</v>
      </c>
      <c r="Z422" s="5">
        <v>1</v>
      </c>
    </row>
    <row r="423" spans="1:26" ht="15.75" customHeight="1" x14ac:dyDescent="0.35">
      <c r="A423" s="2"/>
      <c r="B423" s="3" t="s">
        <v>1855</v>
      </c>
      <c r="C423" s="3" t="s">
        <v>64</v>
      </c>
      <c r="D423" s="3" t="s">
        <v>65</v>
      </c>
      <c r="E423" s="3" t="s">
        <v>1856</v>
      </c>
      <c r="F423" s="4" t="s">
        <v>1857</v>
      </c>
      <c r="G423" s="4" t="s">
        <v>1858</v>
      </c>
      <c r="H423" s="5">
        <v>4834800</v>
      </c>
      <c r="I423" s="5">
        <v>0</v>
      </c>
      <c r="J423" s="5">
        <v>4834800</v>
      </c>
      <c r="K423" s="5">
        <v>0</v>
      </c>
      <c r="L423" s="5">
        <v>0</v>
      </c>
      <c r="M423" s="5">
        <v>0</v>
      </c>
      <c r="N423" s="5">
        <v>0</v>
      </c>
      <c r="O423" s="5">
        <v>4834800</v>
      </c>
      <c r="P423" s="5">
        <v>0</v>
      </c>
      <c r="Q423" s="3" t="s">
        <v>34</v>
      </c>
      <c r="R423" s="3" t="s">
        <v>34</v>
      </c>
      <c r="S423" s="3" t="s">
        <v>34</v>
      </c>
      <c r="T423" s="3" t="s">
        <v>48</v>
      </c>
      <c r="U423" s="3" t="s">
        <v>34</v>
      </c>
      <c r="V423" s="3" t="s">
        <v>35</v>
      </c>
      <c r="W423" s="3" t="s">
        <v>1859</v>
      </c>
      <c r="X423" s="3" t="s">
        <v>1860</v>
      </c>
      <c r="Y423" s="5">
        <v>537200</v>
      </c>
      <c r="Z423" s="5">
        <v>9</v>
      </c>
    </row>
    <row r="424" spans="1:26" ht="15.75" customHeight="1" x14ac:dyDescent="0.35">
      <c r="A424" s="2"/>
      <c r="B424" s="3" t="s">
        <v>83</v>
      </c>
      <c r="C424" s="3" t="s">
        <v>59</v>
      </c>
      <c r="D424" s="3" t="s">
        <v>122</v>
      </c>
      <c r="E424" s="3" t="s">
        <v>226</v>
      </c>
      <c r="F424" s="4" t="s">
        <v>1861</v>
      </c>
      <c r="G424" s="4" t="s">
        <v>1862</v>
      </c>
      <c r="H424" s="5">
        <v>600000</v>
      </c>
      <c r="I424" s="5">
        <v>0</v>
      </c>
      <c r="J424" s="5">
        <v>600000</v>
      </c>
      <c r="K424" s="5">
        <v>0</v>
      </c>
      <c r="L424" s="5">
        <v>600000</v>
      </c>
      <c r="M424" s="5">
        <v>0</v>
      </c>
      <c r="N424" s="5">
        <v>0</v>
      </c>
      <c r="O424" s="5">
        <v>0</v>
      </c>
      <c r="P424" s="5">
        <v>0</v>
      </c>
      <c r="Q424" s="3"/>
      <c r="R424" s="3"/>
      <c r="S424" s="3"/>
      <c r="T424" s="3" t="s">
        <v>41</v>
      </c>
      <c r="U424" s="3" t="s">
        <v>34</v>
      </c>
      <c r="V424" s="3" t="s">
        <v>35</v>
      </c>
      <c r="W424" s="3" t="s">
        <v>65</v>
      </c>
      <c r="X424" s="3"/>
      <c r="Y424" s="5">
        <v>600000</v>
      </c>
      <c r="Z424" s="5">
        <v>1</v>
      </c>
    </row>
    <row r="425" spans="1:26" ht="15.75" customHeight="1" x14ac:dyDescent="0.35">
      <c r="A425" s="2"/>
      <c r="B425" s="3" t="s">
        <v>1493</v>
      </c>
      <c r="C425" s="3" t="s">
        <v>71</v>
      </c>
      <c r="D425" s="3" t="s">
        <v>95</v>
      </c>
      <c r="E425" s="3" t="s">
        <v>226</v>
      </c>
      <c r="F425" s="4" t="s">
        <v>1863</v>
      </c>
      <c r="G425" s="4" t="s">
        <v>1862</v>
      </c>
      <c r="H425" s="5">
        <v>600000</v>
      </c>
      <c r="I425" s="5">
        <v>0</v>
      </c>
      <c r="J425" s="5">
        <v>600000</v>
      </c>
      <c r="K425" s="5">
        <v>0</v>
      </c>
      <c r="L425" s="5">
        <v>0</v>
      </c>
      <c r="M425" s="5">
        <v>0</v>
      </c>
      <c r="N425" s="5">
        <v>600000</v>
      </c>
      <c r="O425" s="5">
        <v>0</v>
      </c>
      <c r="P425" s="5">
        <v>0</v>
      </c>
      <c r="Q425" s="3"/>
      <c r="R425" s="3"/>
      <c r="S425" s="3"/>
      <c r="T425" s="3" t="s">
        <v>41</v>
      </c>
      <c r="U425" s="3" t="s">
        <v>34</v>
      </c>
      <c r="V425" s="3" t="s">
        <v>35</v>
      </c>
      <c r="W425" s="3" t="s">
        <v>1864</v>
      </c>
      <c r="X425" s="3"/>
      <c r="Y425" s="5">
        <v>600000</v>
      </c>
      <c r="Z425" s="5">
        <v>1</v>
      </c>
    </row>
    <row r="426" spans="1:26" ht="15.75" customHeight="1" x14ac:dyDescent="0.35">
      <c r="A426" s="2"/>
      <c r="B426" s="3" t="s">
        <v>1575</v>
      </c>
      <c r="C426" s="3" t="s">
        <v>71</v>
      </c>
      <c r="D426" s="3" t="s">
        <v>72</v>
      </c>
      <c r="E426" s="3" t="s">
        <v>1865</v>
      </c>
      <c r="F426" s="4" t="s">
        <v>1866</v>
      </c>
      <c r="G426" s="4" t="s">
        <v>1862</v>
      </c>
      <c r="H426" s="5">
        <v>600000</v>
      </c>
      <c r="I426" s="5">
        <v>0</v>
      </c>
      <c r="J426" s="5">
        <v>600000</v>
      </c>
      <c r="K426" s="5">
        <v>0</v>
      </c>
      <c r="L426" s="5">
        <v>0</v>
      </c>
      <c r="M426" s="5">
        <v>0</v>
      </c>
      <c r="N426" s="5">
        <v>600000</v>
      </c>
      <c r="O426" s="5">
        <v>0</v>
      </c>
      <c r="P426" s="5">
        <v>0</v>
      </c>
      <c r="Q426" s="3"/>
      <c r="R426" s="3"/>
      <c r="S426" s="3"/>
      <c r="T426" s="3" t="s">
        <v>41</v>
      </c>
      <c r="U426" s="3" t="s">
        <v>34</v>
      </c>
      <c r="V426" s="3" t="s">
        <v>35</v>
      </c>
      <c r="W426" s="3" t="s">
        <v>1867</v>
      </c>
      <c r="X426" s="3"/>
      <c r="Y426" s="5">
        <v>600000</v>
      </c>
      <c r="Z426" s="5">
        <v>1</v>
      </c>
    </row>
    <row r="427" spans="1:26" ht="15.75" customHeight="1" x14ac:dyDescent="0.35">
      <c r="A427" s="2"/>
      <c r="B427" s="3" t="s">
        <v>1523</v>
      </c>
      <c r="C427" s="3" t="s">
        <v>64</v>
      </c>
      <c r="D427" s="3" t="s">
        <v>89</v>
      </c>
      <c r="E427" s="3" t="s">
        <v>1868</v>
      </c>
      <c r="F427" s="4" t="s">
        <v>1869</v>
      </c>
      <c r="G427" s="4" t="s">
        <v>1870</v>
      </c>
      <c r="H427" s="5">
        <v>460000</v>
      </c>
      <c r="I427" s="5">
        <v>0</v>
      </c>
      <c r="J427" s="5">
        <v>460000</v>
      </c>
      <c r="K427" s="5">
        <v>0</v>
      </c>
      <c r="L427" s="5">
        <v>0</v>
      </c>
      <c r="M427" s="5">
        <v>0</v>
      </c>
      <c r="N427" s="5">
        <v>460000</v>
      </c>
      <c r="O427" s="5">
        <v>0</v>
      </c>
      <c r="P427" s="5">
        <v>0</v>
      </c>
      <c r="Q427" s="3" t="s">
        <v>1871</v>
      </c>
      <c r="R427" s="3"/>
      <c r="S427" s="3"/>
      <c r="T427" s="3" t="s">
        <v>41</v>
      </c>
      <c r="U427" s="3" t="s">
        <v>34</v>
      </c>
      <c r="V427" s="3" t="s">
        <v>35</v>
      </c>
      <c r="W427" s="3" t="s">
        <v>1872</v>
      </c>
      <c r="X427" s="3"/>
      <c r="Y427" s="5">
        <v>460000</v>
      </c>
      <c r="Z427" s="5">
        <v>1</v>
      </c>
    </row>
    <row r="428" spans="1:26" ht="15.75" customHeight="1" x14ac:dyDescent="0.35">
      <c r="A428" s="2"/>
      <c r="B428" s="3" t="s">
        <v>1547</v>
      </c>
      <c r="C428" s="3" t="s">
        <v>59</v>
      </c>
      <c r="D428" s="3" t="s">
        <v>122</v>
      </c>
      <c r="E428" s="3" t="s">
        <v>1873</v>
      </c>
      <c r="F428" s="4" t="s">
        <v>1874</v>
      </c>
      <c r="G428" s="4" t="s">
        <v>1875</v>
      </c>
      <c r="H428" s="5">
        <v>712080</v>
      </c>
      <c r="I428" s="5">
        <v>28483</v>
      </c>
      <c r="J428" s="5">
        <v>740563</v>
      </c>
      <c r="K428" s="5">
        <v>0</v>
      </c>
      <c r="L428" s="5">
        <v>0</v>
      </c>
      <c r="M428" s="5">
        <v>0</v>
      </c>
      <c r="N428" s="5">
        <v>0</v>
      </c>
      <c r="O428" s="5">
        <v>740563</v>
      </c>
      <c r="P428" s="5">
        <v>0</v>
      </c>
      <c r="Q428" s="3" t="s">
        <v>1876</v>
      </c>
      <c r="R428" s="3" t="s">
        <v>1877</v>
      </c>
      <c r="S428" s="3" t="s">
        <v>34</v>
      </c>
      <c r="T428" s="3" t="s">
        <v>48</v>
      </c>
      <c r="U428" s="3" t="s">
        <v>34</v>
      </c>
      <c r="V428" s="3" t="s">
        <v>35</v>
      </c>
      <c r="W428" s="3" t="s">
        <v>1878</v>
      </c>
      <c r="X428" s="3" t="s">
        <v>1879</v>
      </c>
      <c r="Y428" s="5">
        <v>712080</v>
      </c>
      <c r="Z428" s="5">
        <v>1</v>
      </c>
    </row>
    <row r="429" spans="1:26" ht="15.75" customHeight="1" x14ac:dyDescent="0.35">
      <c r="A429" s="2"/>
      <c r="B429" s="3" t="s">
        <v>1511</v>
      </c>
      <c r="C429" s="3" t="s">
        <v>29</v>
      </c>
      <c r="D429" s="3" t="s">
        <v>110</v>
      </c>
      <c r="E429" s="3" t="s">
        <v>1427</v>
      </c>
      <c r="F429" s="4" t="s">
        <v>1880</v>
      </c>
      <c r="G429" s="4" t="s">
        <v>1881</v>
      </c>
      <c r="H429" s="5">
        <v>1600000</v>
      </c>
      <c r="I429" s="5">
        <v>0</v>
      </c>
      <c r="J429" s="5">
        <v>1600000</v>
      </c>
      <c r="K429" s="5">
        <v>0</v>
      </c>
      <c r="L429" s="5">
        <v>0</v>
      </c>
      <c r="M429" s="5">
        <v>0</v>
      </c>
      <c r="N429" s="5">
        <v>1600000</v>
      </c>
      <c r="O429" s="5">
        <v>0</v>
      </c>
      <c r="P429" s="5">
        <v>0</v>
      </c>
      <c r="Q429" s="3" t="s">
        <v>1430</v>
      </c>
      <c r="R429" s="3" t="s">
        <v>34</v>
      </c>
      <c r="S429" s="3" t="s">
        <v>34</v>
      </c>
      <c r="T429" s="3" t="s">
        <v>41</v>
      </c>
      <c r="U429" s="3" t="s">
        <v>34</v>
      </c>
      <c r="V429" s="3" t="s">
        <v>35</v>
      </c>
      <c r="W429" s="3" t="s">
        <v>72</v>
      </c>
      <c r="X429" s="3"/>
      <c r="Y429" s="5">
        <v>800000</v>
      </c>
      <c r="Z429" s="5">
        <v>2</v>
      </c>
    </row>
    <row r="430" spans="1:26" ht="15.75" customHeight="1" x14ac:dyDescent="0.35">
      <c r="A430" s="2"/>
      <c r="B430" s="3" t="s">
        <v>1541</v>
      </c>
      <c r="C430" s="3" t="s">
        <v>59</v>
      </c>
      <c r="D430" s="3" t="s">
        <v>182</v>
      </c>
      <c r="E430" s="3" t="s">
        <v>1882</v>
      </c>
      <c r="F430" s="4" t="s">
        <v>1883</v>
      </c>
      <c r="G430" s="4" t="s">
        <v>1881</v>
      </c>
      <c r="H430" s="5">
        <v>600000</v>
      </c>
      <c r="I430" s="5">
        <v>44000</v>
      </c>
      <c r="J430" s="5">
        <v>644000</v>
      </c>
      <c r="K430" s="5">
        <v>0</v>
      </c>
      <c r="L430" s="5">
        <v>20000</v>
      </c>
      <c r="M430" s="5">
        <v>0</v>
      </c>
      <c r="N430" s="5">
        <v>0</v>
      </c>
      <c r="O430" s="5">
        <v>624000</v>
      </c>
      <c r="P430" s="5">
        <v>0</v>
      </c>
      <c r="Q430" s="3" t="s">
        <v>34</v>
      </c>
      <c r="R430" s="3" t="s">
        <v>34</v>
      </c>
      <c r="S430" s="3" t="s">
        <v>34</v>
      </c>
      <c r="T430" s="3" t="s">
        <v>41</v>
      </c>
      <c r="U430" s="3" t="s">
        <v>34</v>
      </c>
      <c r="V430" s="3" t="s">
        <v>35</v>
      </c>
      <c r="W430" s="3" t="s">
        <v>1884</v>
      </c>
      <c r="X430" s="3"/>
      <c r="Y430" s="5">
        <v>600000</v>
      </c>
      <c r="Z430" s="5">
        <v>1</v>
      </c>
    </row>
    <row r="431" spans="1:26" ht="15.75" customHeight="1" x14ac:dyDescent="0.35">
      <c r="A431" s="2"/>
      <c r="B431" s="3" t="s">
        <v>1514</v>
      </c>
      <c r="C431" s="3" t="s">
        <v>64</v>
      </c>
      <c r="D431" s="3" t="s">
        <v>65</v>
      </c>
      <c r="E431" s="3" t="s">
        <v>1885</v>
      </c>
      <c r="F431" s="4" t="s">
        <v>1886</v>
      </c>
      <c r="G431" s="4" t="s">
        <v>1887</v>
      </c>
      <c r="H431" s="5">
        <v>585000</v>
      </c>
      <c r="I431" s="5">
        <v>0</v>
      </c>
      <c r="J431" s="5">
        <v>585000</v>
      </c>
      <c r="K431" s="5">
        <v>0</v>
      </c>
      <c r="L431" s="5">
        <v>0</v>
      </c>
      <c r="M431" s="5">
        <v>0</v>
      </c>
      <c r="N431" s="5">
        <v>585000</v>
      </c>
      <c r="O431" s="5">
        <v>0</v>
      </c>
      <c r="P431" s="5">
        <v>0</v>
      </c>
      <c r="Q431" s="3" t="s">
        <v>34</v>
      </c>
      <c r="R431" s="3" t="s">
        <v>34</v>
      </c>
      <c r="S431" s="3" t="s">
        <v>1888</v>
      </c>
      <c r="T431" s="3" t="s">
        <v>41</v>
      </c>
      <c r="U431" s="3" t="s">
        <v>34</v>
      </c>
      <c r="V431" s="3" t="s">
        <v>35</v>
      </c>
      <c r="W431" s="3" t="s">
        <v>30</v>
      </c>
      <c r="X431" s="3"/>
      <c r="Y431" s="5">
        <v>585000</v>
      </c>
      <c r="Z431" s="5">
        <v>1</v>
      </c>
    </row>
    <row r="432" spans="1:26" ht="15.75" customHeight="1" x14ac:dyDescent="0.35">
      <c r="A432" s="2"/>
      <c r="B432" s="3" t="s">
        <v>1377</v>
      </c>
      <c r="C432" s="3" t="s">
        <v>64</v>
      </c>
      <c r="D432" s="3" t="s">
        <v>76</v>
      </c>
      <c r="E432" s="3" t="s">
        <v>1889</v>
      </c>
      <c r="F432" s="4" t="s">
        <v>1890</v>
      </c>
      <c r="G432" s="4" t="s">
        <v>1891</v>
      </c>
      <c r="H432" s="5">
        <v>1847000</v>
      </c>
      <c r="I432" s="5">
        <v>0</v>
      </c>
      <c r="J432" s="5">
        <v>1847000</v>
      </c>
      <c r="K432" s="5">
        <v>0</v>
      </c>
      <c r="L432" s="5">
        <v>0</v>
      </c>
      <c r="M432" s="5">
        <v>0</v>
      </c>
      <c r="N432" s="5">
        <v>1847000</v>
      </c>
      <c r="O432" s="5">
        <v>0</v>
      </c>
      <c r="P432" s="5">
        <v>0</v>
      </c>
      <c r="Q432" s="3" t="s">
        <v>1892</v>
      </c>
      <c r="R432" s="3" t="s">
        <v>1893</v>
      </c>
      <c r="S432" s="3" t="s">
        <v>1894</v>
      </c>
      <c r="T432" s="3" t="s">
        <v>41</v>
      </c>
      <c r="U432" s="3" t="s">
        <v>34</v>
      </c>
      <c r="V432" s="3" t="s">
        <v>35</v>
      </c>
      <c r="W432" s="3" t="s">
        <v>1895</v>
      </c>
      <c r="X432" s="3" t="s">
        <v>1896</v>
      </c>
      <c r="Y432" s="5">
        <v>615666.6666</v>
      </c>
      <c r="Z432" s="5">
        <v>3</v>
      </c>
    </row>
    <row r="433" spans="1:26" ht="15.75" customHeight="1" x14ac:dyDescent="0.35">
      <c r="A433" s="2"/>
      <c r="B433" s="3" t="s">
        <v>1387</v>
      </c>
      <c r="C433" s="3" t="s">
        <v>64</v>
      </c>
      <c r="D433" s="3" t="s">
        <v>99</v>
      </c>
      <c r="E433" s="3" t="s">
        <v>1897</v>
      </c>
      <c r="F433" s="4" t="s">
        <v>1784</v>
      </c>
      <c r="G433" s="4" t="s">
        <v>1898</v>
      </c>
      <c r="H433" s="5">
        <v>3986840</v>
      </c>
      <c r="I433" s="5">
        <v>0</v>
      </c>
      <c r="J433" s="5">
        <v>3986840</v>
      </c>
      <c r="K433" s="5">
        <v>0</v>
      </c>
      <c r="L433" s="5">
        <v>0</v>
      </c>
      <c r="M433" s="5">
        <v>0</v>
      </c>
      <c r="N433" s="5">
        <v>0</v>
      </c>
      <c r="O433" s="5">
        <v>3986840</v>
      </c>
      <c r="P433" s="5">
        <v>0</v>
      </c>
      <c r="Q433" s="3" t="s">
        <v>738</v>
      </c>
      <c r="R433" s="3" t="s">
        <v>34</v>
      </c>
      <c r="S433" s="3" t="s">
        <v>34</v>
      </c>
      <c r="T433" s="3" t="s">
        <v>48</v>
      </c>
      <c r="U433" s="3" t="s">
        <v>34</v>
      </c>
      <c r="V433" s="3" t="s">
        <v>35</v>
      </c>
      <c r="W433" s="3" t="s">
        <v>1899</v>
      </c>
      <c r="X433" s="3" t="s">
        <v>1900</v>
      </c>
      <c r="Y433" s="5">
        <v>442982.22220000002</v>
      </c>
      <c r="Z433" s="5">
        <v>9</v>
      </c>
    </row>
    <row r="434" spans="1:26" ht="15.75" customHeight="1" x14ac:dyDescent="0.35">
      <c r="A434" s="2"/>
      <c r="B434" s="3" t="s">
        <v>1614</v>
      </c>
      <c r="C434" s="3" t="s">
        <v>59</v>
      </c>
      <c r="D434" s="3" t="s">
        <v>182</v>
      </c>
      <c r="E434" s="3" t="s">
        <v>1901</v>
      </c>
      <c r="F434" s="4" t="s">
        <v>1902</v>
      </c>
      <c r="G434" s="4" t="s">
        <v>1898</v>
      </c>
      <c r="H434" s="5">
        <v>450000</v>
      </c>
      <c r="I434" s="5">
        <v>0</v>
      </c>
      <c r="J434" s="5">
        <v>450000</v>
      </c>
      <c r="K434" s="5">
        <v>0</v>
      </c>
      <c r="L434" s="5">
        <v>450000</v>
      </c>
      <c r="M434" s="5">
        <v>0</v>
      </c>
      <c r="N434" s="5">
        <v>0</v>
      </c>
      <c r="O434" s="5">
        <v>0</v>
      </c>
      <c r="P434" s="5">
        <v>0</v>
      </c>
      <c r="Q434" s="3"/>
      <c r="R434" s="3"/>
      <c r="S434" s="3"/>
      <c r="T434" s="3" t="s">
        <v>41</v>
      </c>
      <c r="U434" s="3" t="s">
        <v>34</v>
      </c>
      <c r="V434" s="3" t="s">
        <v>35</v>
      </c>
      <c r="W434" s="3" t="s">
        <v>1903</v>
      </c>
      <c r="X434" s="3"/>
      <c r="Y434" s="5">
        <v>450000</v>
      </c>
      <c r="Z434" s="5">
        <v>1</v>
      </c>
    </row>
    <row r="435" spans="1:26" ht="15.75" customHeight="1" x14ac:dyDescent="0.35">
      <c r="A435" s="2"/>
      <c r="B435" s="3" t="s">
        <v>1449</v>
      </c>
      <c r="C435" s="3" t="s">
        <v>59</v>
      </c>
      <c r="D435" s="3" t="s">
        <v>60</v>
      </c>
      <c r="E435" s="3" t="s">
        <v>1904</v>
      </c>
      <c r="F435" s="4" t="s">
        <v>1905</v>
      </c>
      <c r="G435" s="4" t="s">
        <v>1898</v>
      </c>
      <c r="H435" s="5">
        <v>1532014</v>
      </c>
      <c r="I435" s="5">
        <v>0</v>
      </c>
      <c r="J435" s="5">
        <v>1532014</v>
      </c>
      <c r="K435" s="5">
        <v>0</v>
      </c>
      <c r="L435" s="5">
        <v>0</v>
      </c>
      <c r="M435" s="5">
        <v>0</v>
      </c>
      <c r="N435" s="5">
        <v>0</v>
      </c>
      <c r="O435" s="5">
        <v>1532014</v>
      </c>
      <c r="P435" s="5">
        <v>0</v>
      </c>
      <c r="Q435" s="3" t="s">
        <v>1906</v>
      </c>
      <c r="R435" s="3" t="s">
        <v>34</v>
      </c>
      <c r="S435" s="3" t="s">
        <v>1907</v>
      </c>
      <c r="T435" s="3" t="s">
        <v>48</v>
      </c>
      <c r="U435" s="3" t="s">
        <v>34</v>
      </c>
      <c r="V435" s="3" t="s">
        <v>35</v>
      </c>
      <c r="W435" s="3" t="s">
        <v>1908</v>
      </c>
      <c r="X435" s="3" t="s">
        <v>1909</v>
      </c>
      <c r="Y435" s="5">
        <v>510671.3333</v>
      </c>
      <c r="Z435" s="5">
        <v>3</v>
      </c>
    </row>
    <row r="436" spans="1:26" ht="15.75" customHeight="1" x14ac:dyDescent="0.35">
      <c r="A436" s="2"/>
      <c r="B436" s="3" t="s">
        <v>83</v>
      </c>
      <c r="C436" s="3" t="s">
        <v>64</v>
      </c>
      <c r="D436" s="3" t="s">
        <v>83</v>
      </c>
      <c r="E436" s="3" t="s">
        <v>1910</v>
      </c>
      <c r="F436" s="4" t="s">
        <v>1861</v>
      </c>
      <c r="G436" s="4" t="s">
        <v>1911</v>
      </c>
      <c r="H436" s="5">
        <v>1650000</v>
      </c>
      <c r="I436" s="5">
        <v>350000</v>
      </c>
      <c r="J436" s="5">
        <v>2000000</v>
      </c>
      <c r="K436" s="5">
        <v>0</v>
      </c>
      <c r="L436" s="5">
        <v>1000000</v>
      </c>
      <c r="M436" s="5">
        <v>0</v>
      </c>
      <c r="N436" s="5">
        <v>1000000</v>
      </c>
      <c r="O436" s="5">
        <v>0</v>
      </c>
      <c r="P436" s="5">
        <v>0</v>
      </c>
      <c r="Q436" s="3" t="s">
        <v>34</v>
      </c>
      <c r="R436" s="3" t="s">
        <v>34</v>
      </c>
      <c r="S436" s="3" t="s">
        <v>1912</v>
      </c>
      <c r="T436" s="3" t="s">
        <v>41</v>
      </c>
      <c r="U436" s="3" t="s">
        <v>34</v>
      </c>
      <c r="V436" s="3" t="s">
        <v>35</v>
      </c>
      <c r="W436" s="3" t="s">
        <v>1913</v>
      </c>
      <c r="X436" s="3"/>
      <c r="Y436" s="5">
        <v>550000</v>
      </c>
      <c r="Z436" s="5">
        <v>3</v>
      </c>
    </row>
    <row r="437" spans="1:26" ht="15.75" customHeight="1" x14ac:dyDescent="0.35">
      <c r="A437" s="2"/>
      <c r="B437" s="3" t="s">
        <v>1589</v>
      </c>
      <c r="C437" s="3" t="s">
        <v>29</v>
      </c>
      <c r="D437" s="3" t="s">
        <v>37</v>
      </c>
      <c r="E437" s="3" t="s">
        <v>1914</v>
      </c>
      <c r="F437" s="4" t="s">
        <v>1915</v>
      </c>
      <c r="G437" s="4" t="s">
        <v>1916</v>
      </c>
      <c r="H437" s="5">
        <v>890000</v>
      </c>
      <c r="I437" s="5">
        <v>30000</v>
      </c>
      <c r="J437" s="5">
        <v>920000</v>
      </c>
      <c r="K437" s="5">
        <v>0</v>
      </c>
      <c r="L437" s="5">
        <v>30000</v>
      </c>
      <c r="M437" s="5">
        <v>0</v>
      </c>
      <c r="N437" s="5">
        <v>890000</v>
      </c>
      <c r="O437" s="5">
        <v>0</v>
      </c>
      <c r="P437" s="5">
        <v>0</v>
      </c>
      <c r="Q437" s="3" t="s">
        <v>34</v>
      </c>
      <c r="R437" s="3" t="s">
        <v>34</v>
      </c>
      <c r="S437" s="3" t="s">
        <v>1917</v>
      </c>
      <c r="T437" s="3" t="s">
        <v>41</v>
      </c>
      <c r="U437" s="3" t="s">
        <v>34</v>
      </c>
      <c r="V437" s="3" t="s">
        <v>35</v>
      </c>
      <c r="W437" s="3" t="s">
        <v>1918</v>
      </c>
      <c r="X437" s="3"/>
      <c r="Y437" s="5">
        <v>890000</v>
      </c>
      <c r="Z437" s="5">
        <v>1</v>
      </c>
    </row>
    <row r="438" spans="1:26" ht="15.75" customHeight="1" x14ac:dyDescent="0.35">
      <c r="A438" s="2"/>
      <c r="B438" s="3" t="s">
        <v>1421</v>
      </c>
      <c r="C438" s="3" t="s">
        <v>59</v>
      </c>
      <c r="D438" s="3" t="s">
        <v>193</v>
      </c>
      <c r="E438" s="3" t="s">
        <v>1919</v>
      </c>
      <c r="F438" s="4" t="s">
        <v>1920</v>
      </c>
      <c r="G438" s="4" t="s">
        <v>1921</v>
      </c>
      <c r="H438" s="5">
        <v>2696000</v>
      </c>
      <c r="I438" s="5">
        <v>0</v>
      </c>
      <c r="J438" s="5">
        <v>2696000</v>
      </c>
      <c r="K438" s="5">
        <v>0</v>
      </c>
      <c r="L438" s="5">
        <v>300000</v>
      </c>
      <c r="M438" s="5">
        <v>0</v>
      </c>
      <c r="N438" s="5">
        <v>2396000</v>
      </c>
      <c r="O438" s="5">
        <v>0</v>
      </c>
      <c r="P438" s="5">
        <v>0</v>
      </c>
      <c r="Q438" s="3" t="s">
        <v>1922</v>
      </c>
      <c r="R438" s="3"/>
      <c r="S438" s="3"/>
      <c r="T438" s="3" t="s">
        <v>41</v>
      </c>
      <c r="U438" s="3" t="s">
        <v>34</v>
      </c>
      <c r="V438" s="3" t="s">
        <v>35</v>
      </c>
      <c r="W438" s="3" t="s">
        <v>1923</v>
      </c>
      <c r="X438" s="3"/>
      <c r="Y438" s="5">
        <v>674000</v>
      </c>
      <c r="Z438" s="5">
        <v>4</v>
      </c>
    </row>
    <row r="439" spans="1:26" ht="15.75" customHeight="1" x14ac:dyDescent="0.35">
      <c r="A439" s="2"/>
      <c r="B439" s="3" t="s">
        <v>1531</v>
      </c>
      <c r="C439" s="3" t="s">
        <v>71</v>
      </c>
      <c r="D439" s="3" t="s">
        <v>95</v>
      </c>
      <c r="E439" s="3" t="s">
        <v>1924</v>
      </c>
      <c r="F439" s="4" t="s">
        <v>1925</v>
      </c>
      <c r="G439" s="4" t="s">
        <v>1926</v>
      </c>
      <c r="H439" s="5">
        <v>2079132</v>
      </c>
      <c r="I439" s="5">
        <v>0</v>
      </c>
      <c r="J439" s="5">
        <v>2079132</v>
      </c>
      <c r="K439" s="5">
        <v>0</v>
      </c>
      <c r="L439" s="5">
        <v>0</v>
      </c>
      <c r="M439" s="5">
        <v>0</v>
      </c>
      <c r="N439" s="5">
        <v>0</v>
      </c>
      <c r="O439" s="5">
        <v>2079132</v>
      </c>
      <c r="P439" s="5">
        <v>0</v>
      </c>
      <c r="Q439" s="3" t="s">
        <v>34</v>
      </c>
      <c r="R439" s="3" t="s">
        <v>34</v>
      </c>
      <c r="S439" s="3" t="s">
        <v>34</v>
      </c>
      <c r="T439" s="3" t="s">
        <v>245</v>
      </c>
      <c r="U439" s="3" t="s">
        <v>34</v>
      </c>
      <c r="V439" s="3" t="s">
        <v>35</v>
      </c>
      <c r="W439" s="3" t="s">
        <v>1927</v>
      </c>
      <c r="X439" s="3"/>
      <c r="Y439" s="5">
        <v>693044</v>
      </c>
      <c r="Z439" s="5">
        <v>3</v>
      </c>
    </row>
    <row r="440" spans="1:26" ht="15.75" customHeight="1" x14ac:dyDescent="0.35">
      <c r="A440" s="2"/>
      <c r="B440" s="3" t="s">
        <v>1608</v>
      </c>
      <c r="C440" s="3" t="s">
        <v>71</v>
      </c>
      <c r="D440" s="3" t="s">
        <v>1086</v>
      </c>
      <c r="E440" s="3" t="s">
        <v>1928</v>
      </c>
      <c r="F440" s="4" t="s">
        <v>1929</v>
      </c>
      <c r="G440" s="4" t="s">
        <v>1930</v>
      </c>
      <c r="H440" s="5">
        <v>1300000</v>
      </c>
      <c r="I440" s="5">
        <v>0</v>
      </c>
      <c r="J440" s="5">
        <v>1300000</v>
      </c>
      <c r="K440" s="5">
        <v>0</v>
      </c>
      <c r="L440" s="5">
        <v>0</v>
      </c>
      <c r="M440" s="5">
        <v>0</v>
      </c>
      <c r="N440" s="5">
        <v>1300000</v>
      </c>
      <c r="O440" s="5">
        <v>0</v>
      </c>
      <c r="P440" s="5">
        <v>0</v>
      </c>
      <c r="Q440" s="3" t="s">
        <v>34</v>
      </c>
      <c r="R440" s="3" t="s">
        <v>34</v>
      </c>
      <c r="S440" s="3" t="s">
        <v>1931</v>
      </c>
      <c r="T440" s="3" t="s">
        <v>41</v>
      </c>
      <c r="U440" s="3" t="s">
        <v>34</v>
      </c>
      <c r="V440" s="3" t="s">
        <v>35</v>
      </c>
      <c r="W440" s="3" t="s">
        <v>1932</v>
      </c>
      <c r="X440" s="3"/>
      <c r="Y440" s="5">
        <v>650000</v>
      </c>
      <c r="Z440" s="5">
        <v>2</v>
      </c>
    </row>
    <row r="441" spans="1:26" ht="15.75" customHeight="1" x14ac:dyDescent="0.35">
      <c r="A441" s="2"/>
      <c r="B441" s="3" t="s">
        <v>1859</v>
      </c>
      <c r="C441" s="3" t="s">
        <v>64</v>
      </c>
      <c r="D441" s="3" t="s">
        <v>76</v>
      </c>
      <c r="E441" s="3" t="s">
        <v>1933</v>
      </c>
      <c r="F441" s="4" t="s">
        <v>1934</v>
      </c>
      <c r="G441" s="4" t="s">
        <v>1930</v>
      </c>
      <c r="H441" s="5">
        <v>549000</v>
      </c>
      <c r="I441" s="5">
        <v>0</v>
      </c>
      <c r="J441" s="5">
        <v>549000</v>
      </c>
      <c r="K441" s="5">
        <v>0</v>
      </c>
      <c r="L441" s="5">
        <v>0</v>
      </c>
      <c r="M441" s="5">
        <v>0</v>
      </c>
      <c r="N441" s="5">
        <v>549000</v>
      </c>
      <c r="O441" s="5">
        <v>0</v>
      </c>
      <c r="P441" s="5">
        <v>0</v>
      </c>
      <c r="Q441" s="3" t="s">
        <v>1935</v>
      </c>
      <c r="R441" s="3" t="s">
        <v>34</v>
      </c>
      <c r="S441" s="3" t="s">
        <v>1936</v>
      </c>
      <c r="T441" s="3" t="s">
        <v>41</v>
      </c>
      <c r="U441" s="3" t="s">
        <v>34</v>
      </c>
      <c r="V441" s="3" t="s">
        <v>35</v>
      </c>
      <c r="W441" s="3" t="s">
        <v>1937</v>
      </c>
      <c r="X441" s="3"/>
      <c r="Y441" s="5">
        <v>549000</v>
      </c>
      <c r="Z441" s="5">
        <v>1</v>
      </c>
    </row>
    <row r="442" spans="1:26" ht="15.75" customHeight="1" x14ac:dyDescent="0.35">
      <c r="A442" s="2"/>
      <c r="B442" s="3" t="s">
        <v>1563</v>
      </c>
      <c r="C442" s="3" t="s">
        <v>64</v>
      </c>
      <c r="D442" s="3" t="s">
        <v>65</v>
      </c>
      <c r="E442" s="3" t="s">
        <v>1938</v>
      </c>
      <c r="F442" s="4" t="s">
        <v>1939</v>
      </c>
      <c r="G442" s="4" t="s">
        <v>1940</v>
      </c>
      <c r="H442" s="5">
        <v>500000</v>
      </c>
      <c r="I442" s="5">
        <v>0</v>
      </c>
      <c r="J442" s="5">
        <v>500000</v>
      </c>
      <c r="K442" s="5">
        <v>0</v>
      </c>
      <c r="L442" s="5">
        <v>0</v>
      </c>
      <c r="M442" s="5">
        <v>0</v>
      </c>
      <c r="N442" s="5">
        <v>500000</v>
      </c>
      <c r="O442" s="5">
        <v>0</v>
      </c>
      <c r="P442" s="5">
        <v>0</v>
      </c>
      <c r="Q442" s="3"/>
      <c r="R442" s="3"/>
      <c r="S442" s="3"/>
      <c r="T442" s="3" t="s">
        <v>41</v>
      </c>
      <c r="U442" s="3" t="s">
        <v>34</v>
      </c>
      <c r="V442" s="3" t="s">
        <v>35</v>
      </c>
      <c r="W442" s="3" t="s">
        <v>1941</v>
      </c>
      <c r="X442" s="3"/>
      <c r="Y442" s="5">
        <v>500000</v>
      </c>
      <c r="Z442" s="5">
        <v>1</v>
      </c>
    </row>
    <row r="443" spans="1:26" ht="15.75" customHeight="1" x14ac:dyDescent="0.35">
      <c r="A443" s="2"/>
      <c r="B443" s="3" t="s">
        <v>1135</v>
      </c>
      <c r="C443" s="3" t="s">
        <v>59</v>
      </c>
      <c r="D443" s="3" t="s">
        <v>122</v>
      </c>
      <c r="E443" s="3" t="s">
        <v>1942</v>
      </c>
      <c r="F443" s="4" t="s">
        <v>1943</v>
      </c>
      <c r="G443" s="4" t="s">
        <v>1944</v>
      </c>
      <c r="H443" s="5">
        <v>1567611</v>
      </c>
      <c r="I443" s="5">
        <v>0</v>
      </c>
      <c r="J443" s="5">
        <v>1567611</v>
      </c>
      <c r="K443" s="5">
        <v>0</v>
      </c>
      <c r="L443" s="5">
        <v>0</v>
      </c>
      <c r="M443" s="5">
        <v>0</v>
      </c>
      <c r="N443" s="5">
        <v>0</v>
      </c>
      <c r="O443" s="5">
        <v>1567611</v>
      </c>
      <c r="P443" s="5">
        <v>0</v>
      </c>
      <c r="Q443" s="3"/>
      <c r="R443" s="3"/>
      <c r="S443" s="3"/>
      <c r="T443" s="3" t="s">
        <v>245</v>
      </c>
      <c r="U443" s="3" t="s">
        <v>34</v>
      </c>
      <c r="V443" s="3" t="s">
        <v>35</v>
      </c>
      <c r="W443" s="3" t="s">
        <v>1329</v>
      </c>
      <c r="X443" s="3"/>
      <c r="Y443" s="5">
        <v>522537</v>
      </c>
      <c r="Z443" s="5">
        <v>3</v>
      </c>
    </row>
    <row r="444" spans="1:26" ht="15.75" customHeight="1" x14ac:dyDescent="0.35">
      <c r="A444" s="2"/>
      <c r="B444" s="3" t="s">
        <v>1135</v>
      </c>
      <c r="C444" s="3" t="s">
        <v>64</v>
      </c>
      <c r="D444" s="3" t="s">
        <v>89</v>
      </c>
      <c r="E444" s="3" t="s">
        <v>1945</v>
      </c>
      <c r="F444" s="4" t="s">
        <v>1943</v>
      </c>
      <c r="G444" s="4" t="s">
        <v>1944</v>
      </c>
      <c r="H444" s="5">
        <v>3135223</v>
      </c>
      <c r="I444" s="5">
        <v>0</v>
      </c>
      <c r="J444" s="5">
        <v>3135223</v>
      </c>
      <c r="K444" s="5">
        <v>0</v>
      </c>
      <c r="L444" s="5">
        <v>0</v>
      </c>
      <c r="M444" s="5">
        <v>0</v>
      </c>
      <c r="N444" s="5">
        <v>0</v>
      </c>
      <c r="O444" s="5">
        <v>3135223</v>
      </c>
      <c r="P444" s="5">
        <v>0</v>
      </c>
      <c r="Q444" s="3" t="s">
        <v>34</v>
      </c>
      <c r="R444" s="3" t="s">
        <v>34</v>
      </c>
      <c r="S444" s="3" t="s">
        <v>1946</v>
      </c>
      <c r="T444" s="3" t="s">
        <v>245</v>
      </c>
      <c r="U444" s="3" t="s">
        <v>34</v>
      </c>
      <c r="V444" s="3" t="s">
        <v>35</v>
      </c>
      <c r="W444" s="3" t="s">
        <v>1204</v>
      </c>
      <c r="X444" s="3"/>
      <c r="Y444" s="5">
        <v>1045074.3333000001</v>
      </c>
      <c r="Z444" s="5">
        <v>3</v>
      </c>
    </row>
    <row r="445" spans="1:26" ht="15.75" customHeight="1" x14ac:dyDescent="0.35">
      <c r="A445" s="2"/>
      <c r="B445" s="3" t="s">
        <v>1135</v>
      </c>
      <c r="C445" s="3" t="s">
        <v>29</v>
      </c>
      <c r="D445" s="3" t="s">
        <v>110</v>
      </c>
      <c r="E445" s="3" t="s">
        <v>226</v>
      </c>
      <c r="F445" s="4" t="s">
        <v>1943</v>
      </c>
      <c r="G445" s="4" t="s">
        <v>1944</v>
      </c>
      <c r="H445" s="5">
        <v>1567611</v>
      </c>
      <c r="I445" s="5">
        <v>0</v>
      </c>
      <c r="J445" s="5">
        <v>1567611</v>
      </c>
      <c r="K445" s="5">
        <v>0</v>
      </c>
      <c r="L445" s="5">
        <v>0</v>
      </c>
      <c r="M445" s="5">
        <v>0</v>
      </c>
      <c r="N445" s="5">
        <v>0</v>
      </c>
      <c r="O445" s="5">
        <v>1567611</v>
      </c>
      <c r="P445" s="5">
        <v>0</v>
      </c>
      <c r="Q445" s="3"/>
      <c r="R445" s="3"/>
      <c r="S445" s="3"/>
      <c r="T445" s="3" t="s">
        <v>245</v>
      </c>
      <c r="U445" s="3" t="s">
        <v>34</v>
      </c>
      <c r="V445" s="3" t="s">
        <v>35</v>
      </c>
      <c r="W445" s="3" t="s">
        <v>1187</v>
      </c>
      <c r="X445" s="3"/>
      <c r="Y445" s="5">
        <v>522537</v>
      </c>
      <c r="Z445" s="5">
        <v>3</v>
      </c>
    </row>
    <row r="446" spans="1:26" ht="15.75" customHeight="1" x14ac:dyDescent="0.35">
      <c r="A446" s="2"/>
      <c r="B446" s="3" t="s">
        <v>1135</v>
      </c>
      <c r="C446" s="3" t="s">
        <v>29</v>
      </c>
      <c r="D446" s="3" t="s">
        <v>30</v>
      </c>
      <c r="E446" s="3" t="s">
        <v>226</v>
      </c>
      <c r="F446" s="4" t="s">
        <v>1943</v>
      </c>
      <c r="G446" s="4" t="s">
        <v>1944</v>
      </c>
      <c r="H446" s="5">
        <v>1567611</v>
      </c>
      <c r="I446" s="5">
        <v>0</v>
      </c>
      <c r="J446" s="5">
        <v>1567611</v>
      </c>
      <c r="K446" s="5">
        <v>0</v>
      </c>
      <c r="L446" s="5">
        <v>0</v>
      </c>
      <c r="M446" s="5">
        <v>0</v>
      </c>
      <c r="N446" s="5">
        <v>0</v>
      </c>
      <c r="O446" s="5">
        <v>1567611</v>
      </c>
      <c r="P446" s="5">
        <v>0</v>
      </c>
      <c r="Q446" s="3"/>
      <c r="R446" s="3"/>
      <c r="S446" s="3"/>
      <c r="T446" s="3" t="s">
        <v>245</v>
      </c>
      <c r="U446" s="3" t="s">
        <v>34</v>
      </c>
      <c r="V446" s="3" t="s">
        <v>35</v>
      </c>
      <c r="W446" s="3" t="s">
        <v>1222</v>
      </c>
      <c r="X446" s="3"/>
      <c r="Y446" s="5">
        <v>522537</v>
      </c>
      <c r="Z446" s="5">
        <v>3</v>
      </c>
    </row>
    <row r="447" spans="1:26" ht="15.75" customHeight="1" x14ac:dyDescent="0.35">
      <c r="A447" s="2"/>
      <c r="B447" s="3" t="s">
        <v>1135</v>
      </c>
      <c r="C447" s="3" t="s">
        <v>29</v>
      </c>
      <c r="D447" s="3" t="s">
        <v>43</v>
      </c>
      <c r="E447" s="3" t="s">
        <v>226</v>
      </c>
      <c r="F447" s="4" t="s">
        <v>1943</v>
      </c>
      <c r="G447" s="4" t="s">
        <v>1944</v>
      </c>
      <c r="H447" s="5">
        <v>1567611</v>
      </c>
      <c r="I447" s="5">
        <v>0</v>
      </c>
      <c r="J447" s="5">
        <v>1567611</v>
      </c>
      <c r="K447" s="5">
        <v>0</v>
      </c>
      <c r="L447" s="5">
        <v>0</v>
      </c>
      <c r="M447" s="5">
        <v>0</v>
      </c>
      <c r="N447" s="5">
        <v>0</v>
      </c>
      <c r="O447" s="5">
        <v>1567611</v>
      </c>
      <c r="P447" s="5">
        <v>0</v>
      </c>
      <c r="Q447" s="3"/>
      <c r="R447" s="3"/>
      <c r="S447" s="3"/>
      <c r="T447" s="3" t="s">
        <v>245</v>
      </c>
      <c r="U447" s="3" t="s">
        <v>34</v>
      </c>
      <c r="V447" s="3" t="s">
        <v>35</v>
      </c>
      <c r="W447" s="3" t="s">
        <v>1180</v>
      </c>
      <c r="X447" s="3"/>
      <c r="Y447" s="5">
        <v>522537</v>
      </c>
      <c r="Z447" s="5">
        <v>3</v>
      </c>
    </row>
    <row r="448" spans="1:26" ht="15.75" customHeight="1" x14ac:dyDescent="0.35">
      <c r="A448" s="2"/>
      <c r="B448" s="3" t="s">
        <v>1628</v>
      </c>
      <c r="C448" s="3" t="s">
        <v>64</v>
      </c>
      <c r="D448" s="3" t="s">
        <v>99</v>
      </c>
      <c r="E448" s="3" t="s">
        <v>1947</v>
      </c>
      <c r="F448" s="4" t="s">
        <v>1934</v>
      </c>
      <c r="G448" s="4" t="s">
        <v>1944</v>
      </c>
      <c r="H448" s="5">
        <v>1098000</v>
      </c>
      <c r="I448" s="5">
        <v>0</v>
      </c>
      <c r="J448" s="5">
        <v>1098000</v>
      </c>
      <c r="K448" s="5">
        <v>0</v>
      </c>
      <c r="L448" s="5">
        <v>798000</v>
      </c>
      <c r="M448" s="5">
        <v>0</v>
      </c>
      <c r="N448" s="5">
        <v>300000</v>
      </c>
      <c r="O448" s="5">
        <v>0</v>
      </c>
      <c r="P448" s="5">
        <v>0</v>
      </c>
      <c r="Q448" s="3" t="s">
        <v>1948</v>
      </c>
      <c r="R448" s="3" t="s">
        <v>34</v>
      </c>
      <c r="S448" s="3" t="s">
        <v>1949</v>
      </c>
      <c r="T448" s="3" t="s">
        <v>41</v>
      </c>
      <c r="U448" s="3" t="s">
        <v>34</v>
      </c>
      <c r="V448" s="3" t="s">
        <v>35</v>
      </c>
      <c r="W448" s="3" t="s">
        <v>1950</v>
      </c>
      <c r="X448" s="3"/>
      <c r="Y448" s="5">
        <v>549000</v>
      </c>
      <c r="Z448" s="5">
        <v>2</v>
      </c>
    </row>
    <row r="449" spans="1:26" ht="15.75" customHeight="1" x14ac:dyDescent="0.35">
      <c r="A449" s="2"/>
      <c r="B449" s="3" t="s">
        <v>1527</v>
      </c>
      <c r="C449" s="3" t="s">
        <v>71</v>
      </c>
      <c r="D449" s="3" t="s">
        <v>72</v>
      </c>
      <c r="E449" s="3" t="s">
        <v>1951</v>
      </c>
      <c r="F449" s="4" t="s">
        <v>1952</v>
      </c>
      <c r="G449" s="4" t="s">
        <v>1953</v>
      </c>
      <c r="H449" s="5">
        <v>6148220</v>
      </c>
      <c r="I449" s="5">
        <v>0</v>
      </c>
      <c r="J449" s="5">
        <v>6148220</v>
      </c>
      <c r="K449" s="5">
        <v>0</v>
      </c>
      <c r="L449" s="5">
        <v>0</v>
      </c>
      <c r="M449" s="5">
        <v>0</v>
      </c>
      <c r="N449" s="5">
        <v>0</v>
      </c>
      <c r="O449" s="5">
        <v>6148220</v>
      </c>
      <c r="P449" s="5">
        <v>0</v>
      </c>
      <c r="Q449" s="3" t="s">
        <v>34</v>
      </c>
      <c r="R449" s="3" t="s">
        <v>34</v>
      </c>
      <c r="S449" s="3" t="s">
        <v>34</v>
      </c>
      <c r="T449" s="3" t="s">
        <v>34</v>
      </c>
      <c r="U449" s="3" t="s">
        <v>34</v>
      </c>
      <c r="V449" s="3" t="s">
        <v>35</v>
      </c>
      <c r="W449" s="3" t="s">
        <v>1954</v>
      </c>
      <c r="X449" s="3"/>
      <c r="Y449" s="5">
        <v>1537055</v>
      </c>
      <c r="Z449" s="5">
        <v>4</v>
      </c>
    </row>
    <row r="450" spans="1:26" ht="15.75" customHeight="1" x14ac:dyDescent="0.35">
      <c r="A450" s="2"/>
      <c r="B450" s="3" t="s">
        <v>1517</v>
      </c>
      <c r="C450" s="3" t="s">
        <v>64</v>
      </c>
      <c r="D450" s="3" t="s">
        <v>76</v>
      </c>
      <c r="E450" s="3" t="s">
        <v>1955</v>
      </c>
      <c r="F450" s="4" t="s">
        <v>1956</v>
      </c>
      <c r="G450" s="4" t="s">
        <v>1957</v>
      </c>
      <c r="H450" s="5">
        <v>500000</v>
      </c>
      <c r="I450" s="5">
        <v>0</v>
      </c>
      <c r="J450" s="5">
        <v>500000</v>
      </c>
      <c r="K450" s="5">
        <v>0</v>
      </c>
      <c r="L450" s="5">
        <v>250000</v>
      </c>
      <c r="M450" s="5">
        <v>0</v>
      </c>
      <c r="N450" s="5">
        <v>250000</v>
      </c>
      <c r="O450" s="5">
        <v>0</v>
      </c>
      <c r="P450" s="5">
        <v>0</v>
      </c>
      <c r="Q450" s="3"/>
      <c r="R450" s="3"/>
      <c r="S450" s="3"/>
      <c r="T450" s="3" t="s">
        <v>34</v>
      </c>
      <c r="U450" s="3" t="s">
        <v>34</v>
      </c>
      <c r="V450" s="3" t="s">
        <v>35</v>
      </c>
      <c r="W450" s="3" t="s">
        <v>1958</v>
      </c>
      <c r="X450" s="3"/>
      <c r="Y450" s="5">
        <v>500000</v>
      </c>
      <c r="Z450" s="5">
        <v>1</v>
      </c>
    </row>
    <row r="451" spans="1:26" ht="15.75" customHeight="1" x14ac:dyDescent="0.35">
      <c r="A451" s="2"/>
      <c r="B451" s="3" t="s">
        <v>1619</v>
      </c>
      <c r="C451" s="3" t="s">
        <v>59</v>
      </c>
      <c r="D451" s="3" t="s">
        <v>182</v>
      </c>
      <c r="E451" s="3" t="s">
        <v>1959</v>
      </c>
      <c r="F451" s="4" t="s">
        <v>1960</v>
      </c>
      <c r="G451" s="4" t="s">
        <v>1961</v>
      </c>
      <c r="H451" s="5">
        <v>500000</v>
      </c>
      <c r="I451" s="5">
        <v>0</v>
      </c>
      <c r="J451" s="5">
        <v>500000</v>
      </c>
      <c r="K451" s="5">
        <v>0</v>
      </c>
      <c r="L451" s="5">
        <v>500000</v>
      </c>
      <c r="M451" s="5">
        <v>0</v>
      </c>
      <c r="N451" s="5">
        <v>0</v>
      </c>
      <c r="O451" s="5">
        <v>0</v>
      </c>
      <c r="P451" s="5">
        <v>0</v>
      </c>
      <c r="Q451" s="3"/>
      <c r="R451" s="3"/>
      <c r="S451" s="3"/>
      <c r="T451" s="3" t="s">
        <v>41</v>
      </c>
      <c r="U451" s="3" t="s">
        <v>34</v>
      </c>
      <c r="V451" s="3" t="s">
        <v>35</v>
      </c>
      <c r="W451" s="3" t="s">
        <v>1962</v>
      </c>
      <c r="X451" s="3"/>
      <c r="Y451" s="5">
        <v>500000</v>
      </c>
      <c r="Z451" s="5">
        <v>1</v>
      </c>
    </row>
    <row r="452" spans="1:26" ht="15.75" customHeight="1" x14ac:dyDescent="0.35">
      <c r="A452" s="2"/>
      <c r="B452" s="3" t="s">
        <v>1552</v>
      </c>
      <c r="C452" s="3" t="s">
        <v>29</v>
      </c>
      <c r="D452" s="3" t="s">
        <v>110</v>
      </c>
      <c r="E452" s="3" t="s">
        <v>1228</v>
      </c>
      <c r="F452" s="4" t="s">
        <v>1963</v>
      </c>
      <c r="G452" s="4" t="s">
        <v>1964</v>
      </c>
      <c r="H452" s="5">
        <v>850000</v>
      </c>
      <c r="I452" s="5">
        <v>0</v>
      </c>
      <c r="J452" s="5">
        <v>850000</v>
      </c>
      <c r="K452" s="5">
        <v>0</v>
      </c>
      <c r="L452" s="5">
        <v>0</v>
      </c>
      <c r="M452" s="5">
        <v>0</v>
      </c>
      <c r="N452" s="5">
        <v>850000</v>
      </c>
      <c r="O452" s="5">
        <v>0</v>
      </c>
      <c r="P452" s="5">
        <v>0</v>
      </c>
      <c r="Q452" s="3" t="s">
        <v>34</v>
      </c>
      <c r="R452" s="3" t="s">
        <v>34</v>
      </c>
      <c r="S452" s="3" t="s">
        <v>34</v>
      </c>
      <c r="T452" s="3" t="s">
        <v>41</v>
      </c>
      <c r="U452" s="3" t="s">
        <v>34</v>
      </c>
      <c r="V452" s="3" t="s">
        <v>35</v>
      </c>
      <c r="W452" s="3" t="s">
        <v>1965</v>
      </c>
      <c r="X452" s="3"/>
      <c r="Y452" s="5">
        <v>850000</v>
      </c>
      <c r="Z452" s="5">
        <v>1</v>
      </c>
    </row>
    <row r="453" spans="1:26" ht="15.75" customHeight="1" x14ac:dyDescent="0.35">
      <c r="A453" s="2"/>
      <c r="B453" s="3" t="s">
        <v>1482</v>
      </c>
      <c r="C453" s="3" t="s">
        <v>64</v>
      </c>
      <c r="D453" s="3" t="s">
        <v>65</v>
      </c>
      <c r="E453" s="3" t="s">
        <v>1966</v>
      </c>
      <c r="F453" s="4" t="s">
        <v>1967</v>
      </c>
      <c r="G453" s="4" t="s">
        <v>1968</v>
      </c>
      <c r="H453" s="5">
        <v>1098000</v>
      </c>
      <c r="I453" s="5">
        <v>0</v>
      </c>
      <c r="J453" s="5">
        <v>1098000</v>
      </c>
      <c r="K453" s="5">
        <v>0</v>
      </c>
      <c r="L453" s="5">
        <v>0</v>
      </c>
      <c r="M453" s="5">
        <v>0</v>
      </c>
      <c r="N453" s="5">
        <v>1098000</v>
      </c>
      <c r="O453" s="5">
        <v>0</v>
      </c>
      <c r="P453" s="5">
        <v>0</v>
      </c>
      <c r="Q453" s="3" t="s">
        <v>1969</v>
      </c>
      <c r="R453" s="3" t="s">
        <v>34</v>
      </c>
      <c r="S453" s="3" t="s">
        <v>34</v>
      </c>
      <c r="T453" s="3" t="s">
        <v>41</v>
      </c>
      <c r="U453" s="3" t="s">
        <v>34</v>
      </c>
      <c r="V453" s="3" t="s">
        <v>35</v>
      </c>
      <c r="W453" s="3" t="s">
        <v>1970</v>
      </c>
      <c r="X453" s="3"/>
      <c r="Y453" s="5">
        <v>549000</v>
      </c>
      <c r="Z453" s="5">
        <v>2</v>
      </c>
    </row>
    <row r="454" spans="1:26" ht="15.75" customHeight="1" x14ac:dyDescent="0.35">
      <c r="A454" s="2"/>
      <c r="B454" s="3" t="s">
        <v>1848</v>
      </c>
      <c r="C454" s="3" t="s">
        <v>64</v>
      </c>
      <c r="D454" s="3" t="s">
        <v>89</v>
      </c>
      <c r="E454" s="3" t="s">
        <v>1971</v>
      </c>
      <c r="F454" s="4" t="s">
        <v>1972</v>
      </c>
      <c r="G454" s="4" t="s">
        <v>1973</v>
      </c>
      <c r="H454" s="5">
        <v>549000</v>
      </c>
      <c r="I454" s="5">
        <v>0</v>
      </c>
      <c r="J454" s="5">
        <v>549000</v>
      </c>
      <c r="K454" s="5">
        <v>0</v>
      </c>
      <c r="L454" s="5">
        <v>0</v>
      </c>
      <c r="M454" s="5">
        <v>0</v>
      </c>
      <c r="N454" s="5">
        <v>549000</v>
      </c>
      <c r="O454" s="5">
        <v>0</v>
      </c>
      <c r="P454" s="5">
        <v>0</v>
      </c>
      <c r="Q454" s="3" t="s">
        <v>1974</v>
      </c>
      <c r="R454" s="3" t="s">
        <v>34</v>
      </c>
      <c r="S454" s="3" t="s">
        <v>1975</v>
      </c>
      <c r="T454" s="3" t="s">
        <v>41</v>
      </c>
      <c r="U454" s="3" t="s">
        <v>34</v>
      </c>
      <c r="V454" s="3" t="s">
        <v>35</v>
      </c>
      <c r="W454" s="3" t="s">
        <v>1976</v>
      </c>
      <c r="X454" s="3"/>
      <c r="Y454" s="5">
        <v>549000</v>
      </c>
      <c r="Z454" s="5">
        <v>1</v>
      </c>
    </row>
    <row r="455" spans="1:26" ht="15.75" customHeight="1" x14ac:dyDescent="0.35">
      <c r="A455" s="2"/>
      <c r="B455" s="3" t="s">
        <v>1535</v>
      </c>
      <c r="C455" s="3" t="s">
        <v>29</v>
      </c>
      <c r="D455" s="3" t="s">
        <v>385</v>
      </c>
      <c r="E455" s="3" t="s">
        <v>226</v>
      </c>
      <c r="F455" s="4" t="s">
        <v>1977</v>
      </c>
      <c r="G455" s="4" t="s">
        <v>1978</v>
      </c>
      <c r="H455" s="5">
        <v>2250000</v>
      </c>
      <c r="I455" s="5">
        <v>0</v>
      </c>
      <c r="J455" s="5">
        <v>2250000</v>
      </c>
      <c r="K455" s="5">
        <v>0</v>
      </c>
      <c r="L455" s="5">
        <v>0</v>
      </c>
      <c r="M455" s="5">
        <v>0</v>
      </c>
      <c r="N455" s="5">
        <v>2250000</v>
      </c>
      <c r="O455" s="5">
        <v>0</v>
      </c>
      <c r="P455" s="5">
        <v>0</v>
      </c>
      <c r="Q455" s="3" t="s">
        <v>34</v>
      </c>
      <c r="R455" s="3" t="s">
        <v>34</v>
      </c>
      <c r="S455" s="3" t="s">
        <v>34</v>
      </c>
      <c r="T455" s="3" t="s">
        <v>41</v>
      </c>
      <c r="U455" s="3" t="s">
        <v>34</v>
      </c>
      <c r="V455" s="3" t="s">
        <v>35</v>
      </c>
      <c r="W455" s="3" t="s">
        <v>1979</v>
      </c>
      <c r="X455" s="3"/>
      <c r="Y455" s="5">
        <v>750000</v>
      </c>
      <c r="Z455" s="5">
        <v>3</v>
      </c>
    </row>
    <row r="456" spans="1:26" ht="15.75" customHeight="1" x14ac:dyDescent="0.35">
      <c r="A456" s="2"/>
      <c r="B456" s="3" t="s">
        <v>1535</v>
      </c>
      <c r="C456" s="3" t="s">
        <v>29</v>
      </c>
      <c r="D456" s="3" t="s">
        <v>413</v>
      </c>
      <c r="E456" s="3" t="s">
        <v>226</v>
      </c>
      <c r="F456" s="4" t="s">
        <v>1977</v>
      </c>
      <c r="G456" s="4" t="s">
        <v>1978</v>
      </c>
      <c r="H456" s="5">
        <v>2250000</v>
      </c>
      <c r="I456" s="5">
        <v>0</v>
      </c>
      <c r="J456" s="5">
        <v>2250000</v>
      </c>
      <c r="K456" s="5">
        <v>0</v>
      </c>
      <c r="L456" s="5">
        <v>0</v>
      </c>
      <c r="M456" s="5">
        <v>0</v>
      </c>
      <c r="N456" s="5">
        <v>2250000</v>
      </c>
      <c r="O456" s="5">
        <v>0</v>
      </c>
      <c r="P456" s="5">
        <v>0</v>
      </c>
      <c r="Q456" s="3"/>
      <c r="R456" s="3"/>
      <c r="S456" s="3"/>
      <c r="T456" s="3" t="s">
        <v>41</v>
      </c>
      <c r="U456" s="3" t="s">
        <v>34</v>
      </c>
      <c r="V456" s="3" t="s">
        <v>35</v>
      </c>
      <c r="W456" s="3" t="s">
        <v>1980</v>
      </c>
      <c r="X456" s="3"/>
      <c r="Y456" s="5">
        <v>750000</v>
      </c>
      <c r="Z456" s="5">
        <v>3</v>
      </c>
    </row>
    <row r="457" spans="1:26" ht="15.75" customHeight="1" x14ac:dyDescent="0.35">
      <c r="A457" s="2"/>
      <c r="B457" s="3" t="s">
        <v>1535</v>
      </c>
      <c r="C457" s="3" t="s">
        <v>29</v>
      </c>
      <c r="D457" s="3" t="s">
        <v>37</v>
      </c>
      <c r="E457" s="3" t="s">
        <v>1981</v>
      </c>
      <c r="F457" s="4" t="s">
        <v>1982</v>
      </c>
      <c r="G457" s="4" t="s">
        <v>1978</v>
      </c>
      <c r="H457" s="5">
        <v>2250000</v>
      </c>
      <c r="I457" s="5">
        <v>0</v>
      </c>
      <c r="J457" s="5">
        <v>2250000</v>
      </c>
      <c r="K457" s="5">
        <v>0</v>
      </c>
      <c r="L457" s="5">
        <v>0</v>
      </c>
      <c r="M457" s="5">
        <v>0</v>
      </c>
      <c r="N457" s="5">
        <v>2250000</v>
      </c>
      <c r="O457" s="5">
        <v>0</v>
      </c>
      <c r="P457" s="5">
        <v>0</v>
      </c>
      <c r="Q457" s="3" t="s">
        <v>1983</v>
      </c>
      <c r="R457" s="3"/>
      <c r="S457" s="3"/>
      <c r="T457" s="3" t="s">
        <v>41</v>
      </c>
      <c r="U457" s="3" t="s">
        <v>34</v>
      </c>
      <c r="V457" s="3" t="s">
        <v>35</v>
      </c>
      <c r="W457" s="3" t="s">
        <v>1984</v>
      </c>
      <c r="X457" s="3"/>
      <c r="Y457" s="5">
        <v>750000</v>
      </c>
      <c r="Z457" s="5">
        <v>3</v>
      </c>
    </row>
    <row r="458" spans="1:26" ht="15.75" customHeight="1" x14ac:dyDescent="0.35">
      <c r="A458" s="2"/>
      <c r="B458" s="3" t="s">
        <v>1601</v>
      </c>
      <c r="C458" s="3" t="s">
        <v>64</v>
      </c>
      <c r="D458" s="3" t="s">
        <v>76</v>
      </c>
      <c r="E458" s="3" t="s">
        <v>1985</v>
      </c>
      <c r="F458" s="4" t="s">
        <v>1986</v>
      </c>
      <c r="G458" s="4" t="s">
        <v>1987</v>
      </c>
      <c r="H458" s="5">
        <v>549000</v>
      </c>
      <c r="I458" s="5">
        <v>0</v>
      </c>
      <c r="J458" s="5">
        <v>549000</v>
      </c>
      <c r="K458" s="5">
        <v>0</v>
      </c>
      <c r="L458" s="5">
        <v>249000</v>
      </c>
      <c r="M458" s="5">
        <v>0</v>
      </c>
      <c r="N458" s="5">
        <v>300000</v>
      </c>
      <c r="O458" s="5">
        <v>0</v>
      </c>
      <c r="P458" s="5">
        <v>0</v>
      </c>
      <c r="Q458" s="3" t="s">
        <v>1988</v>
      </c>
      <c r="R458" s="3" t="s">
        <v>34</v>
      </c>
      <c r="S458" s="3" t="s">
        <v>34</v>
      </c>
      <c r="T458" s="3" t="s">
        <v>41</v>
      </c>
      <c r="U458" s="3" t="s">
        <v>34</v>
      </c>
      <c r="V458" s="3" t="s">
        <v>35</v>
      </c>
      <c r="W458" s="3" t="s">
        <v>1989</v>
      </c>
      <c r="X458" s="3"/>
      <c r="Y458" s="5">
        <v>549000</v>
      </c>
      <c r="Z458" s="5">
        <v>1</v>
      </c>
    </row>
    <row r="459" spans="1:26" ht="15.75" customHeight="1" x14ac:dyDescent="0.35">
      <c r="A459" s="2"/>
      <c r="B459" s="3" t="s">
        <v>1264</v>
      </c>
      <c r="C459" s="3" t="s">
        <v>64</v>
      </c>
      <c r="D459" s="3" t="s">
        <v>83</v>
      </c>
      <c r="E459" s="3" t="s">
        <v>1990</v>
      </c>
      <c r="F459" s="4" t="s">
        <v>1991</v>
      </c>
      <c r="G459" s="4" t="s">
        <v>1992</v>
      </c>
      <c r="H459" s="5">
        <v>602640</v>
      </c>
      <c r="I459" s="5">
        <v>0</v>
      </c>
      <c r="J459" s="5">
        <v>602640</v>
      </c>
      <c r="K459" s="5">
        <v>0</v>
      </c>
      <c r="L459" s="5">
        <v>0</v>
      </c>
      <c r="M459" s="5">
        <v>0</v>
      </c>
      <c r="N459" s="5">
        <v>0</v>
      </c>
      <c r="O459" s="5">
        <v>602640</v>
      </c>
      <c r="P459" s="5">
        <v>0</v>
      </c>
      <c r="Q459" s="3" t="s">
        <v>1993</v>
      </c>
      <c r="R459" s="3" t="s">
        <v>1994</v>
      </c>
      <c r="S459" s="3" t="s">
        <v>34</v>
      </c>
      <c r="T459" s="3" t="s">
        <v>48</v>
      </c>
      <c r="U459" s="3" t="s">
        <v>34</v>
      </c>
      <c r="V459" s="3" t="s">
        <v>35</v>
      </c>
      <c r="W459" s="3" t="s">
        <v>1837</v>
      </c>
      <c r="X459" s="3" t="s">
        <v>1995</v>
      </c>
      <c r="Y459" s="5">
        <v>602640</v>
      </c>
      <c r="Z459" s="5">
        <v>1</v>
      </c>
    </row>
    <row r="460" spans="1:26" ht="15.75" customHeight="1" x14ac:dyDescent="0.35">
      <c r="A460" s="2"/>
      <c r="B460" s="3" t="s">
        <v>1619</v>
      </c>
      <c r="C460" s="3" t="s">
        <v>59</v>
      </c>
      <c r="D460" s="3" t="s">
        <v>60</v>
      </c>
      <c r="E460" s="3" t="s">
        <v>1959</v>
      </c>
      <c r="F460" s="4" t="s">
        <v>1996</v>
      </c>
      <c r="G460" s="4" t="s">
        <v>1997</v>
      </c>
      <c r="H460" s="5">
        <v>1000000</v>
      </c>
      <c r="I460" s="5">
        <v>0</v>
      </c>
      <c r="J460" s="5">
        <v>1000000</v>
      </c>
      <c r="K460" s="5">
        <v>0</v>
      </c>
      <c r="L460" s="5">
        <v>1000000</v>
      </c>
      <c r="M460" s="5">
        <v>0</v>
      </c>
      <c r="N460" s="5">
        <v>0</v>
      </c>
      <c r="O460" s="5">
        <v>0</v>
      </c>
      <c r="P460" s="5">
        <v>0</v>
      </c>
      <c r="Q460" s="3"/>
      <c r="R460" s="3"/>
      <c r="S460" s="3"/>
      <c r="T460" s="3" t="s">
        <v>41</v>
      </c>
      <c r="U460" s="3" t="s">
        <v>34</v>
      </c>
      <c r="V460" s="3" t="s">
        <v>35</v>
      </c>
      <c r="W460" s="3" t="s">
        <v>1998</v>
      </c>
      <c r="X460" s="3"/>
      <c r="Y460" s="5">
        <v>500000</v>
      </c>
      <c r="Z460" s="5">
        <v>2</v>
      </c>
    </row>
    <row r="461" spans="1:26" ht="15.75" customHeight="1" x14ac:dyDescent="0.35">
      <c r="A461" s="2"/>
      <c r="B461" s="3" t="s">
        <v>1659</v>
      </c>
      <c r="C461" s="3" t="s">
        <v>64</v>
      </c>
      <c r="D461" s="3" t="s">
        <v>65</v>
      </c>
      <c r="E461" s="3" t="s">
        <v>1999</v>
      </c>
      <c r="F461" s="4" t="s">
        <v>2000</v>
      </c>
      <c r="G461" s="4" t="s">
        <v>2001</v>
      </c>
      <c r="H461" s="5">
        <v>550000</v>
      </c>
      <c r="I461" s="5">
        <v>0</v>
      </c>
      <c r="J461" s="5">
        <v>550000</v>
      </c>
      <c r="K461" s="5">
        <v>0</v>
      </c>
      <c r="L461" s="5">
        <v>0</v>
      </c>
      <c r="M461" s="5">
        <v>0</v>
      </c>
      <c r="N461" s="5">
        <v>550000</v>
      </c>
      <c r="O461" s="5">
        <v>0</v>
      </c>
      <c r="P461" s="5">
        <v>0</v>
      </c>
      <c r="Q461" s="3"/>
      <c r="R461" s="3"/>
      <c r="S461" s="3"/>
      <c r="T461" s="3" t="s">
        <v>41</v>
      </c>
      <c r="U461" s="3" t="s">
        <v>34</v>
      </c>
      <c r="V461" s="3" t="s">
        <v>35</v>
      </c>
      <c r="W461" s="3" t="s">
        <v>2002</v>
      </c>
      <c r="X461" s="3"/>
      <c r="Y461" s="5">
        <v>550000</v>
      </c>
      <c r="Z461" s="5">
        <v>1</v>
      </c>
    </row>
    <row r="462" spans="1:26" ht="15.75" customHeight="1" x14ac:dyDescent="0.35">
      <c r="A462" s="2"/>
      <c r="B462" s="3" t="s">
        <v>1592</v>
      </c>
      <c r="C462" s="3" t="s">
        <v>71</v>
      </c>
      <c r="D462" s="3" t="s">
        <v>72</v>
      </c>
      <c r="E462" s="3" t="s">
        <v>2003</v>
      </c>
      <c r="F462" s="4" t="s">
        <v>2004</v>
      </c>
      <c r="G462" s="4" t="s">
        <v>2005</v>
      </c>
      <c r="H462" s="5">
        <v>1320000</v>
      </c>
      <c r="I462" s="5">
        <v>0</v>
      </c>
      <c r="J462" s="5">
        <v>1320000</v>
      </c>
      <c r="K462" s="5">
        <v>0</v>
      </c>
      <c r="L462" s="5">
        <v>1320000</v>
      </c>
      <c r="M462" s="5">
        <v>0</v>
      </c>
      <c r="N462" s="5">
        <v>0</v>
      </c>
      <c r="O462" s="5">
        <v>0</v>
      </c>
      <c r="P462" s="5">
        <v>0</v>
      </c>
      <c r="Q462" s="3" t="s">
        <v>34</v>
      </c>
      <c r="R462" s="3" t="s">
        <v>34</v>
      </c>
      <c r="S462" s="3" t="s">
        <v>2006</v>
      </c>
      <c r="T462" s="3" t="s">
        <v>41</v>
      </c>
      <c r="U462" s="3" t="s">
        <v>34</v>
      </c>
      <c r="V462" s="3" t="s">
        <v>35</v>
      </c>
      <c r="W462" s="3" t="s">
        <v>2007</v>
      </c>
      <c r="X462" s="3"/>
      <c r="Y462" s="5">
        <v>660000</v>
      </c>
      <c r="Z462" s="5">
        <v>2</v>
      </c>
    </row>
    <row r="463" spans="1:26" ht="15.75" customHeight="1" x14ac:dyDescent="0.35">
      <c r="A463" s="2"/>
      <c r="B463" s="3" t="s">
        <v>1697</v>
      </c>
      <c r="C463" s="3" t="s">
        <v>29</v>
      </c>
      <c r="D463" s="3" t="s">
        <v>30</v>
      </c>
      <c r="E463" s="3" t="s">
        <v>2008</v>
      </c>
      <c r="F463" s="4" t="s">
        <v>2009</v>
      </c>
      <c r="G463" s="4" t="s">
        <v>2010</v>
      </c>
      <c r="H463" s="5">
        <v>649000</v>
      </c>
      <c r="I463" s="5">
        <v>0</v>
      </c>
      <c r="J463" s="5">
        <v>649000</v>
      </c>
      <c r="K463" s="5">
        <v>0</v>
      </c>
      <c r="L463" s="5">
        <v>0</v>
      </c>
      <c r="M463" s="5">
        <v>0</v>
      </c>
      <c r="N463" s="5">
        <v>649000</v>
      </c>
      <c r="O463" s="5">
        <v>0</v>
      </c>
      <c r="P463" s="5">
        <v>0</v>
      </c>
      <c r="Q463" s="3" t="s">
        <v>2011</v>
      </c>
      <c r="R463" s="3" t="s">
        <v>34</v>
      </c>
      <c r="S463" s="3" t="s">
        <v>34</v>
      </c>
      <c r="T463" s="3" t="s">
        <v>41</v>
      </c>
      <c r="U463" s="3" t="s">
        <v>34</v>
      </c>
      <c r="V463" s="3" t="s">
        <v>35</v>
      </c>
      <c r="W463" s="3" t="s">
        <v>2012</v>
      </c>
      <c r="X463" s="3"/>
      <c r="Y463" s="5">
        <v>649000</v>
      </c>
      <c r="Z463" s="5">
        <v>1</v>
      </c>
    </row>
    <row r="464" spans="1:26" ht="15.75" customHeight="1" x14ac:dyDescent="0.35">
      <c r="A464" s="2"/>
      <c r="B464" s="3" t="s">
        <v>1694</v>
      </c>
      <c r="C464" s="3" t="s">
        <v>64</v>
      </c>
      <c r="D464" s="3" t="s">
        <v>173</v>
      </c>
      <c r="E464" s="3" t="s">
        <v>2013</v>
      </c>
      <c r="F464" s="4" t="s">
        <v>2014</v>
      </c>
      <c r="G464" s="4" t="s">
        <v>2015</v>
      </c>
      <c r="H464" s="5">
        <v>1098000</v>
      </c>
      <c r="I464" s="5">
        <v>0</v>
      </c>
      <c r="J464" s="5">
        <v>1098000</v>
      </c>
      <c r="K464" s="5">
        <v>0</v>
      </c>
      <c r="L464" s="5">
        <v>1098000</v>
      </c>
      <c r="M464" s="5">
        <v>0</v>
      </c>
      <c r="N464" s="5">
        <v>0</v>
      </c>
      <c r="O464" s="5">
        <v>0</v>
      </c>
      <c r="P464" s="5">
        <v>0</v>
      </c>
      <c r="Q464" s="3" t="s">
        <v>34</v>
      </c>
      <c r="R464" s="3" t="s">
        <v>34</v>
      </c>
      <c r="S464" s="3" t="s">
        <v>34</v>
      </c>
      <c r="T464" s="3" t="s">
        <v>41</v>
      </c>
      <c r="U464" s="3" t="s">
        <v>34</v>
      </c>
      <c r="V464" s="3" t="s">
        <v>35</v>
      </c>
      <c r="W464" s="3" t="s">
        <v>2016</v>
      </c>
      <c r="X464" s="3"/>
      <c r="Y464" s="5">
        <v>549000</v>
      </c>
      <c r="Z464" s="5">
        <v>2</v>
      </c>
    </row>
    <row r="465" spans="1:26" ht="15.75" customHeight="1" x14ac:dyDescent="0.35">
      <c r="A465" s="2"/>
      <c r="B465" s="3" t="s">
        <v>1642</v>
      </c>
      <c r="C465" s="3" t="s">
        <v>64</v>
      </c>
      <c r="D465" s="3" t="s">
        <v>99</v>
      </c>
      <c r="E465" s="3" t="s">
        <v>2017</v>
      </c>
      <c r="F465" s="4" t="s">
        <v>2018</v>
      </c>
      <c r="G465" s="4" t="s">
        <v>2019</v>
      </c>
      <c r="H465" s="5">
        <v>1098000</v>
      </c>
      <c r="I465" s="5">
        <v>0</v>
      </c>
      <c r="J465" s="5">
        <v>1098000</v>
      </c>
      <c r="K465" s="5">
        <v>0</v>
      </c>
      <c r="L465" s="5">
        <v>1098000</v>
      </c>
      <c r="M465" s="5">
        <v>0</v>
      </c>
      <c r="N465" s="5">
        <v>0</v>
      </c>
      <c r="O465" s="5">
        <v>0</v>
      </c>
      <c r="P465" s="5">
        <v>0</v>
      </c>
      <c r="Q465" s="3" t="s">
        <v>34</v>
      </c>
      <c r="R465" s="3" t="s">
        <v>34</v>
      </c>
      <c r="S465" s="3" t="s">
        <v>2020</v>
      </c>
      <c r="T465" s="3" t="s">
        <v>41</v>
      </c>
      <c r="U465" s="3" t="s">
        <v>34</v>
      </c>
      <c r="V465" s="3" t="s">
        <v>35</v>
      </c>
      <c r="W465" s="3" t="s">
        <v>2021</v>
      </c>
      <c r="X465" s="3"/>
      <c r="Y465" s="5">
        <v>549000</v>
      </c>
      <c r="Z465" s="5">
        <v>2</v>
      </c>
    </row>
    <row r="466" spans="1:26" ht="15.75" customHeight="1" x14ac:dyDescent="0.35">
      <c r="A466" s="2"/>
      <c r="B466" s="3" t="s">
        <v>1701</v>
      </c>
      <c r="C466" s="3" t="s">
        <v>64</v>
      </c>
      <c r="D466" s="3" t="s">
        <v>76</v>
      </c>
      <c r="E466" s="3" t="s">
        <v>2022</v>
      </c>
      <c r="F466" s="4" t="s">
        <v>2023</v>
      </c>
      <c r="G466" s="4" t="s">
        <v>2024</v>
      </c>
      <c r="H466" s="5">
        <v>525528</v>
      </c>
      <c r="I466" s="5">
        <v>0</v>
      </c>
      <c r="J466" s="5">
        <v>525528</v>
      </c>
      <c r="K466" s="5">
        <v>0</v>
      </c>
      <c r="L466" s="5">
        <v>0</v>
      </c>
      <c r="M466" s="5">
        <v>0</v>
      </c>
      <c r="N466" s="5">
        <v>0</v>
      </c>
      <c r="O466" s="5">
        <v>525528</v>
      </c>
      <c r="P466" s="5">
        <v>0</v>
      </c>
      <c r="Q466" s="3" t="s">
        <v>34</v>
      </c>
      <c r="R466" s="3" t="s">
        <v>34</v>
      </c>
      <c r="S466" s="3" t="s">
        <v>34</v>
      </c>
      <c r="T466" s="3" t="s">
        <v>48</v>
      </c>
      <c r="U466" s="3" t="s">
        <v>34</v>
      </c>
      <c r="V466" s="3" t="s">
        <v>35</v>
      </c>
      <c r="W466" s="3" t="s">
        <v>2025</v>
      </c>
      <c r="X466" s="3" t="s">
        <v>2026</v>
      </c>
      <c r="Y466" s="5">
        <v>525528</v>
      </c>
      <c r="Z466" s="5">
        <v>1</v>
      </c>
    </row>
    <row r="467" spans="1:26" ht="15.75" customHeight="1" x14ac:dyDescent="0.35">
      <c r="A467" s="2"/>
      <c r="B467" s="3" t="s">
        <v>1923</v>
      </c>
      <c r="C467" s="3" t="s">
        <v>59</v>
      </c>
      <c r="D467" s="3" t="s">
        <v>122</v>
      </c>
      <c r="E467" s="3" t="s">
        <v>2027</v>
      </c>
      <c r="F467" s="4" t="s">
        <v>2028</v>
      </c>
      <c r="G467" s="4" t="s">
        <v>2029</v>
      </c>
      <c r="H467" s="5">
        <v>1200000</v>
      </c>
      <c r="I467" s="5">
        <v>0</v>
      </c>
      <c r="J467" s="5">
        <v>1200000</v>
      </c>
      <c r="K467" s="5">
        <v>0</v>
      </c>
      <c r="L467" s="5">
        <v>0</v>
      </c>
      <c r="M467" s="5">
        <v>0</v>
      </c>
      <c r="N467" s="5">
        <v>1200000</v>
      </c>
      <c r="O467" s="5">
        <v>0</v>
      </c>
      <c r="P467" s="5">
        <v>0</v>
      </c>
      <c r="Q467" s="3" t="s">
        <v>34</v>
      </c>
      <c r="R467" s="3" t="s">
        <v>34</v>
      </c>
      <c r="S467" s="3" t="s">
        <v>2030</v>
      </c>
      <c r="T467" s="3" t="s">
        <v>41</v>
      </c>
      <c r="U467" s="3" t="s">
        <v>34</v>
      </c>
      <c r="V467" s="3" t="s">
        <v>35</v>
      </c>
      <c r="W467" s="3" t="s">
        <v>2031</v>
      </c>
      <c r="X467" s="3"/>
      <c r="Y467" s="5">
        <v>600000</v>
      </c>
      <c r="Z467" s="5">
        <v>2</v>
      </c>
    </row>
    <row r="468" spans="1:26" ht="15.75" customHeight="1" x14ac:dyDescent="0.35">
      <c r="A468" s="2"/>
      <c r="B468" s="3" t="s">
        <v>1695</v>
      </c>
      <c r="C468" s="3" t="s">
        <v>29</v>
      </c>
      <c r="D468" s="3" t="s">
        <v>110</v>
      </c>
      <c r="E468" s="3" t="s">
        <v>2032</v>
      </c>
      <c r="F468" s="4" t="s">
        <v>2033</v>
      </c>
      <c r="G468" s="4" t="s">
        <v>2029</v>
      </c>
      <c r="H468" s="5">
        <v>2084000</v>
      </c>
      <c r="I468" s="5">
        <v>0</v>
      </c>
      <c r="J468" s="5">
        <v>2084000</v>
      </c>
      <c r="K468" s="5">
        <v>0</v>
      </c>
      <c r="L468" s="5">
        <v>0</v>
      </c>
      <c r="M468" s="5">
        <v>0</v>
      </c>
      <c r="N468" s="5">
        <v>2084000</v>
      </c>
      <c r="O468" s="5">
        <v>0</v>
      </c>
      <c r="P468" s="5">
        <v>0</v>
      </c>
      <c r="Q468" s="3" t="s">
        <v>34</v>
      </c>
      <c r="R468" s="3" t="s">
        <v>34</v>
      </c>
      <c r="S468" s="3" t="s">
        <v>34</v>
      </c>
      <c r="T468" s="3" t="s">
        <v>34</v>
      </c>
      <c r="U468" s="3" t="s">
        <v>34</v>
      </c>
      <c r="V468" s="3" t="s">
        <v>35</v>
      </c>
      <c r="W468" s="3" t="s">
        <v>2034</v>
      </c>
      <c r="X468" s="3"/>
      <c r="Y468" s="5">
        <v>1042000</v>
      </c>
      <c r="Z468" s="5">
        <v>2</v>
      </c>
    </row>
    <row r="469" spans="1:26" ht="15.75" customHeight="1" x14ac:dyDescent="0.35">
      <c r="A469" s="2"/>
      <c r="B469" s="3" t="s">
        <v>1696</v>
      </c>
      <c r="C469" s="3" t="s">
        <v>59</v>
      </c>
      <c r="D469" s="3" t="s">
        <v>60</v>
      </c>
      <c r="E469" s="3" t="s">
        <v>2035</v>
      </c>
      <c r="F469" s="4" t="s">
        <v>2036</v>
      </c>
      <c r="G469" s="4" t="s">
        <v>2029</v>
      </c>
      <c r="H469" s="5">
        <v>600000</v>
      </c>
      <c r="I469" s="5">
        <v>0</v>
      </c>
      <c r="J469" s="5">
        <v>600000</v>
      </c>
      <c r="K469" s="5">
        <v>0</v>
      </c>
      <c r="L469" s="5">
        <v>600000</v>
      </c>
      <c r="M469" s="5">
        <v>0</v>
      </c>
      <c r="N469" s="5">
        <v>0</v>
      </c>
      <c r="O469" s="5">
        <v>0</v>
      </c>
      <c r="P469" s="5">
        <v>0</v>
      </c>
      <c r="Q469" s="3" t="s">
        <v>34</v>
      </c>
      <c r="R469" s="3" t="s">
        <v>34</v>
      </c>
      <c r="S469" s="3" t="s">
        <v>34</v>
      </c>
      <c r="T469" s="3" t="s">
        <v>41</v>
      </c>
      <c r="U469" s="3" t="s">
        <v>34</v>
      </c>
      <c r="V469" s="3" t="s">
        <v>35</v>
      </c>
      <c r="W469" s="3" t="s">
        <v>2037</v>
      </c>
      <c r="X469" s="3"/>
      <c r="Y469" s="5">
        <v>600000</v>
      </c>
      <c r="Z469" s="5">
        <v>1</v>
      </c>
    </row>
    <row r="470" spans="1:26" ht="15.75" customHeight="1" x14ac:dyDescent="0.35">
      <c r="A470" s="2"/>
      <c r="B470" s="3" t="s">
        <v>1631</v>
      </c>
      <c r="C470" s="3" t="s">
        <v>64</v>
      </c>
      <c r="D470" s="3" t="s">
        <v>76</v>
      </c>
      <c r="E470" s="3" t="s">
        <v>2038</v>
      </c>
      <c r="F470" s="4" t="s">
        <v>2039</v>
      </c>
      <c r="G470" s="4" t="s">
        <v>2040</v>
      </c>
      <c r="H470" s="5">
        <v>493920</v>
      </c>
      <c r="I470" s="5">
        <v>0</v>
      </c>
      <c r="J470" s="5">
        <v>493920</v>
      </c>
      <c r="K470" s="5">
        <v>0</v>
      </c>
      <c r="L470" s="5">
        <v>0</v>
      </c>
      <c r="M470" s="5">
        <v>0</v>
      </c>
      <c r="N470" s="5">
        <v>0</v>
      </c>
      <c r="O470" s="5">
        <v>493920</v>
      </c>
      <c r="P470" s="5">
        <v>0</v>
      </c>
      <c r="Q470" s="3" t="s">
        <v>2041</v>
      </c>
      <c r="R470" s="3" t="s">
        <v>34</v>
      </c>
      <c r="S470" s="3" t="s">
        <v>34</v>
      </c>
      <c r="T470" s="3" t="s">
        <v>48</v>
      </c>
      <c r="U470" s="3" t="s">
        <v>34</v>
      </c>
      <c r="V470" s="3" t="s">
        <v>35</v>
      </c>
      <c r="W470" s="3" t="s">
        <v>2042</v>
      </c>
      <c r="X470" s="3" t="s">
        <v>2043</v>
      </c>
      <c r="Y470" s="5">
        <v>493920</v>
      </c>
      <c r="Z470" s="5">
        <v>1</v>
      </c>
    </row>
    <row r="471" spans="1:26" ht="15.75" customHeight="1" x14ac:dyDescent="0.35">
      <c r="A471" s="2"/>
      <c r="B471" s="3" t="s">
        <v>1711</v>
      </c>
      <c r="C471" s="3" t="s">
        <v>64</v>
      </c>
      <c r="D471" s="3" t="s">
        <v>65</v>
      </c>
      <c r="E471" s="3" t="s">
        <v>2044</v>
      </c>
      <c r="F471" s="4" t="s">
        <v>2045</v>
      </c>
      <c r="G471" s="4" t="s">
        <v>2046</v>
      </c>
      <c r="H471" s="5">
        <v>350000</v>
      </c>
      <c r="I471" s="5">
        <v>0</v>
      </c>
      <c r="J471" s="5">
        <v>350000</v>
      </c>
      <c r="K471" s="5">
        <v>0</v>
      </c>
      <c r="L471" s="5">
        <v>350000</v>
      </c>
      <c r="M471" s="5">
        <v>0</v>
      </c>
      <c r="N471" s="5">
        <v>0</v>
      </c>
      <c r="O471" s="5">
        <v>0</v>
      </c>
      <c r="P471" s="5">
        <v>0</v>
      </c>
      <c r="Q471" s="3" t="s">
        <v>34</v>
      </c>
      <c r="R471" s="3" t="s">
        <v>34</v>
      </c>
      <c r="S471" s="3" t="s">
        <v>34</v>
      </c>
      <c r="T471" s="3" t="s">
        <v>41</v>
      </c>
      <c r="U471" s="3" t="s">
        <v>34</v>
      </c>
      <c r="V471" s="3" t="s">
        <v>35</v>
      </c>
      <c r="W471" s="3" t="s">
        <v>2047</v>
      </c>
      <c r="X471" s="3"/>
      <c r="Y471" s="5">
        <v>350000</v>
      </c>
      <c r="Z471" s="5">
        <v>1</v>
      </c>
    </row>
    <row r="472" spans="1:26" ht="15.75" customHeight="1" x14ac:dyDescent="0.35">
      <c r="A472" s="2"/>
      <c r="B472" s="3" t="s">
        <v>1702</v>
      </c>
      <c r="C472" s="3" t="s">
        <v>29</v>
      </c>
      <c r="D472" s="3" t="s">
        <v>110</v>
      </c>
      <c r="E472" s="3" t="s">
        <v>2032</v>
      </c>
      <c r="F472" s="4" t="s">
        <v>2048</v>
      </c>
      <c r="G472" s="4" t="s">
        <v>2046</v>
      </c>
      <c r="H472" s="5">
        <v>500000</v>
      </c>
      <c r="I472" s="5">
        <v>0</v>
      </c>
      <c r="J472" s="5">
        <v>500000</v>
      </c>
      <c r="K472" s="5">
        <v>0</v>
      </c>
      <c r="L472" s="5">
        <v>0</v>
      </c>
      <c r="M472" s="5">
        <v>0</v>
      </c>
      <c r="N472" s="5">
        <v>500000</v>
      </c>
      <c r="O472" s="5">
        <v>0</v>
      </c>
      <c r="P472" s="5">
        <v>0</v>
      </c>
      <c r="Q472" s="3" t="s">
        <v>34</v>
      </c>
      <c r="R472" s="3" t="s">
        <v>34</v>
      </c>
      <c r="S472" s="3" t="s">
        <v>34</v>
      </c>
      <c r="T472" s="3" t="s">
        <v>34</v>
      </c>
      <c r="U472" s="3" t="s">
        <v>34</v>
      </c>
      <c r="V472" s="3" t="s">
        <v>35</v>
      </c>
      <c r="W472" s="3" t="s">
        <v>2049</v>
      </c>
      <c r="X472" s="3"/>
      <c r="Y472" s="5">
        <v>500000</v>
      </c>
      <c r="Z472" s="5">
        <v>1</v>
      </c>
    </row>
    <row r="473" spans="1:26" ht="15.75" customHeight="1" x14ac:dyDescent="0.35">
      <c r="A473" s="2"/>
      <c r="B473" s="3" t="s">
        <v>1681</v>
      </c>
      <c r="C473" s="3" t="s">
        <v>64</v>
      </c>
      <c r="D473" s="3" t="s">
        <v>173</v>
      </c>
      <c r="E473" s="3" t="s">
        <v>2050</v>
      </c>
      <c r="F473" s="4" t="s">
        <v>2051</v>
      </c>
      <c r="G473" s="4" t="s">
        <v>2052</v>
      </c>
      <c r="H473" s="5">
        <v>549000</v>
      </c>
      <c r="I473" s="5">
        <v>0</v>
      </c>
      <c r="J473" s="5">
        <v>549000</v>
      </c>
      <c r="K473" s="5">
        <v>0</v>
      </c>
      <c r="L473" s="5">
        <v>549000</v>
      </c>
      <c r="M473" s="5">
        <v>0</v>
      </c>
      <c r="N473" s="5">
        <v>0</v>
      </c>
      <c r="O473" s="5">
        <v>0</v>
      </c>
      <c r="P473" s="5">
        <v>0</v>
      </c>
      <c r="Q473" s="3" t="s">
        <v>34</v>
      </c>
      <c r="R473" s="3" t="s">
        <v>34</v>
      </c>
      <c r="S473" s="3" t="s">
        <v>34</v>
      </c>
      <c r="T473" s="3" t="s">
        <v>41</v>
      </c>
      <c r="U473" s="3" t="s">
        <v>34</v>
      </c>
      <c r="V473" s="3" t="s">
        <v>35</v>
      </c>
      <c r="W473" s="3" t="s">
        <v>2053</v>
      </c>
      <c r="X473" s="3"/>
      <c r="Y473" s="5">
        <v>549000</v>
      </c>
      <c r="Z473" s="5">
        <v>1</v>
      </c>
    </row>
    <row r="474" spans="1:26" ht="15.75" customHeight="1" x14ac:dyDescent="0.35">
      <c r="A474" s="2"/>
      <c r="B474" s="3" t="s">
        <v>1557</v>
      </c>
      <c r="C474" s="3" t="s">
        <v>64</v>
      </c>
      <c r="D474" s="3" t="s">
        <v>89</v>
      </c>
      <c r="E474" s="3" t="s">
        <v>2054</v>
      </c>
      <c r="F474" s="4" t="s">
        <v>2028</v>
      </c>
      <c r="G474" s="4" t="s">
        <v>2055</v>
      </c>
      <c r="H474" s="5">
        <v>1847000</v>
      </c>
      <c r="I474" s="5">
        <v>0</v>
      </c>
      <c r="J474" s="5">
        <v>1847000</v>
      </c>
      <c r="K474" s="5">
        <v>0</v>
      </c>
      <c r="L474" s="5">
        <v>0</v>
      </c>
      <c r="M474" s="5">
        <v>0</v>
      </c>
      <c r="N474" s="5">
        <v>1847000</v>
      </c>
      <c r="O474" s="5">
        <v>0</v>
      </c>
      <c r="P474" s="5">
        <v>0</v>
      </c>
      <c r="Q474" s="3" t="s">
        <v>2056</v>
      </c>
      <c r="R474" s="3" t="s">
        <v>34</v>
      </c>
      <c r="S474" s="3" t="s">
        <v>2057</v>
      </c>
      <c r="T474" s="3" t="s">
        <v>41</v>
      </c>
      <c r="U474" s="3" t="s">
        <v>34</v>
      </c>
      <c r="V474" s="3" t="s">
        <v>35</v>
      </c>
      <c r="W474" s="3" t="s">
        <v>2058</v>
      </c>
      <c r="X474" s="3"/>
      <c r="Y474" s="5">
        <v>615666.6666</v>
      </c>
      <c r="Z474" s="5">
        <v>3</v>
      </c>
    </row>
    <row r="475" spans="1:26" ht="15.75" customHeight="1" x14ac:dyDescent="0.35">
      <c r="A475" s="2"/>
      <c r="B475" s="3" t="s">
        <v>1706</v>
      </c>
      <c r="C475" s="3" t="s">
        <v>64</v>
      </c>
      <c r="D475" s="3" t="s">
        <v>65</v>
      </c>
      <c r="E475" s="3" t="s">
        <v>2059</v>
      </c>
      <c r="F475" s="4" t="s">
        <v>2060</v>
      </c>
      <c r="G475" s="4" t="s">
        <v>2061</v>
      </c>
      <c r="H475" s="5">
        <v>444528</v>
      </c>
      <c r="I475" s="5">
        <v>0</v>
      </c>
      <c r="J475" s="5">
        <v>444528</v>
      </c>
      <c r="K475" s="5">
        <v>0</v>
      </c>
      <c r="L475" s="5">
        <v>0</v>
      </c>
      <c r="M475" s="5">
        <v>0</v>
      </c>
      <c r="N475" s="5">
        <v>0</v>
      </c>
      <c r="O475" s="5">
        <v>444528</v>
      </c>
      <c r="P475" s="5">
        <v>0</v>
      </c>
      <c r="Q475" s="3" t="s">
        <v>2062</v>
      </c>
      <c r="R475" s="3" t="s">
        <v>34</v>
      </c>
      <c r="S475" s="3" t="s">
        <v>34</v>
      </c>
      <c r="T475" s="3" t="s">
        <v>48</v>
      </c>
      <c r="U475" s="3" t="s">
        <v>34</v>
      </c>
      <c r="V475" s="3" t="s">
        <v>35</v>
      </c>
      <c r="W475" s="3" t="s">
        <v>2063</v>
      </c>
      <c r="X475" s="3" t="s">
        <v>2064</v>
      </c>
      <c r="Y475" s="5">
        <v>444528</v>
      </c>
      <c r="Z475" s="5">
        <v>1</v>
      </c>
    </row>
    <row r="476" spans="1:26" ht="15.75" customHeight="1" x14ac:dyDescent="0.35">
      <c r="A476" s="2"/>
      <c r="B476" s="3" t="s">
        <v>2065</v>
      </c>
      <c r="C476" s="3" t="s">
        <v>64</v>
      </c>
      <c r="D476" s="3" t="s">
        <v>76</v>
      </c>
      <c r="E476" s="3" t="s">
        <v>2066</v>
      </c>
      <c r="F476" s="4" t="s">
        <v>2067</v>
      </c>
      <c r="G476" s="4" t="s">
        <v>2068</v>
      </c>
      <c r="H476" s="5">
        <v>549000</v>
      </c>
      <c r="I476" s="5">
        <v>0</v>
      </c>
      <c r="J476" s="5">
        <v>549000</v>
      </c>
      <c r="K476" s="5">
        <v>0</v>
      </c>
      <c r="L476" s="5">
        <v>0</v>
      </c>
      <c r="M476" s="5">
        <v>0</v>
      </c>
      <c r="N476" s="5">
        <v>549000</v>
      </c>
      <c r="O476" s="5">
        <v>0</v>
      </c>
      <c r="P476" s="5">
        <v>0</v>
      </c>
      <c r="Q476" s="3" t="s">
        <v>2069</v>
      </c>
      <c r="R476" s="3" t="s">
        <v>2070</v>
      </c>
      <c r="S476" s="3" t="s">
        <v>2071</v>
      </c>
      <c r="T476" s="3" t="s">
        <v>41</v>
      </c>
      <c r="U476" s="3" t="s">
        <v>34</v>
      </c>
      <c r="V476" s="3" t="s">
        <v>35</v>
      </c>
      <c r="W476" s="3" t="s">
        <v>2072</v>
      </c>
      <c r="X476" s="3" t="s">
        <v>2073</v>
      </c>
      <c r="Y476" s="5">
        <v>549000</v>
      </c>
      <c r="Z476" s="5">
        <v>1</v>
      </c>
    </row>
    <row r="477" spans="1:26" ht="15.75" customHeight="1" x14ac:dyDescent="0.35">
      <c r="A477" s="2"/>
      <c r="B477" s="3" t="s">
        <v>950</v>
      </c>
      <c r="C477" s="3" t="s">
        <v>59</v>
      </c>
      <c r="D477" s="3" t="s">
        <v>193</v>
      </c>
      <c r="E477" s="3" t="s">
        <v>2074</v>
      </c>
      <c r="F477" s="4" t="s">
        <v>2075</v>
      </c>
      <c r="G477" s="4" t="s">
        <v>2076</v>
      </c>
      <c r="H477" s="5">
        <v>1051200</v>
      </c>
      <c r="I477" s="5">
        <v>0</v>
      </c>
      <c r="J477" s="5">
        <v>1051200</v>
      </c>
      <c r="K477" s="5">
        <v>0</v>
      </c>
      <c r="L477" s="5">
        <v>0</v>
      </c>
      <c r="M477" s="5">
        <v>0</v>
      </c>
      <c r="N477" s="5">
        <v>0</v>
      </c>
      <c r="O477" s="5">
        <v>1051200</v>
      </c>
      <c r="P477" s="5">
        <v>0</v>
      </c>
      <c r="Q477" s="3" t="s">
        <v>2077</v>
      </c>
      <c r="R477" s="3" t="s">
        <v>34</v>
      </c>
      <c r="S477" s="3" t="s">
        <v>34</v>
      </c>
      <c r="T477" s="3" t="s">
        <v>48</v>
      </c>
      <c r="U477" s="3" t="s">
        <v>34</v>
      </c>
      <c r="V477" s="3" t="s">
        <v>35</v>
      </c>
      <c r="W477" s="3" t="s">
        <v>1312</v>
      </c>
      <c r="X477" s="3" t="s">
        <v>2078</v>
      </c>
      <c r="Y477" s="5">
        <v>525600</v>
      </c>
      <c r="Z477" s="5">
        <v>2</v>
      </c>
    </row>
    <row r="478" spans="1:26" ht="15.75" customHeight="1" x14ac:dyDescent="0.35">
      <c r="A478" s="2"/>
      <c r="B478" s="3" t="s">
        <v>1719</v>
      </c>
      <c r="C478" s="3" t="s">
        <v>29</v>
      </c>
      <c r="D478" s="3" t="s">
        <v>37</v>
      </c>
      <c r="E478" s="3" t="s">
        <v>2079</v>
      </c>
      <c r="F478" s="4" t="s">
        <v>2080</v>
      </c>
      <c r="G478" s="4" t="s">
        <v>2081</v>
      </c>
      <c r="H478" s="5">
        <v>350000</v>
      </c>
      <c r="I478" s="5">
        <v>0</v>
      </c>
      <c r="J478" s="5">
        <v>350000</v>
      </c>
      <c r="K478" s="5">
        <v>0</v>
      </c>
      <c r="L478" s="5">
        <v>0</v>
      </c>
      <c r="M478" s="5">
        <v>0</v>
      </c>
      <c r="N478" s="5">
        <v>350000</v>
      </c>
      <c r="O478" s="5">
        <v>0</v>
      </c>
      <c r="P478" s="5">
        <v>0</v>
      </c>
      <c r="Q478" s="3"/>
      <c r="R478" s="3"/>
      <c r="S478" s="3"/>
      <c r="T478" s="3" t="s">
        <v>41</v>
      </c>
      <c r="U478" s="3" t="s">
        <v>34</v>
      </c>
      <c r="V478" s="3" t="s">
        <v>35</v>
      </c>
      <c r="W478" s="3" t="s">
        <v>2082</v>
      </c>
      <c r="X478" s="3"/>
      <c r="Y478" s="5">
        <v>350000</v>
      </c>
      <c r="Z478" s="5">
        <v>1</v>
      </c>
    </row>
    <row r="479" spans="1:26" ht="15.75" customHeight="1" x14ac:dyDescent="0.35">
      <c r="A479" s="2"/>
      <c r="B479" s="3" t="s">
        <v>1850</v>
      </c>
      <c r="C479" s="3" t="s">
        <v>29</v>
      </c>
      <c r="D479" s="3" t="s">
        <v>385</v>
      </c>
      <c r="E479" s="3" t="s">
        <v>226</v>
      </c>
      <c r="F479" s="4" t="s">
        <v>2083</v>
      </c>
      <c r="G479" s="4" t="s">
        <v>2081</v>
      </c>
      <c r="H479" s="5">
        <v>200000</v>
      </c>
      <c r="I479" s="5">
        <v>0</v>
      </c>
      <c r="J479" s="5">
        <v>200000</v>
      </c>
      <c r="K479" s="5">
        <v>0</v>
      </c>
      <c r="L479" s="5">
        <v>200000</v>
      </c>
      <c r="M479" s="5">
        <v>0</v>
      </c>
      <c r="N479" s="5">
        <v>0</v>
      </c>
      <c r="O479" s="5">
        <v>0</v>
      </c>
      <c r="P479" s="5">
        <v>0</v>
      </c>
      <c r="Q479" s="3"/>
      <c r="R479" s="3"/>
      <c r="S479" s="3"/>
      <c r="T479" s="3" t="s">
        <v>41</v>
      </c>
      <c r="U479" s="3" t="s">
        <v>34</v>
      </c>
      <c r="V479" s="3" t="s">
        <v>35</v>
      </c>
      <c r="W479" s="3" t="s">
        <v>2084</v>
      </c>
      <c r="X479" s="3"/>
      <c r="Y479" s="5">
        <v>200000</v>
      </c>
      <c r="Z479" s="5">
        <v>1</v>
      </c>
    </row>
    <row r="480" spans="1:26" ht="15.75" customHeight="1" x14ac:dyDescent="0.35">
      <c r="A480" s="2"/>
      <c r="B480" s="3" t="s">
        <v>1698</v>
      </c>
      <c r="C480" s="3" t="s">
        <v>64</v>
      </c>
      <c r="D480" s="3" t="s">
        <v>83</v>
      </c>
      <c r="E480" s="3" t="s">
        <v>2085</v>
      </c>
      <c r="F480" s="4" t="s">
        <v>2086</v>
      </c>
      <c r="G480" s="4" t="s">
        <v>2081</v>
      </c>
      <c r="H480" s="5">
        <v>1908504</v>
      </c>
      <c r="I480" s="5">
        <v>0</v>
      </c>
      <c r="J480" s="5">
        <v>1908504</v>
      </c>
      <c r="K480" s="5">
        <v>0</v>
      </c>
      <c r="L480" s="5">
        <v>0</v>
      </c>
      <c r="M480" s="5">
        <v>0</v>
      </c>
      <c r="N480" s="5">
        <v>0</v>
      </c>
      <c r="O480" s="5">
        <v>1908504</v>
      </c>
      <c r="P480" s="5">
        <v>0</v>
      </c>
      <c r="Q480" s="3" t="s">
        <v>738</v>
      </c>
      <c r="R480" s="3" t="s">
        <v>34</v>
      </c>
      <c r="S480" s="3" t="s">
        <v>34</v>
      </c>
      <c r="T480" s="3" t="s">
        <v>48</v>
      </c>
      <c r="U480" s="3" t="s">
        <v>34</v>
      </c>
      <c r="V480" s="3" t="s">
        <v>35</v>
      </c>
      <c r="W480" s="3" t="s">
        <v>2087</v>
      </c>
      <c r="X480" s="3" t="s">
        <v>2088</v>
      </c>
      <c r="Y480" s="5">
        <v>477126</v>
      </c>
      <c r="Z480" s="5">
        <v>4</v>
      </c>
    </row>
    <row r="481" spans="1:26" ht="15.75" customHeight="1" x14ac:dyDescent="0.35">
      <c r="A481" s="2"/>
      <c r="B481" s="3" t="s">
        <v>1799</v>
      </c>
      <c r="C481" s="3" t="s">
        <v>59</v>
      </c>
      <c r="D481" s="3" t="s">
        <v>122</v>
      </c>
      <c r="E481" s="3" t="s">
        <v>1127</v>
      </c>
      <c r="F481" s="4" t="s">
        <v>2089</v>
      </c>
      <c r="G481" s="4" t="s">
        <v>2090</v>
      </c>
      <c r="H481" s="5">
        <v>500000</v>
      </c>
      <c r="I481" s="5">
        <v>25000</v>
      </c>
      <c r="J481" s="5">
        <v>525000</v>
      </c>
      <c r="K481" s="5">
        <v>0</v>
      </c>
      <c r="L481" s="5">
        <v>25000</v>
      </c>
      <c r="M481" s="5">
        <v>0</v>
      </c>
      <c r="N481" s="5">
        <v>500000</v>
      </c>
      <c r="O481" s="5">
        <v>0</v>
      </c>
      <c r="P481" s="5">
        <v>0</v>
      </c>
      <c r="Q481" s="3" t="s">
        <v>34</v>
      </c>
      <c r="R481" s="3" t="s">
        <v>34</v>
      </c>
      <c r="S481" s="3" t="s">
        <v>34</v>
      </c>
      <c r="T481" s="3" t="s">
        <v>41</v>
      </c>
      <c r="U481" s="3" t="s">
        <v>34</v>
      </c>
      <c r="V481" s="3" t="s">
        <v>35</v>
      </c>
      <c r="W481" s="3" t="s">
        <v>2091</v>
      </c>
      <c r="X481" s="3"/>
      <c r="Y481" s="5">
        <v>500000</v>
      </c>
      <c r="Z481" s="5">
        <v>1</v>
      </c>
    </row>
    <row r="482" spans="1:26" ht="15.75" customHeight="1" x14ac:dyDescent="0.35">
      <c r="A482" s="2"/>
      <c r="B482" s="3" t="s">
        <v>1624</v>
      </c>
      <c r="C482" s="3" t="s">
        <v>64</v>
      </c>
      <c r="D482" s="3" t="s">
        <v>99</v>
      </c>
      <c r="E482" s="3" t="s">
        <v>2092</v>
      </c>
      <c r="F482" s="4" t="s">
        <v>2093</v>
      </c>
      <c r="G482" s="4" t="s">
        <v>2094</v>
      </c>
      <c r="H482" s="5">
        <v>2410560</v>
      </c>
      <c r="I482" s="5">
        <v>0</v>
      </c>
      <c r="J482" s="5">
        <v>2410560</v>
      </c>
      <c r="K482" s="5">
        <v>0</v>
      </c>
      <c r="L482" s="5">
        <v>0</v>
      </c>
      <c r="M482" s="5">
        <v>0</v>
      </c>
      <c r="N482" s="5">
        <v>0</v>
      </c>
      <c r="O482" s="5">
        <v>2410560</v>
      </c>
      <c r="P482" s="5">
        <v>0</v>
      </c>
      <c r="Q482" s="3" t="s">
        <v>2095</v>
      </c>
      <c r="R482" s="3" t="s">
        <v>2096</v>
      </c>
      <c r="S482" s="3" t="s">
        <v>34</v>
      </c>
      <c r="T482" s="3" t="s">
        <v>48</v>
      </c>
      <c r="U482" s="3" t="s">
        <v>34</v>
      </c>
      <c r="V482" s="3" t="s">
        <v>35</v>
      </c>
      <c r="W482" s="3" t="s">
        <v>2097</v>
      </c>
      <c r="X482" s="3" t="s">
        <v>2098</v>
      </c>
      <c r="Y482" s="5">
        <v>602640</v>
      </c>
      <c r="Z482" s="5">
        <v>4</v>
      </c>
    </row>
    <row r="483" spans="1:26" ht="15.75" customHeight="1" x14ac:dyDescent="0.35">
      <c r="A483" s="2"/>
      <c r="B483" s="3" t="s">
        <v>1895</v>
      </c>
      <c r="C483" s="3" t="s">
        <v>64</v>
      </c>
      <c r="D483" s="3" t="s">
        <v>76</v>
      </c>
      <c r="E483" s="3" t="s">
        <v>2099</v>
      </c>
      <c r="F483" s="4" t="s">
        <v>2100</v>
      </c>
      <c r="G483" s="4" t="s">
        <v>2101</v>
      </c>
      <c r="H483" s="5">
        <v>542376</v>
      </c>
      <c r="I483" s="5">
        <v>0</v>
      </c>
      <c r="J483" s="5">
        <v>542376</v>
      </c>
      <c r="K483" s="5">
        <v>0</v>
      </c>
      <c r="L483" s="5">
        <v>0</v>
      </c>
      <c r="M483" s="5">
        <v>0</v>
      </c>
      <c r="N483" s="5">
        <v>542376</v>
      </c>
      <c r="O483" s="5">
        <v>0</v>
      </c>
      <c r="P483" s="5">
        <v>0</v>
      </c>
      <c r="Q483" s="3" t="s">
        <v>2102</v>
      </c>
      <c r="R483" s="3" t="s">
        <v>2103</v>
      </c>
      <c r="S483" s="3" t="s">
        <v>34</v>
      </c>
      <c r="T483" s="3" t="s">
        <v>48</v>
      </c>
      <c r="U483" s="3" t="s">
        <v>34</v>
      </c>
      <c r="V483" s="3" t="s">
        <v>35</v>
      </c>
      <c r="W483" s="3" t="s">
        <v>2104</v>
      </c>
      <c r="X483" s="3" t="s">
        <v>2105</v>
      </c>
      <c r="Y483" s="5">
        <v>542376</v>
      </c>
      <c r="Z483" s="5">
        <v>1</v>
      </c>
    </row>
    <row r="484" spans="1:26" ht="15.75" customHeight="1" x14ac:dyDescent="0.35">
      <c r="A484" s="2"/>
      <c r="B484" s="3" t="s">
        <v>1791</v>
      </c>
      <c r="C484" s="3" t="s">
        <v>64</v>
      </c>
      <c r="D484" s="3" t="s">
        <v>83</v>
      </c>
      <c r="E484" s="3" t="s">
        <v>376</v>
      </c>
      <c r="F484" s="4" t="s">
        <v>2106</v>
      </c>
      <c r="G484" s="4" t="s">
        <v>2107</v>
      </c>
      <c r="H484" s="5">
        <v>500000</v>
      </c>
      <c r="I484" s="5">
        <v>0</v>
      </c>
      <c r="J484" s="5">
        <v>500000</v>
      </c>
      <c r="K484" s="5">
        <v>0</v>
      </c>
      <c r="L484" s="5">
        <v>500000</v>
      </c>
      <c r="M484" s="5">
        <v>0</v>
      </c>
      <c r="N484" s="5">
        <v>0</v>
      </c>
      <c r="O484" s="5">
        <v>0</v>
      </c>
      <c r="P484" s="5">
        <v>0</v>
      </c>
      <c r="Q484" s="3" t="s">
        <v>378</v>
      </c>
      <c r="R484" s="3" t="s">
        <v>34</v>
      </c>
      <c r="S484" s="3" t="s">
        <v>34</v>
      </c>
      <c r="T484" s="3" t="s">
        <v>41</v>
      </c>
      <c r="U484" s="3" t="s">
        <v>34</v>
      </c>
      <c r="V484" s="3" t="s">
        <v>35</v>
      </c>
      <c r="W484" s="3" t="s">
        <v>2108</v>
      </c>
      <c r="X484" s="3"/>
      <c r="Y484" s="5">
        <v>500000</v>
      </c>
      <c r="Z484" s="5">
        <v>1</v>
      </c>
    </row>
    <row r="485" spans="1:26" ht="15.75" customHeight="1" x14ac:dyDescent="0.35">
      <c r="A485" s="2"/>
      <c r="B485" s="3" t="s">
        <v>1713</v>
      </c>
      <c r="C485" s="3" t="s">
        <v>71</v>
      </c>
      <c r="D485" s="3" t="s">
        <v>72</v>
      </c>
      <c r="E485" s="3" t="s">
        <v>2109</v>
      </c>
      <c r="F485" s="4" t="s">
        <v>2110</v>
      </c>
      <c r="G485" s="4" t="s">
        <v>2111</v>
      </c>
      <c r="H485" s="5">
        <v>1740000</v>
      </c>
      <c r="I485" s="5">
        <v>0</v>
      </c>
      <c r="J485" s="5">
        <v>1740000</v>
      </c>
      <c r="K485" s="5">
        <v>0</v>
      </c>
      <c r="L485" s="5">
        <v>1740000</v>
      </c>
      <c r="M485" s="5">
        <v>0</v>
      </c>
      <c r="N485" s="5">
        <v>0</v>
      </c>
      <c r="O485" s="5">
        <v>0</v>
      </c>
      <c r="P485" s="5">
        <v>0</v>
      </c>
      <c r="Q485" s="3" t="s">
        <v>34</v>
      </c>
      <c r="R485" s="3" t="s">
        <v>34</v>
      </c>
      <c r="S485" s="3" t="s">
        <v>34</v>
      </c>
      <c r="T485" s="3" t="s">
        <v>41</v>
      </c>
      <c r="U485" s="3" t="s">
        <v>34</v>
      </c>
      <c r="V485" s="3" t="s">
        <v>35</v>
      </c>
      <c r="W485" s="3" t="s">
        <v>2112</v>
      </c>
      <c r="X485" s="3"/>
      <c r="Y485" s="5">
        <v>580000</v>
      </c>
      <c r="Z485" s="5">
        <v>3</v>
      </c>
    </row>
    <row r="486" spans="1:26" ht="15.75" customHeight="1" x14ac:dyDescent="0.35">
      <c r="A486" s="2"/>
      <c r="B486" s="3" t="s">
        <v>1678</v>
      </c>
      <c r="C486" s="3" t="s">
        <v>71</v>
      </c>
      <c r="D486" s="3" t="s">
        <v>95</v>
      </c>
      <c r="E486" s="3" t="s">
        <v>2113</v>
      </c>
      <c r="F486" s="4" t="s">
        <v>2089</v>
      </c>
      <c r="G486" s="4" t="s">
        <v>2114</v>
      </c>
      <c r="H486" s="5">
        <v>1000000</v>
      </c>
      <c r="I486" s="5">
        <v>0</v>
      </c>
      <c r="J486" s="5">
        <v>1000000</v>
      </c>
      <c r="K486" s="5">
        <v>0</v>
      </c>
      <c r="L486" s="5">
        <v>1000000</v>
      </c>
      <c r="M486" s="5">
        <v>0</v>
      </c>
      <c r="N486" s="5">
        <v>0</v>
      </c>
      <c r="O486" s="5">
        <v>0</v>
      </c>
      <c r="P486" s="5">
        <v>0</v>
      </c>
      <c r="Q486" s="3"/>
      <c r="R486" s="3"/>
      <c r="S486" s="3"/>
      <c r="T486" s="3" t="s">
        <v>41</v>
      </c>
      <c r="U486" s="3" t="s">
        <v>34</v>
      </c>
      <c r="V486" s="3" t="s">
        <v>35</v>
      </c>
      <c r="W486" s="3" t="s">
        <v>2115</v>
      </c>
      <c r="X486" s="3"/>
      <c r="Y486" s="5">
        <v>500000</v>
      </c>
      <c r="Z486" s="5">
        <v>2</v>
      </c>
    </row>
    <row r="487" spans="1:26" ht="15.75" customHeight="1" x14ac:dyDescent="0.35">
      <c r="A487" s="2"/>
      <c r="B487" s="3" t="s">
        <v>1732</v>
      </c>
      <c r="C487" s="3" t="s">
        <v>64</v>
      </c>
      <c r="D487" s="3" t="s">
        <v>173</v>
      </c>
      <c r="E487" s="3" t="s">
        <v>2116</v>
      </c>
      <c r="F487" s="4" t="s">
        <v>2117</v>
      </c>
      <c r="G487" s="4" t="s">
        <v>2118</v>
      </c>
      <c r="H487" s="5">
        <v>444528</v>
      </c>
      <c r="I487" s="5">
        <v>0</v>
      </c>
      <c r="J487" s="5">
        <v>444528</v>
      </c>
      <c r="K487" s="5">
        <v>0</v>
      </c>
      <c r="L487" s="5">
        <v>0</v>
      </c>
      <c r="M487" s="5">
        <v>0</v>
      </c>
      <c r="N487" s="5">
        <v>0</v>
      </c>
      <c r="O487" s="5">
        <v>444528</v>
      </c>
      <c r="P487" s="5">
        <v>0</v>
      </c>
      <c r="Q487" s="3" t="s">
        <v>2119</v>
      </c>
      <c r="R487" s="3" t="s">
        <v>34</v>
      </c>
      <c r="S487" s="3" t="s">
        <v>2120</v>
      </c>
      <c r="T487" s="3" t="s">
        <v>48</v>
      </c>
      <c r="U487" s="3" t="s">
        <v>34</v>
      </c>
      <c r="V487" s="3" t="s">
        <v>35</v>
      </c>
      <c r="W487" s="3" t="s">
        <v>2121</v>
      </c>
      <c r="X487" s="3" t="s">
        <v>2122</v>
      </c>
      <c r="Y487" s="5">
        <v>444528</v>
      </c>
      <c r="Z487" s="5">
        <v>1</v>
      </c>
    </row>
    <row r="488" spans="1:26" ht="15.75" customHeight="1" x14ac:dyDescent="0.35">
      <c r="A488" s="2"/>
      <c r="B488" s="3" t="s">
        <v>981</v>
      </c>
      <c r="C488" s="3" t="s">
        <v>64</v>
      </c>
      <c r="D488" s="3" t="s">
        <v>65</v>
      </c>
      <c r="E488" s="3" t="s">
        <v>2123</v>
      </c>
      <c r="F488" s="4" t="s">
        <v>2124</v>
      </c>
      <c r="G488" s="4" t="s">
        <v>2125</v>
      </c>
      <c r="H488" s="5">
        <v>583920</v>
      </c>
      <c r="I488" s="5">
        <v>0</v>
      </c>
      <c r="J488" s="5">
        <v>583920</v>
      </c>
      <c r="K488" s="5">
        <v>0</v>
      </c>
      <c r="L488" s="5">
        <v>0</v>
      </c>
      <c r="M488" s="5">
        <v>0</v>
      </c>
      <c r="N488" s="5">
        <v>0</v>
      </c>
      <c r="O488" s="5">
        <v>583920</v>
      </c>
      <c r="P488" s="5">
        <v>0</v>
      </c>
      <c r="Q488" s="3" t="s">
        <v>2126</v>
      </c>
      <c r="R488" s="3" t="s">
        <v>34</v>
      </c>
      <c r="S488" s="3" t="s">
        <v>34</v>
      </c>
      <c r="T488" s="3" t="s">
        <v>48</v>
      </c>
      <c r="U488" s="3" t="s">
        <v>34</v>
      </c>
      <c r="V488" s="3" t="s">
        <v>35</v>
      </c>
      <c r="W488" s="3" t="s">
        <v>2127</v>
      </c>
      <c r="X488" s="3" t="s">
        <v>2128</v>
      </c>
      <c r="Y488" s="5">
        <v>583920</v>
      </c>
      <c r="Z488" s="5">
        <v>1</v>
      </c>
    </row>
    <row r="489" spans="1:26" ht="15.75" customHeight="1" x14ac:dyDescent="0.35">
      <c r="A489" s="2"/>
      <c r="B489" s="3" t="s">
        <v>1675</v>
      </c>
      <c r="C489" s="3" t="s">
        <v>29</v>
      </c>
      <c r="D489" s="3" t="s">
        <v>37</v>
      </c>
      <c r="E489" s="3" t="s">
        <v>2129</v>
      </c>
      <c r="F489" s="4" t="s">
        <v>2130</v>
      </c>
      <c r="G489" s="4" t="s">
        <v>2131</v>
      </c>
      <c r="H489" s="5">
        <v>1271548</v>
      </c>
      <c r="I489" s="5">
        <v>0</v>
      </c>
      <c r="J489" s="5">
        <v>1271548</v>
      </c>
      <c r="K489" s="5">
        <v>0</v>
      </c>
      <c r="L489" s="5">
        <v>0</v>
      </c>
      <c r="M489" s="5">
        <v>0</v>
      </c>
      <c r="N489" s="5">
        <v>0</v>
      </c>
      <c r="O489" s="5">
        <v>1271548</v>
      </c>
      <c r="P489" s="5">
        <v>0</v>
      </c>
      <c r="Q489" s="3" t="s">
        <v>2132</v>
      </c>
      <c r="R489" s="3" t="s">
        <v>2133</v>
      </c>
      <c r="S489" s="3" t="s">
        <v>34</v>
      </c>
      <c r="T489" s="3" t="s">
        <v>48</v>
      </c>
      <c r="U489" s="3" t="s">
        <v>34</v>
      </c>
      <c r="V489" s="3" t="s">
        <v>35</v>
      </c>
      <c r="W489" s="3" t="s">
        <v>2134</v>
      </c>
      <c r="X489" s="3" t="s">
        <v>2135</v>
      </c>
      <c r="Y489" s="5">
        <v>635774</v>
      </c>
      <c r="Z489" s="5">
        <v>2</v>
      </c>
    </row>
    <row r="490" spans="1:26" ht="15.75" customHeight="1" x14ac:dyDescent="0.35">
      <c r="A490" s="2"/>
      <c r="B490" s="3" t="s">
        <v>1753</v>
      </c>
      <c r="C490" s="3" t="s">
        <v>71</v>
      </c>
      <c r="D490" s="3" t="s">
        <v>95</v>
      </c>
      <c r="E490" s="3" t="s">
        <v>1537</v>
      </c>
      <c r="F490" s="4" t="s">
        <v>2136</v>
      </c>
      <c r="G490" s="4" t="s">
        <v>2137</v>
      </c>
      <c r="H490" s="5">
        <v>550000</v>
      </c>
      <c r="I490" s="5">
        <v>27500</v>
      </c>
      <c r="J490" s="5">
        <v>577500</v>
      </c>
      <c r="K490" s="5">
        <v>0</v>
      </c>
      <c r="L490" s="5">
        <v>0</v>
      </c>
      <c r="M490" s="5">
        <v>0</v>
      </c>
      <c r="N490" s="5">
        <v>0</v>
      </c>
      <c r="O490" s="5">
        <v>577500</v>
      </c>
      <c r="P490" s="5">
        <v>0</v>
      </c>
      <c r="Q490" s="3" t="s">
        <v>34</v>
      </c>
      <c r="R490" s="3" t="s">
        <v>34</v>
      </c>
      <c r="S490" s="3" t="s">
        <v>1540</v>
      </c>
      <c r="T490" s="3" t="s">
        <v>41</v>
      </c>
      <c r="U490" s="3" t="s">
        <v>34</v>
      </c>
      <c r="V490" s="3" t="s">
        <v>35</v>
      </c>
      <c r="W490" s="3" t="s">
        <v>2138</v>
      </c>
      <c r="X490" s="3"/>
      <c r="Y490" s="5">
        <v>550000</v>
      </c>
      <c r="Z490" s="5">
        <v>1</v>
      </c>
    </row>
    <row r="491" spans="1:26" ht="15.75" customHeight="1" x14ac:dyDescent="0.35">
      <c r="A491" s="2"/>
      <c r="B491" s="3" t="s">
        <v>1744</v>
      </c>
      <c r="C491" s="3" t="s">
        <v>64</v>
      </c>
      <c r="D491" s="3" t="s">
        <v>173</v>
      </c>
      <c r="E491" s="3" t="s">
        <v>2116</v>
      </c>
      <c r="F491" s="4" t="s">
        <v>2139</v>
      </c>
      <c r="G491" s="4" t="s">
        <v>2140</v>
      </c>
      <c r="H491" s="5">
        <v>550000</v>
      </c>
      <c r="I491" s="5">
        <v>0</v>
      </c>
      <c r="J491" s="5">
        <v>550000</v>
      </c>
      <c r="K491" s="5">
        <v>0</v>
      </c>
      <c r="L491" s="5">
        <v>0</v>
      </c>
      <c r="M491" s="5">
        <v>0</v>
      </c>
      <c r="N491" s="5">
        <v>0</v>
      </c>
      <c r="O491" s="5">
        <v>550000</v>
      </c>
      <c r="P491" s="5">
        <v>0</v>
      </c>
      <c r="Q491" s="3" t="s">
        <v>2119</v>
      </c>
      <c r="R491" s="3" t="s">
        <v>34</v>
      </c>
      <c r="S491" s="3" t="s">
        <v>2120</v>
      </c>
      <c r="T491" s="3" t="s">
        <v>41</v>
      </c>
      <c r="U491" s="3" t="s">
        <v>34</v>
      </c>
      <c r="V491" s="3" t="s">
        <v>35</v>
      </c>
      <c r="W491" s="3" t="s">
        <v>2141</v>
      </c>
      <c r="X491" s="3"/>
      <c r="Y491" s="5">
        <v>550000</v>
      </c>
      <c r="Z491" s="5">
        <v>1</v>
      </c>
    </row>
    <row r="492" spans="1:26" ht="15.75" customHeight="1" x14ac:dyDescent="0.35">
      <c r="A492" s="2"/>
      <c r="B492" s="3" t="s">
        <v>1747</v>
      </c>
      <c r="C492" s="3" t="s">
        <v>29</v>
      </c>
      <c r="D492" s="3" t="s">
        <v>110</v>
      </c>
      <c r="E492" s="3" t="s">
        <v>2142</v>
      </c>
      <c r="F492" s="4" t="s">
        <v>2143</v>
      </c>
      <c r="G492" s="4" t="s">
        <v>2144</v>
      </c>
      <c r="H492" s="5">
        <v>500000</v>
      </c>
      <c r="I492" s="5">
        <v>0</v>
      </c>
      <c r="J492" s="5">
        <v>500000</v>
      </c>
      <c r="K492" s="5">
        <v>0</v>
      </c>
      <c r="L492" s="5">
        <v>0</v>
      </c>
      <c r="M492" s="5">
        <v>0</v>
      </c>
      <c r="N492" s="5">
        <v>500000</v>
      </c>
      <c r="O492" s="5">
        <v>0</v>
      </c>
      <c r="P492" s="5">
        <v>0</v>
      </c>
      <c r="Q492" s="3" t="s">
        <v>2145</v>
      </c>
      <c r="R492" s="3"/>
      <c r="S492" s="3"/>
      <c r="T492" s="3" t="s">
        <v>41</v>
      </c>
      <c r="U492" s="3" t="s">
        <v>34</v>
      </c>
      <c r="V492" s="3" t="s">
        <v>35</v>
      </c>
      <c r="W492" s="3" t="s">
        <v>2146</v>
      </c>
      <c r="X492" s="3"/>
      <c r="Y492" s="5">
        <v>500000</v>
      </c>
      <c r="Z492" s="5">
        <v>1</v>
      </c>
    </row>
    <row r="493" spans="1:26" ht="15.75" customHeight="1" x14ac:dyDescent="0.35">
      <c r="A493" s="2"/>
      <c r="B493" s="3" t="s">
        <v>1738</v>
      </c>
      <c r="C493" s="3" t="s">
        <v>64</v>
      </c>
      <c r="D493" s="3" t="s">
        <v>65</v>
      </c>
      <c r="E493" s="3" t="s">
        <v>2147</v>
      </c>
      <c r="F493" s="4" t="s">
        <v>2148</v>
      </c>
      <c r="G493" s="4" t="s">
        <v>2149</v>
      </c>
      <c r="H493" s="5">
        <v>350000</v>
      </c>
      <c r="I493" s="5">
        <v>0</v>
      </c>
      <c r="J493" s="5">
        <v>350000</v>
      </c>
      <c r="K493" s="5">
        <v>0</v>
      </c>
      <c r="L493" s="5">
        <v>350000</v>
      </c>
      <c r="M493" s="5">
        <v>0</v>
      </c>
      <c r="N493" s="5">
        <v>0</v>
      </c>
      <c r="O493" s="5">
        <v>0</v>
      </c>
      <c r="P493" s="5">
        <v>0</v>
      </c>
      <c r="Q493" s="3"/>
      <c r="R493" s="3"/>
      <c r="S493" s="3"/>
      <c r="T493" s="3" t="s">
        <v>41</v>
      </c>
      <c r="U493" s="3" t="s">
        <v>34</v>
      </c>
      <c r="V493" s="3" t="s">
        <v>35</v>
      </c>
      <c r="W493" s="3" t="s">
        <v>2150</v>
      </c>
      <c r="X493" s="3"/>
      <c r="Y493" s="5">
        <v>350000</v>
      </c>
      <c r="Z493" s="5">
        <v>1</v>
      </c>
    </row>
    <row r="494" spans="1:26" ht="15.75" customHeight="1" x14ac:dyDescent="0.35">
      <c r="A494" s="2"/>
      <c r="B494" s="3" t="s">
        <v>1671</v>
      </c>
      <c r="C494" s="3" t="s">
        <v>64</v>
      </c>
      <c r="D494" s="3" t="s">
        <v>76</v>
      </c>
      <c r="E494" s="3" t="s">
        <v>100</v>
      </c>
      <c r="F494" s="4" t="s">
        <v>2151</v>
      </c>
      <c r="G494" s="4" t="s">
        <v>2152</v>
      </c>
      <c r="H494" s="5">
        <v>1100000</v>
      </c>
      <c r="I494" s="5">
        <v>0</v>
      </c>
      <c r="J494" s="5">
        <v>1100000</v>
      </c>
      <c r="K494" s="5">
        <v>0</v>
      </c>
      <c r="L494" s="5">
        <v>0</v>
      </c>
      <c r="M494" s="5">
        <v>0</v>
      </c>
      <c r="N494" s="5">
        <v>1100000</v>
      </c>
      <c r="O494" s="5">
        <v>0</v>
      </c>
      <c r="P494" s="5">
        <v>0</v>
      </c>
      <c r="Q494" s="3" t="s">
        <v>34</v>
      </c>
      <c r="R494" s="3" t="s">
        <v>34</v>
      </c>
      <c r="S494" s="3" t="s">
        <v>34</v>
      </c>
      <c r="T494" s="3" t="s">
        <v>41</v>
      </c>
      <c r="U494" s="3" t="s">
        <v>34</v>
      </c>
      <c r="V494" s="3" t="s">
        <v>35</v>
      </c>
      <c r="W494" s="3" t="s">
        <v>2153</v>
      </c>
      <c r="X494" s="3"/>
      <c r="Y494" s="5">
        <v>550000</v>
      </c>
      <c r="Z494" s="5">
        <v>2</v>
      </c>
    </row>
    <row r="495" spans="1:26" ht="15.75" customHeight="1" x14ac:dyDescent="0.35">
      <c r="A495" s="2"/>
      <c r="B495" s="3" t="s">
        <v>1773</v>
      </c>
      <c r="C495" s="3" t="s">
        <v>59</v>
      </c>
      <c r="D495" s="3" t="s">
        <v>60</v>
      </c>
      <c r="E495" s="3" t="s">
        <v>2154</v>
      </c>
      <c r="F495" s="4" t="s">
        <v>2155</v>
      </c>
      <c r="G495" s="4" t="s">
        <v>2156</v>
      </c>
      <c r="H495" s="5">
        <v>749000</v>
      </c>
      <c r="I495" s="5">
        <v>0</v>
      </c>
      <c r="J495" s="5">
        <v>749000</v>
      </c>
      <c r="K495" s="5">
        <v>0</v>
      </c>
      <c r="L495" s="5">
        <v>249000</v>
      </c>
      <c r="M495" s="5">
        <v>0</v>
      </c>
      <c r="N495" s="5">
        <v>500000</v>
      </c>
      <c r="O495" s="5">
        <v>0</v>
      </c>
      <c r="P495" s="5">
        <v>0</v>
      </c>
      <c r="Q495" s="3" t="s">
        <v>34</v>
      </c>
      <c r="R495" s="3" t="s">
        <v>34</v>
      </c>
      <c r="S495" s="3" t="s">
        <v>34</v>
      </c>
      <c r="T495" s="3" t="s">
        <v>34</v>
      </c>
      <c r="U495" s="3" t="s">
        <v>34</v>
      </c>
      <c r="V495" s="3" t="s">
        <v>35</v>
      </c>
      <c r="W495" s="3" t="s">
        <v>2157</v>
      </c>
      <c r="X495" s="3"/>
      <c r="Y495" s="5">
        <v>749000</v>
      </c>
      <c r="Z495" s="5">
        <v>1</v>
      </c>
    </row>
    <row r="496" spans="1:26" ht="15.75" customHeight="1" x14ac:dyDescent="0.35">
      <c r="A496" s="2"/>
      <c r="B496" s="3" t="s">
        <v>1785</v>
      </c>
      <c r="C496" s="3" t="s">
        <v>59</v>
      </c>
      <c r="D496" s="3" t="s">
        <v>182</v>
      </c>
      <c r="E496" s="3" t="s">
        <v>2158</v>
      </c>
      <c r="F496" s="4" t="s">
        <v>2159</v>
      </c>
      <c r="G496" s="4" t="s">
        <v>2160</v>
      </c>
      <c r="H496" s="5">
        <v>1980000</v>
      </c>
      <c r="I496" s="5">
        <v>0</v>
      </c>
      <c r="J496" s="5">
        <v>1980000</v>
      </c>
      <c r="K496" s="5">
        <v>0</v>
      </c>
      <c r="L496" s="5">
        <v>1980000</v>
      </c>
      <c r="M496" s="5">
        <v>0</v>
      </c>
      <c r="N496" s="5">
        <v>0</v>
      </c>
      <c r="O496" s="5">
        <v>0</v>
      </c>
      <c r="P496" s="5">
        <v>0</v>
      </c>
      <c r="Q496" s="3" t="s">
        <v>2161</v>
      </c>
      <c r="R496" s="3" t="s">
        <v>34</v>
      </c>
      <c r="S496" s="3" t="s">
        <v>34</v>
      </c>
      <c r="T496" s="3" t="s">
        <v>41</v>
      </c>
      <c r="U496" s="3" t="s">
        <v>34</v>
      </c>
      <c r="V496" s="3" t="s">
        <v>35</v>
      </c>
      <c r="W496" s="3" t="s">
        <v>2162</v>
      </c>
      <c r="X496" s="3"/>
      <c r="Y496" s="5">
        <v>495000</v>
      </c>
      <c r="Z496" s="5">
        <v>4</v>
      </c>
    </row>
    <row r="497" spans="1:26" ht="15.75" customHeight="1" x14ac:dyDescent="0.35">
      <c r="A497" s="2"/>
      <c r="B497" s="3" t="s">
        <v>2163</v>
      </c>
      <c r="C497" s="3" t="s">
        <v>64</v>
      </c>
      <c r="D497" s="3" t="s">
        <v>83</v>
      </c>
      <c r="E497" s="3" t="s">
        <v>2164</v>
      </c>
      <c r="F497" s="4" t="s">
        <v>2165</v>
      </c>
      <c r="G497" s="4" t="s">
        <v>2166</v>
      </c>
      <c r="H497" s="5">
        <v>1500000</v>
      </c>
      <c r="I497" s="5">
        <v>0</v>
      </c>
      <c r="J497" s="5">
        <v>1500000</v>
      </c>
      <c r="K497" s="5">
        <v>0</v>
      </c>
      <c r="L497" s="5">
        <v>1000000</v>
      </c>
      <c r="M497" s="5">
        <v>0</v>
      </c>
      <c r="N497" s="5">
        <v>500000</v>
      </c>
      <c r="O497" s="5">
        <v>0</v>
      </c>
      <c r="P497" s="5">
        <v>0</v>
      </c>
      <c r="Q497" s="3"/>
      <c r="R497" s="3"/>
      <c r="S497" s="3"/>
      <c r="T497" s="3" t="s">
        <v>41</v>
      </c>
      <c r="U497" s="3" t="s">
        <v>34</v>
      </c>
      <c r="V497" s="3" t="s">
        <v>35</v>
      </c>
      <c r="W497" s="3" t="s">
        <v>2167</v>
      </c>
      <c r="X497" s="3"/>
      <c r="Y497" s="5">
        <v>500000</v>
      </c>
      <c r="Z497" s="5">
        <v>3</v>
      </c>
    </row>
    <row r="498" spans="1:26" ht="15.75" customHeight="1" x14ac:dyDescent="0.35">
      <c r="A498" s="2"/>
      <c r="B498" s="3" t="s">
        <v>2168</v>
      </c>
      <c r="C498" s="3" t="s">
        <v>64</v>
      </c>
      <c r="D498" s="3" t="s">
        <v>65</v>
      </c>
      <c r="E498" s="3" t="s">
        <v>2169</v>
      </c>
      <c r="F498" s="4" t="s">
        <v>2170</v>
      </c>
      <c r="G498" s="4" t="s">
        <v>2171</v>
      </c>
      <c r="H498" s="5">
        <v>495000</v>
      </c>
      <c r="I498" s="5">
        <v>0</v>
      </c>
      <c r="J498" s="5">
        <v>495000</v>
      </c>
      <c r="K498" s="5">
        <v>0</v>
      </c>
      <c r="L498" s="5">
        <v>495000</v>
      </c>
      <c r="M498" s="5">
        <v>0</v>
      </c>
      <c r="N498" s="5">
        <v>0</v>
      </c>
      <c r="O498" s="5">
        <v>0</v>
      </c>
      <c r="P498" s="5">
        <v>0</v>
      </c>
      <c r="Q498" s="3" t="s">
        <v>2172</v>
      </c>
      <c r="R498" s="3" t="s">
        <v>34</v>
      </c>
      <c r="S498" s="3" t="s">
        <v>34</v>
      </c>
      <c r="T498" s="3" t="s">
        <v>41</v>
      </c>
      <c r="U498" s="3" t="s">
        <v>34</v>
      </c>
      <c r="V498" s="3" t="s">
        <v>35</v>
      </c>
      <c r="W498" s="3" t="s">
        <v>2173</v>
      </c>
      <c r="X498" s="3"/>
      <c r="Y498" s="5">
        <v>495000</v>
      </c>
      <c r="Z498" s="5">
        <v>1</v>
      </c>
    </row>
    <row r="499" spans="1:26" ht="15.75" customHeight="1" x14ac:dyDescent="0.35">
      <c r="A499" s="2"/>
      <c r="B499" s="3" t="s">
        <v>1820</v>
      </c>
      <c r="C499" s="3" t="s">
        <v>29</v>
      </c>
      <c r="D499" s="3" t="s">
        <v>30</v>
      </c>
      <c r="E499" s="3" t="s">
        <v>2174</v>
      </c>
      <c r="F499" s="4" t="s">
        <v>2175</v>
      </c>
      <c r="G499" s="4" t="s">
        <v>2176</v>
      </c>
      <c r="H499" s="5">
        <v>602223</v>
      </c>
      <c r="I499" s="5">
        <v>0</v>
      </c>
      <c r="J499" s="5">
        <v>602223</v>
      </c>
      <c r="K499" s="5">
        <v>0</v>
      </c>
      <c r="L499" s="5">
        <v>0</v>
      </c>
      <c r="M499" s="5">
        <v>0</v>
      </c>
      <c r="N499" s="5">
        <v>0</v>
      </c>
      <c r="O499" s="5">
        <v>602223</v>
      </c>
      <c r="P499" s="5">
        <v>0</v>
      </c>
      <c r="Q499" s="3" t="s">
        <v>2132</v>
      </c>
      <c r="R499" s="3" t="s">
        <v>2177</v>
      </c>
      <c r="S499" s="3" t="s">
        <v>34</v>
      </c>
      <c r="T499" s="3" t="s">
        <v>48</v>
      </c>
      <c r="U499" s="3" t="s">
        <v>34</v>
      </c>
      <c r="V499" s="3" t="s">
        <v>35</v>
      </c>
      <c r="W499" s="3" t="s">
        <v>2178</v>
      </c>
      <c r="X499" s="3" t="s">
        <v>2179</v>
      </c>
      <c r="Y499" s="5">
        <v>602223</v>
      </c>
      <c r="Z499" s="5">
        <v>1</v>
      </c>
    </row>
    <row r="500" spans="1:26" ht="15.75" customHeight="1" x14ac:dyDescent="0.35">
      <c r="A500" s="2"/>
      <c r="B500" s="3" t="s">
        <v>1779</v>
      </c>
      <c r="C500" s="3" t="s">
        <v>64</v>
      </c>
      <c r="D500" s="3" t="s">
        <v>76</v>
      </c>
      <c r="E500" s="3" t="s">
        <v>2180</v>
      </c>
      <c r="F500" s="4" t="s">
        <v>2181</v>
      </c>
      <c r="G500" s="4" t="s">
        <v>2182</v>
      </c>
      <c r="H500" s="5">
        <v>495000</v>
      </c>
      <c r="I500" s="5">
        <v>20000</v>
      </c>
      <c r="J500" s="5">
        <v>515000</v>
      </c>
      <c r="K500" s="5">
        <v>0</v>
      </c>
      <c r="L500" s="5">
        <v>215000</v>
      </c>
      <c r="M500" s="5">
        <v>0</v>
      </c>
      <c r="N500" s="5">
        <v>300000</v>
      </c>
      <c r="O500" s="5">
        <v>0</v>
      </c>
      <c r="P500" s="5">
        <v>0</v>
      </c>
      <c r="Q500" s="3" t="s">
        <v>2183</v>
      </c>
      <c r="R500" s="3"/>
      <c r="S500" s="3"/>
      <c r="T500" s="3" t="s">
        <v>41</v>
      </c>
      <c r="U500" s="3" t="s">
        <v>34</v>
      </c>
      <c r="V500" s="3" t="s">
        <v>35</v>
      </c>
      <c r="W500" s="3" t="s">
        <v>2184</v>
      </c>
      <c r="X500" s="3"/>
      <c r="Y500" s="5">
        <v>495000</v>
      </c>
      <c r="Z500" s="5">
        <v>1</v>
      </c>
    </row>
    <row r="501" spans="1:26" ht="15.75" customHeight="1" x14ac:dyDescent="0.35">
      <c r="A501" s="2"/>
      <c r="B501" s="3" t="s">
        <v>1779</v>
      </c>
      <c r="C501" s="3" t="s">
        <v>59</v>
      </c>
      <c r="D501" s="3" t="s">
        <v>60</v>
      </c>
      <c r="E501" s="3" t="s">
        <v>226</v>
      </c>
      <c r="F501" s="4" t="s">
        <v>2181</v>
      </c>
      <c r="G501" s="4" t="s">
        <v>2182</v>
      </c>
      <c r="H501" s="5">
        <v>495000</v>
      </c>
      <c r="I501" s="5">
        <v>0</v>
      </c>
      <c r="J501" s="5">
        <v>495000</v>
      </c>
      <c r="K501" s="5">
        <v>0</v>
      </c>
      <c r="L501" s="5">
        <v>495000</v>
      </c>
      <c r="M501" s="5">
        <v>0</v>
      </c>
      <c r="N501" s="5">
        <v>0</v>
      </c>
      <c r="O501" s="5">
        <v>0</v>
      </c>
      <c r="P501" s="5">
        <v>0</v>
      </c>
      <c r="Q501" s="3"/>
      <c r="R501" s="3"/>
      <c r="S501" s="3"/>
      <c r="T501" s="3" t="s">
        <v>41</v>
      </c>
      <c r="U501" s="3" t="s">
        <v>34</v>
      </c>
      <c r="V501" s="3" t="s">
        <v>35</v>
      </c>
      <c r="W501" s="3" t="s">
        <v>2185</v>
      </c>
      <c r="X501" s="3"/>
      <c r="Y501" s="5">
        <v>495000</v>
      </c>
      <c r="Z501" s="5">
        <v>1</v>
      </c>
    </row>
    <row r="502" spans="1:26" ht="15.75" customHeight="1" x14ac:dyDescent="0.35">
      <c r="A502" s="2"/>
      <c r="B502" s="3" t="s">
        <v>1761</v>
      </c>
      <c r="C502" s="3" t="s">
        <v>71</v>
      </c>
      <c r="D502" s="3" t="s">
        <v>95</v>
      </c>
      <c r="E502" s="3" t="s">
        <v>2186</v>
      </c>
      <c r="F502" s="4" t="s">
        <v>2187</v>
      </c>
      <c r="G502" s="4" t="s">
        <v>2188</v>
      </c>
      <c r="H502" s="5">
        <v>1300000</v>
      </c>
      <c r="I502" s="5">
        <v>60000</v>
      </c>
      <c r="J502" s="5">
        <v>1360000</v>
      </c>
      <c r="K502" s="5">
        <v>0</v>
      </c>
      <c r="L502" s="5">
        <v>1360000</v>
      </c>
      <c r="M502" s="5">
        <v>0</v>
      </c>
      <c r="N502" s="5">
        <v>0</v>
      </c>
      <c r="O502" s="5">
        <v>0</v>
      </c>
      <c r="P502" s="5">
        <v>0</v>
      </c>
      <c r="Q502" s="3" t="s">
        <v>2189</v>
      </c>
      <c r="R502" s="3" t="s">
        <v>34</v>
      </c>
      <c r="S502" s="3" t="s">
        <v>34</v>
      </c>
      <c r="T502" s="3" t="s">
        <v>41</v>
      </c>
      <c r="U502" s="3" t="s">
        <v>34</v>
      </c>
      <c r="V502" s="3" t="s">
        <v>35</v>
      </c>
      <c r="W502" s="3" t="s">
        <v>2190</v>
      </c>
      <c r="X502" s="3"/>
      <c r="Y502" s="5">
        <v>650000</v>
      </c>
      <c r="Z502" s="5">
        <v>2</v>
      </c>
    </row>
    <row r="503" spans="1:26" ht="15.75" customHeight="1" x14ac:dyDescent="0.35">
      <c r="A503" s="2"/>
      <c r="B503" s="3" t="s">
        <v>1899</v>
      </c>
      <c r="C503" s="3" t="s">
        <v>64</v>
      </c>
      <c r="D503" s="3" t="s">
        <v>99</v>
      </c>
      <c r="E503" s="3" t="s">
        <v>861</v>
      </c>
      <c r="F503" s="4" t="s">
        <v>2191</v>
      </c>
      <c r="G503" s="4" t="s">
        <v>2192</v>
      </c>
      <c r="H503" s="5">
        <v>2500000</v>
      </c>
      <c r="I503" s="5">
        <v>0</v>
      </c>
      <c r="J503" s="5">
        <v>2500000</v>
      </c>
      <c r="K503" s="5">
        <v>0</v>
      </c>
      <c r="L503" s="5">
        <v>0</v>
      </c>
      <c r="M503" s="5">
        <v>0</v>
      </c>
      <c r="N503" s="5">
        <v>2500000</v>
      </c>
      <c r="O503" s="5">
        <v>0</v>
      </c>
      <c r="P503" s="5">
        <v>0</v>
      </c>
      <c r="Q503" s="3" t="s">
        <v>864</v>
      </c>
      <c r="R503" s="3" t="s">
        <v>34</v>
      </c>
      <c r="S503" s="3" t="s">
        <v>865</v>
      </c>
      <c r="T503" s="3" t="s">
        <v>41</v>
      </c>
      <c r="U503" s="3" t="s">
        <v>34</v>
      </c>
      <c r="V503" s="3" t="s">
        <v>35</v>
      </c>
      <c r="W503" s="3" t="s">
        <v>2193</v>
      </c>
      <c r="X503" s="3"/>
      <c r="Y503" s="5">
        <v>500000</v>
      </c>
      <c r="Z503" s="5">
        <v>5</v>
      </c>
    </row>
    <row r="504" spans="1:26" ht="15.75" customHeight="1" x14ac:dyDescent="0.35">
      <c r="A504" s="2"/>
      <c r="B504" s="3" t="s">
        <v>1768</v>
      </c>
      <c r="C504" s="3" t="s">
        <v>29</v>
      </c>
      <c r="D504" s="3" t="s">
        <v>37</v>
      </c>
      <c r="E504" s="3" t="s">
        <v>2194</v>
      </c>
      <c r="F504" s="4" t="s">
        <v>2195</v>
      </c>
      <c r="G504" s="4" t="s">
        <v>2192</v>
      </c>
      <c r="H504" s="5">
        <v>2495490</v>
      </c>
      <c r="I504" s="5">
        <v>30000</v>
      </c>
      <c r="J504" s="5">
        <v>2525490</v>
      </c>
      <c r="K504" s="5">
        <v>0</v>
      </c>
      <c r="L504" s="5">
        <v>30000</v>
      </c>
      <c r="M504" s="5">
        <v>0</v>
      </c>
      <c r="N504" s="5">
        <v>0</v>
      </c>
      <c r="O504" s="5">
        <v>2495490</v>
      </c>
      <c r="P504" s="5">
        <v>0</v>
      </c>
      <c r="Q504" s="3" t="s">
        <v>2196</v>
      </c>
      <c r="R504" s="3" t="s">
        <v>34</v>
      </c>
      <c r="S504" s="3" t="s">
        <v>34</v>
      </c>
      <c r="T504" s="3" t="s">
        <v>48</v>
      </c>
      <c r="U504" s="3" t="s">
        <v>34</v>
      </c>
      <c r="V504" s="3" t="s">
        <v>35</v>
      </c>
      <c r="W504" s="3" t="s">
        <v>2197</v>
      </c>
      <c r="X504" s="3" t="s">
        <v>2198</v>
      </c>
      <c r="Y504" s="5">
        <v>831830</v>
      </c>
      <c r="Z504" s="5">
        <v>3</v>
      </c>
    </row>
    <row r="505" spans="1:26" ht="15.75" customHeight="1" x14ac:dyDescent="0.35">
      <c r="A505" s="2"/>
      <c r="B505" s="3" t="s">
        <v>2199</v>
      </c>
      <c r="C505" s="3" t="s">
        <v>64</v>
      </c>
      <c r="D505" s="3" t="s">
        <v>173</v>
      </c>
      <c r="E505" s="3" t="s">
        <v>2200</v>
      </c>
      <c r="F505" s="4" t="s">
        <v>2201</v>
      </c>
      <c r="G505" s="4" t="s">
        <v>2202</v>
      </c>
      <c r="H505" s="5">
        <v>350000</v>
      </c>
      <c r="I505" s="5">
        <v>15000</v>
      </c>
      <c r="J505" s="5">
        <v>365000</v>
      </c>
      <c r="K505" s="5">
        <v>0</v>
      </c>
      <c r="L505" s="5">
        <v>365000</v>
      </c>
      <c r="M505" s="5">
        <v>0</v>
      </c>
      <c r="N505" s="5">
        <v>0</v>
      </c>
      <c r="O505" s="5">
        <v>0</v>
      </c>
      <c r="P505" s="5">
        <v>0</v>
      </c>
      <c r="Q505" s="3" t="s">
        <v>2203</v>
      </c>
      <c r="R505" s="3" t="s">
        <v>34</v>
      </c>
      <c r="S505" s="3" t="s">
        <v>34</v>
      </c>
      <c r="T505" s="3" t="s">
        <v>41</v>
      </c>
      <c r="U505" s="3" t="s">
        <v>34</v>
      </c>
      <c r="V505" s="3" t="s">
        <v>35</v>
      </c>
      <c r="W505" s="3" t="s">
        <v>2204</v>
      </c>
      <c r="X505" s="3"/>
      <c r="Y505" s="5">
        <v>350000</v>
      </c>
      <c r="Z505" s="5">
        <v>1</v>
      </c>
    </row>
    <row r="506" spans="1:26" ht="15.75" customHeight="1" x14ac:dyDescent="0.35">
      <c r="A506" s="2"/>
      <c r="B506" s="3" t="s">
        <v>1829</v>
      </c>
      <c r="C506" s="3" t="s">
        <v>71</v>
      </c>
      <c r="D506" s="3" t="s">
        <v>95</v>
      </c>
      <c r="E506" s="3" t="s">
        <v>2205</v>
      </c>
      <c r="F506" s="4" t="s">
        <v>2206</v>
      </c>
      <c r="G506" s="4" t="s">
        <v>2207</v>
      </c>
      <c r="H506" s="5">
        <v>780000</v>
      </c>
      <c r="I506" s="5">
        <v>0</v>
      </c>
      <c r="J506" s="5">
        <v>780000</v>
      </c>
      <c r="K506" s="5">
        <v>0</v>
      </c>
      <c r="L506" s="5">
        <v>0</v>
      </c>
      <c r="M506" s="5">
        <v>0</v>
      </c>
      <c r="N506" s="5">
        <v>780000</v>
      </c>
      <c r="O506" s="5">
        <v>0</v>
      </c>
      <c r="P506" s="5">
        <v>0</v>
      </c>
      <c r="Q506" s="3" t="s">
        <v>2208</v>
      </c>
      <c r="R506" s="3" t="s">
        <v>34</v>
      </c>
      <c r="S506" s="3" t="s">
        <v>34</v>
      </c>
      <c r="T506" s="3" t="s">
        <v>41</v>
      </c>
      <c r="U506" s="3" t="s">
        <v>34</v>
      </c>
      <c r="V506" s="3" t="s">
        <v>35</v>
      </c>
      <c r="W506" s="3" t="s">
        <v>2209</v>
      </c>
      <c r="X506" s="3"/>
      <c r="Y506" s="5">
        <v>780000</v>
      </c>
      <c r="Z506" s="5">
        <v>1</v>
      </c>
    </row>
    <row r="507" spans="1:26" ht="15.75" customHeight="1" x14ac:dyDescent="0.35">
      <c r="A507" s="2"/>
      <c r="B507" s="3" t="s">
        <v>2210</v>
      </c>
      <c r="C507" s="3" t="s">
        <v>64</v>
      </c>
      <c r="D507" s="3" t="s">
        <v>89</v>
      </c>
      <c r="E507" s="3" t="s">
        <v>2211</v>
      </c>
      <c r="F507" s="4" t="s">
        <v>2212</v>
      </c>
      <c r="G507" s="4" t="s">
        <v>2213</v>
      </c>
      <c r="H507" s="5">
        <v>350000</v>
      </c>
      <c r="I507" s="5">
        <v>0</v>
      </c>
      <c r="J507" s="5">
        <v>350000</v>
      </c>
      <c r="K507" s="5">
        <v>0</v>
      </c>
      <c r="L507" s="5">
        <v>350000</v>
      </c>
      <c r="M507" s="5">
        <v>0</v>
      </c>
      <c r="N507" s="5">
        <v>0</v>
      </c>
      <c r="O507" s="5">
        <v>0</v>
      </c>
      <c r="P507" s="5">
        <v>0</v>
      </c>
      <c r="Q507" s="3" t="s">
        <v>2214</v>
      </c>
      <c r="R507" s="3"/>
      <c r="S507" s="3"/>
      <c r="T507" s="3" t="s">
        <v>41</v>
      </c>
      <c r="U507" s="3" t="s">
        <v>34</v>
      </c>
      <c r="V507" s="3" t="s">
        <v>35</v>
      </c>
      <c r="W507" s="3" t="s">
        <v>2215</v>
      </c>
      <c r="X507" s="3"/>
      <c r="Y507" s="5">
        <v>350000</v>
      </c>
      <c r="Z507" s="5">
        <v>1</v>
      </c>
    </row>
    <row r="508" spans="1:26" ht="15.75" customHeight="1" x14ac:dyDescent="0.35">
      <c r="A508" s="2"/>
      <c r="B508" s="3" t="s">
        <v>1772</v>
      </c>
      <c r="C508" s="3" t="s">
        <v>29</v>
      </c>
      <c r="D508" s="3" t="s">
        <v>43</v>
      </c>
      <c r="E508" s="3" t="s">
        <v>461</v>
      </c>
      <c r="F508" s="4" t="s">
        <v>2124</v>
      </c>
      <c r="G508" s="4" t="s">
        <v>2216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3" t="s">
        <v>464</v>
      </c>
      <c r="R508" s="3" t="s">
        <v>34</v>
      </c>
      <c r="S508" s="3" t="s">
        <v>34</v>
      </c>
      <c r="T508" s="3" t="s">
        <v>34</v>
      </c>
      <c r="U508" s="3" t="s">
        <v>34</v>
      </c>
      <c r="V508" s="3" t="s">
        <v>35</v>
      </c>
      <c r="W508" s="3" t="s">
        <v>2217</v>
      </c>
      <c r="X508" s="3"/>
      <c r="Y508" s="5">
        <v>0</v>
      </c>
      <c r="Z508" s="5">
        <v>4</v>
      </c>
    </row>
    <row r="509" spans="1:26" ht="15.75" customHeight="1" x14ac:dyDescent="0.35">
      <c r="A509" s="2"/>
      <c r="B509" s="3" t="s">
        <v>323</v>
      </c>
      <c r="C509" s="3" t="s">
        <v>29</v>
      </c>
      <c r="D509" s="3" t="s">
        <v>413</v>
      </c>
      <c r="E509" s="3" t="s">
        <v>2218</v>
      </c>
      <c r="F509" s="4" t="s">
        <v>2219</v>
      </c>
      <c r="G509" s="4" t="s">
        <v>2220</v>
      </c>
      <c r="H509" s="5">
        <v>5975606</v>
      </c>
      <c r="I509" s="5">
        <v>0</v>
      </c>
      <c r="J509" s="5">
        <v>5975606</v>
      </c>
      <c r="K509" s="5">
        <v>0</v>
      </c>
      <c r="L509" s="5">
        <v>0</v>
      </c>
      <c r="M509" s="5">
        <v>0</v>
      </c>
      <c r="N509" s="5">
        <v>0</v>
      </c>
      <c r="O509" s="5">
        <v>5975606</v>
      </c>
      <c r="P509" s="5">
        <v>0</v>
      </c>
      <c r="Q509" s="3" t="s">
        <v>2221</v>
      </c>
      <c r="R509" s="3" t="s">
        <v>2222</v>
      </c>
      <c r="S509" s="3" t="s">
        <v>34</v>
      </c>
      <c r="T509" s="3" t="s">
        <v>48</v>
      </c>
      <c r="U509" s="3" t="s">
        <v>34</v>
      </c>
      <c r="V509" s="3" t="s">
        <v>35</v>
      </c>
      <c r="W509" s="3" t="s">
        <v>239</v>
      </c>
      <c r="X509" s="3" t="s">
        <v>2223</v>
      </c>
      <c r="Y509" s="5">
        <v>853658</v>
      </c>
      <c r="Z509" s="5">
        <v>7</v>
      </c>
    </row>
    <row r="510" spans="1:26" ht="15.75" customHeight="1" x14ac:dyDescent="0.35">
      <c r="A510" s="2"/>
      <c r="B510" s="3" t="s">
        <v>1815</v>
      </c>
      <c r="C510" s="3" t="s">
        <v>59</v>
      </c>
      <c r="D510" s="3" t="s">
        <v>182</v>
      </c>
      <c r="E510" s="3" t="s">
        <v>1606</v>
      </c>
      <c r="F510" s="4" t="s">
        <v>2224</v>
      </c>
      <c r="G510" s="4" t="s">
        <v>2225</v>
      </c>
      <c r="H510" s="5">
        <v>1458000</v>
      </c>
      <c r="I510" s="5">
        <v>0</v>
      </c>
      <c r="J510" s="5">
        <v>1458000</v>
      </c>
      <c r="K510" s="5">
        <v>0</v>
      </c>
      <c r="L510" s="5">
        <v>598000</v>
      </c>
      <c r="M510" s="5">
        <v>0</v>
      </c>
      <c r="N510" s="5">
        <v>860000</v>
      </c>
      <c r="O510" s="5">
        <v>0</v>
      </c>
      <c r="P510" s="5">
        <v>0</v>
      </c>
      <c r="Q510" s="3" t="s">
        <v>2226</v>
      </c>
      <c r="R510" s="3" t="s">
        <v>34</v>
      </c>
      <c r="S510" s="3" t="s">
        <v>34</v>
      </c>
      <c r="T510" s="3" t="s">
        <v>34</v>
      </c>
      <c r="U510" s="3" t="s">
        <v>34</v>
      </c>
      <c r="V510" s="3" t="s">
        <v>35</v>
      </c>
      <c r="W510" s="3" t="s">
        <v>2227</v>
      </c>
      <c r="X510" s="3"/>
      <c r="Y510" s="5">
        <v>729000</v>
      </c>
      <c r="Z510" s="5">
        <v>2</v>
      </c>
    </row>
    <row r="511" spans="1:26" ht="15.75" customHeight="1" x14ac:dyDescent="0.35">
      <c r="A511" s="2"/>
      <c r="B511" s="3" t="s">
        <v>1835</v>
      </c>
      <c r="C511" s="3" t="s">
        <v>59</v>
      </c>
      <c r="D511" s="3" t="s">
        <v>60</v>
      </c>
      <c r="E511" s="3" t="s">
        <v>2228</v>
      </c>
      <c r="F511" s="4" t="s">
        <v>2229</v>
      </c>
      <c r="G511" s="4" t="s">
        <v>2230</v>
      </c>
      <c r="H511" s="5">
        <v>550000</v>
      </c>
      <c r="I511" s="5">
        <v>65000</v>
      </c>
      <c r="J511" s="5">
        <v>615000</v>
      </c>
      <c r="K511" s="5">
        <v>0</v>
      </c>
      <c r="L511" s="5">
        <v>0</v>
      </c>
      <c r="M511" s="5">
        <v>0</v>
      </c>
      <c r="N511" s="5">
        <v>615000</v>
      </c>
      <c r="O511" s="5">
        <v>0</v>
      </c>
      <c r="P511" s="5">
        <v>0</v>
      </c>
      <c r="Q511" s="3" t="s">
        <v>2231</v>
      </c>
      <c r="R511" s="3"/>
      <c r="S511" s="3"/>
      <c r="T511" s="3" t="s">
        <v>41</v>
      </c>
      <c r="U511" s="3" t="s">
        <v>34</v>
      </c>
      <c r="V511" s="3" t="s">
        <v>35</v>
      </c>
      <c r="W511" s="3" t="s">
        <v>2232</v>
      </c>
      <c r="X511" s="3"/>
      <c r="Y511" s="5">
        <v>550000</v>
      </c>
      <c r="Z511" s="5">
        <v>1</v>
      </c>
    </row>
    <row r="512" spans="1:26" ht="15.75" customHeight="1" x14ac:dyDescent="0.35">
      <c r="A512" s="2"/>
      <c r="B512" s="3" t="s">
        <v>1830</v>
      </c>
      <c r="C512" s="3" t="s">
        <v>29</v>
      </c>
      <c r="D512" s="3" t="s">
        <v>110</v>
      </c>
      <c r="E512" s="3" t="s">
        <v>2233</v>
      </c>
      <c r="F512" s="4" t="s">
        <v>2234</v>
      </c>
      <c r="G512" s="4" t="s">
        <v>2235</v>
      </c>
      <c r="H512" s="5">
        <v>2427840</v>
      </c>
      <c r="I512" s="5">
        <v>0</v>
      </c>
      <c r="J512" s="5">
        <v>2427840</v>
      </c>
      <c r="K512" s="5">
        <v>0</v>
      </c>
      <c r="L512" s="5">
        <v>0</v>
      </c>
      <c r="M512" s="5">
        <v>0</v>
      </c>
      <c r="N512" s="5">
        <v>0</v>
      </c>
      <c r="O512" s="5">
        <v>2427840</v>
      </c>
      <c r="P512" s="5">
        <v>0</v>
      </c>
      <c r="Q512" s="3" t="s">
        <v>34</v>
      </c>
      <c r="R512" s="3" t="s">
        <v>34</v>
      </c>
      <c r="S512" s="3" t="s">
        <v>34</v>
      </c>
      <c r="T512" s="3" t="s">
        <v>48</v>
      </c>
      <c r="U512" s="3" t="s">
        <v>34</v>
      </c>
      <c r="V512" s="3" t="s">
        <v>35</v>
      </c>
      <c r="W512" s="3" t="s">
        <v>2236</v>
      </c>
      <c r="X512" s="3" t="s">
        <v>2237</v>
      </c>
      <c r="Y512" s="5">
        <v>809280</v>
      </c>
      <c r="Z512" s="5">
        <v>3</v>
      </c>
    </row>
    <row r="513" spans="1:26" ht="15.75" customHeight="1" x14ac:dyDescent="0.35">
      <c r="A513" s="2"/>
      <c r="B513" s="3" t="s">
        <v>1844</v>
      </c>
      <c r="C513" s="3" t="s">
        <v>64</v>
      </c>
      <c r="D513" s="3" t="s">
        <v>89</v>
      </c>
      <c r="E513" s="3" t="s">
        <v>2238</v>
      </c>
      <c r="F513" s="4" t="s">
        <v>2239</v>
      </c>
      <c r="G513" s="4" t="s">
        <v>2235</v>
      </c>
      <c r="H513" s="5">
        <v>1100000</v>
      </c>
      <c r="I513" s="5">
        <v>27500</v>
      </c>
      <c r="J513" s="5">
        <v>1127500</v>
      </c>
      <c r="K513" s="5">
        <v>0</v>
      </c>
      <c r="L513" s="5">
        <v>550000</v>
      </c>
      <c r="M513" s="5">
        <v>0</v>
      </c>
      <c r="N513" s="5">
        <v>0</v>
      </c>
      <c r="O513" s="5">
        <v>577500</v>
      </c>
      <c r="P513" s="5">
        <v>0</v>
      </c>
      <c r="Q513" s="3" t="s">
        <v>34</v>
      </c>
      <c r="R513" s="3" t="s">
        <v>34</v>
      </c>
      <c r="S513" s="3" t="s">
        <v>2240</v>
      </c>
      <c r="T513" s="3" t="s">
        <v>41</v>
      </c>
      <c r="U513" s="3" t="s">
        <v>34</v>
      </c>
      <c r="V513" s="3" t="s">
        <v>35</v>
      </c>
      <c r="W513" s="3" t="s">
        <v>2241</v>
      </c>
      <c r="X513" s="3"/>
      <c r="Y513" s="5">
        <v>550000</v>
      </c>
      <c r="Z513" s="5">
        <v>2</v>
      </c>
    </row>
    <row r="514" spans="1:26" ht="15.75" customHeight="1" x14ac:dyDescent="0.35">
      <c r="A514" s="2"/>
      <c r="B514" s="3" t="s">
        <v>1984</v>
      </c>
      <c r="C514" s="3" t="s">
        <v>64</v>
      </c>
      <c r="D514" s="3" t="s">
        <v>65</v>
      </c>
      <c r="E514" s="3" t="s">
        <v>2242</v>
      </c>
      <c r="F514" s="4" t="s">
        <v>2243</v>
      </c>
      <c r="G514" s="4" t="s">
        <v>2235</v>
      </c>
      <c r="H514" s="5">
        <v>549000</v>
      </c>
      <c r="I514" s="5">
        <v>0</v>
      </c>
      <c r="J514" s="5">
        <v>549000</v>
      </c>
      <c r="K514" s="5">
        <v>0</v>
      </c>
      <c r="L514" s="5">
        <v>549000</v>
      </c>
      <c r="M514" s="5">
        <v>0</v>
      </c>
      <c r="N514" s="5">
        <v>0</v>
      </c>
      <c r="O514" s="5">
        <v>0</v>
      </c>
      <c r="P514" s="5">
        <v>0</v>
      </c>
      <c r="Q514" s="3" t="s">
        <v>34</v>
      </c>
      <c r="R514" s="3" t="s">
        <v>34</v>
      </c>
      <c r="S514" s="3" t="s">
        <v>2244</v>
      </c>
      <c r="T514" s="3" t="s">
        <v>41</v>
      </c>
      <c r="U514" s="3" t="s">
        <v>34</v>
      </c>
      <c r="V514" s="3" t="s">
        <v>35</v>
      </c>
      <c r="W514" s="3" t="s">
        <v>2245</v>
      </c>
      <c r="X514" s="3"/>
      <c r="Y514" s="5">
        <v>549000</v>
      </c>
      <c r="Z514" s="5">
        <v>1</v>
      </c>
    </row>
    <row r="515" spans="1:26" ht="15.75" customHeight="1" x14ac:dyDescent="0.35">
      <c r="A515" s="2"/>
      <c r="B515" s="3" t="s">
        <v>1958</v>
      </c>
      <c r="C515" s="3" t="s">
        <v>64</v>
      </c>
      <c r="D515" s="3" t="s">
        <v>173</v>
      </c>
      <c r="E515" s="3" t="s">
        <v>2246</v>
      </c>
      <c r="F515" s="4" t="s">
        <v>2247</v>
      </c>
      <c r="G515" s="4" t="s">
        <v>2248</v>
      </c>
      <c r="H515" s="5">
        <v>350000</v>
      </c>
      <c r="I515" s="5">
        <v>0</v>
      </c>
      <c r="J515" s="5">
        <v>350000</v>
      </c>
      <c r="K515" s="5">
        <v>0</v>
      </c>
      <c r="L515" s="5">
        <v>350000</v>
      </c>
      <c r="M515" s="5">
        <v>0</v>
      </c>
      <c r="N515" s="5">
        <v>0</v>
      </c>
      <c r="O515" s="5">
        <v>0</v>
      </c>
      <c r="P515" s="5">
        <v>0</v>
      </c>
      <c r="Q515" s="3" t="s">
        <v>34</v>
      </c>
      <c r="R515" s="3" t="s">
        <v>34</v>
      </c>
      <c r="S515" s="3" t="s">
        <v>2249</v>
      </c>
      <c r="T515" s="3" t="s">
        <v>41</v>
      </c>
      <c r="U515" s="3" t="s">
        <v>34</v>
      </c>
      <c r="V515" s="3" t="s">
        <v>35</v>
      </c>
      <c r="W515" s="3" t="s">
        <v>2250</v>
      </c>
      <c r="X515" s="3"/>
      <c r="Y515" s="5">
        <v>350000</v>
      </c>
      <c r="Z515" s="5">
        <v>1</v>
      </c>
    </row>
    <row r="516" spans="1:26" ht="15.75" customHeight="1" x14ac:dyDescent="0.35">
      <c r="A516" s="2"/>
      <c r="B516" s="3" t="s">
        <v>1970</v>
      </c>
      <c r="C516" s="3" t="s">
        <v>64</v>
      </c>
      <c r="D516" s="3" t="s">
        <v>83</v>
      </c>
      <c r="E516" s="3" t="s">
        <v>2251</v>
      </c>
      <c r="F516" s="4" t="s">
        <v>2252</v>
      </c>
      <c r="G516" s="4" t="s">
        <v>2253</v>
      </c>
      <c r="H516" s="5">
        <v>1680000</v>
      </c>
      <c r="I516" s="5">
        <v>0</v>
      </c>
      <c r="J516" s="5">
        <v>1680000</v>
      </c>
      <c r="K516" s="5">
        <v>0</v>
      </c>
      <c r="L516" s="5">
        <v>0</v>
      </c>
      <c r="M516" s="5">
        <v>0</v>
      </c>
      <c r="N516" s="5">
        <v>1680000</v>
      </c>
      <c r="O516" s="5">
        <v>0</v>
      </c>
      <c r="P516" s="5">
        <v>0</v>
      </c>
      <c r="Q516" s="3" t="s">
        <v>2254</v>
      </c>
      <c r="R516" s="3" t="s">
        <v>34</v>
      </c>
      <c r="S516" s="3" t="s">
        <v>34</v>
      </c>
      <c r="T516" s="3" t="s">
        <v>41</v>
      </c>
      <c r="U516" s="3" t="s">
        <v>34</v>
      </c>
      <c r="V516" s="3" t="s">
        <v>35</v>
      </c>
      <c r="W516" s="3" t="s">
        <v>2255</v>
      </c>
      <c r="X516" s="3"/>
      <c r="Y516" s="5">
        <v>560000</v>
      </c>
      <c r="Z516" s="5">
        <v>3</v>
      </c>
    </row>
    <row r="517" spans="1:26" ht="15.75" customHeight="1" x14ac:dyDescent="0.35">
      <c r="A517" s="2"/>
      <c r="B517" s="3" t="s">
        <v>1913</v>
      </c>
      <c r="C517" s="3" t="s">
        <v>29</v>
      </c>
      <c r="D517" s="3" t="s">
        <v>43</v>
      </c>
      <c r="E517" s="3" t="s">
        <v>2256</v>
      </c>
      <c r="F517" s="4" t="s">
        <v>2257</v>
      </c>
      <c r="G517" s="4" t="s">
        <v>2258</v>
      </c>
      <c r="H517" s="5">
        <v>2550000</v>
      </c>
      <c r="I517" s="5">
        <v>0</v>
      </c>
      <c r="J517" s="5">
        <v>2550000</v>
      </c>
      <c r="K517" s="5">
        <v>0</v>
      </c>
      <c r="L517" s="5">
        <v>2550000</v>
      </c>
      <c r="M517" s="5">
        <v>0</v>
      </c>
      <c r="N517" s="5">
        <v>0</v>
      </c>
      <c r="O517" s="5">
        <v>0</v>
      </c>
      <c r="P517" s="5">
        <v>0</v>
      </c>
      <c r="Q517" s="3" t="s">
        <v>34</v>
      </c>
      <c r="R517" s="3" t="s">
        <v>34</v>
      </c>
      <c r="S517" s="3" t="s">
        <v>2259</v>
      </c>
      <c r="T517" s="3" t="s">
        <v>41</v>
      </c>
      <c r="U517" s="3" t="s">
        <v>34</v>
      </c>
      <c r="V517" s="3" t="s">
        <v>35</v>
      </c>
      <c r="W517" s="3" t="s">
        <v>2260</v>
      </c>
      <c r="X517" s="3"/>
      <c r="Y517" s="5">
        <v>850000</v>
      </c>
      <c r="Z517" s="5">
        <v>3</v>
      </c>
    </row>
    <row r="518" spans="1:26" ht="15.75" customHeight="1" x14ac:dyDescent="0.35">
      <c r="A518" s="2"/>
      <c r="B518" s="3" t="s">
        <v>1851</v>
      </c>
      <c r="C518" s="3" t="s">
        <v>29</v>
      </c>
      <c r="D518" s="3" t="s">
        <v>30</v>
      </c>
      <c r="E518" s="3" t="s">
        <v>2261</v>
      </c>
      <c r="F518" s="4" t="s">
        <v>2262</v>
      </c>
      <c r="G518" s="4" t="s">
        <v>2263</v>
      </c>
      <c r="H518" s="5">
        <v>2550000</v>
      </c>
      <c r="I518" s="5">
        <v>0</v>
      </c>
      <c r="J518" s="5">
        <v>2550000</v>
      </c>
      <c r="K518" s="5">
        <v>0</v>
      </c>
      <c r="L518" s="5">
        <v>2550000</v>
      </c>
      <c r="M518" s="5">
        <v>0</v>
      </c>
      <c r="N518" s="5">
        <v>0</v>
      </c>
      <c r="O518" s="5">
        <v>0</v>
      </c>
      <c r="P518" s="5">
        <v>0</v>
      </c>
      <c r="Q518" s="3" t="s">
        <v>34</v>
      </c>
      <c r="R518" s="3" t="s">
        <v>34</v>
      </c>
      <c r="S518" s="3" t="s">
        <v>2264</v>
      </c>
      <c r="T518" s="3" t="s">
        <v>41</v>
      </c>
      <c r="U518" s="3" t="s">
        <v>34</v>
      </c>
      <c r="V518" s="3" t="s">
        <v>35</v>
      </c>
      <c r="W518" s="3" t="s">
        <v>2265</v>
      </c>
      <c r="X518" s="3"/>
      <c r="Y518" s="5">
        <v>850000</v>
      </c>
      <c r="Z518" s="5">
        <v>3</v>
      </c>
    </row>
    <row r="519" spans="1:26" ht="15.75" customHeight="1" x14ac:dyDescent="0.35">
      <c r="A519" s="2"/>
      <c r="B519" s="3" t="s">
        <v>1840</v>
      </c>
      <c r="C519" s="3" t="s">
        <v>59</v>
      </c>
      <c r="D519" s="3" t="s">
        <v>122</v>
      </c>
      <c r="E519" s="3" t="s">
        <v>2266</v>
      </c>
      <c r="F519" s="4" t="s">
        <v>2267</v>
      </c>
      <c r="G519" s="4" t="s">
        <v>2268</v>
      </c>
      <c r="H519" s="5">
        <v>1300000</v>
      </c>
      <c r="I519" s="5">
        <v>40000</v>
      </c>
      <c r="J519" s="5">
        <v>1340000</v>
      </c>
      <c r="K519" s="5">
        <v>0</v>
      </c>
      <c r="L519" s="5">
        <v>0</v>
      </c>
      <c r="M519" s="5">
        <v>0</v>
      </c>
      <c r="N519" s="5">
        <v>1340000</v>
      </c>
      <c r="O519" s="5">
        <v>0</v>
      </c>
      <c r="P519" s="5">
        <v>0</v>
      </c>
      <c r="Q519" s="3" t="s">
        <v>34</v>
      </c>
      <c r="R519" s="3" t="s">
        <v>34</v>
      </c>
      <c r="S519" s="3" t="s">
        <v>2269</v>
      </c>
      <c r="T519" s="3" t="s">
        <v>41</v>
      </c>
      <c r="U519" s="3" t="s">
        <v>34</v>
      </c>
      <c r="V519" s="3" t="s">
        <v>35</v>
      </c>
      <c r="W519" s="3" t="s">
        <v>2270</v>
      </c>
      <c r="X519" s="3"/>
      <c r="Y519" s="5">
        <v>650000</v>
      </c>
      <c r="Z519" s="5">
        <v>2</v>
      </c>
    </row>
    <row r="520" spans="1:26" ht="15.75" customHeight="1" x14ac:dyDescent="0.35">
      <c r="A520" s="2"/>
      <c r="B520" s="3" t="s">
        <v>1864</v>
      </c>
      <c r="C520" s="3" t="s">
        <v>64</v>
      </c>
      <c r="D520" s="3" t="s">
        <v>65</v>
      </c>
      <c r="E520" s="3" t="s">
        <v>2271</v>
      </c>
      <c r="F520" s="4" t="s">
        <v>2272</v>
      </c>
      <c r="G520" s="4" t="s">
        <v>2268</v>
      </c>
      <c r="H520" s="5">
        <v>650000</v>
      </c>
      <c r="I520" s="5">
        <v>150000</v>
      </c>
      <c r="J520" s="5">
        <v>800000</v>
      </c>
      <c r="K520" s="5">
        <v>0</v>
      </c>
      <c r="L520" s="5">
        <v>150000</v>
      </c>
      <c r="M520" s="5">
        <v>0</v>
      </c>
      <c r="N520" s="5">
        <v>650000</v>
      </c>
      <c r="O520" s="5">
        <v>0</v>
      </c>
      <c r="P520" s="5">
        <v>0</v>
      </c>
      <c r="Q520" s="3" t="s">
        <v>34</v>
      </c>
      <c r="R520" s="3" t="s">
        <v>34</v>
      </c>
      <c r="S520" s="3" t="s">
        <v>2273</v>
      </c>
      <c r="T520" s="3" t="s">
        <v>41</v>
      </c>
      <c r="U520" s="3" t="s">
        <v>34</v>
      </c>
      <c r="V520" s="3" t="s">
        <v>35</v>
      </c>
      <c r="W520" s="3" t="s">
        <v>110</v>
      </c>
      <c r="X520" s="3"/>
      <c r="Y520" s="5">
        <v>650000</v>
      </c>
      <c r="Z520" s="5">
        <v>1</v>
      </c>
    </row>
    <row r="521" spans="1:26" ht="15.75" customHeight="1" x14ac:dyDescent="0.35">
      <c r="A521" s="2"/>
      <c r="B521" s="3" t="s">
        <v>1918</v>
      </c>
      <c r="C521" s="3" t="s">
        <v>29</v>
      </c>
      <c r="D521" s="3" t="s">
        <v>30</v>
      </c>
      <c r="E521" s="3" t="s">
        <v>2274</v>
      </c>
      <c r="F521" s="4" t="s">
        <v>2275</v>
      </c>
      <c r="G521" s="4" t="s">
        <v>2276</v>
      </c>
      <c r="H521" s="5">
        <v>450000</v>
      </c>
      <c r="I521" s="5">
        <v>0</v>
      </c>
      <c r="J521" s="5">
        <v>450000</v>
      </c>
      <c r="K521" s="5">
        <v>0</v>
      </c>
      <c r="L521" s="5">
        <v>0</v>
      </c>
      <c r="M521" s="5">
        <v>0</v>
      </c>
      <c r="N521" s="5">
        <v>450000</v>
      </c>
      <c r="O521" s="5">
        <v>0</v>
      </c>
      <c r="P521" s="5">
        <v>0</v>
      </c>
      <c r="Q521" s="3" t="s">
        <v>34</v>
      </c>
      <c r="R521" s="3" t="s">
        <v>34</v>
      </c>
      <c r="S521" s="3" t="s">
        <v>2277</v>
      </c>
      <c r="T521" s="3" t="s">
        <v>41</v>
      </c>
      <c r="U521" s="3" t="s">
        <v>34</v>
      </c>
      <c r="V521" s="3" t="s">
        <v>35</v>
      </c>
      <c r="W521" s="3" t="s">
        <v>2278</v>
      </c>
      <c r="X521" s="3"/>
      <c r="Y521" s="5">
        <v>450000</v>
      </c>
      <c r="Z521" s="5">
        <v>1</v>
      </c>
    </row>
    <row r="522" spans="1:26" ht="15.75" customHeight="1" x14ac:dyDescent="0.35">
      <c r="A522" s="2"/>
      <c r="B522" s="3" t="s">
        <v>1803</v>
      </c>
      <c r="C522" s="3" t="s">
        <v>59</v>
      </c>
      <c r="D522" s="3" t="s">
        <v>182</v>
      </c>
      <c r="E522" s="3" t="s">
        <v>2113</v>
      </c>
      <c r="F522" s="4" t="s">
        <v>2279</v>
      </c>
      <c r="G522" s="4" t="s">
        <v>2280</v>
      </c>
      <c r="H522" s="5">
        <v>2050000</v>
      </c>
      <c r="I522" s="5">
        <v>0</v>
      </c>
      <c r="J522" s="5">
        <v>2050000</v>
      </c>
      <c r="K522" s="5">
        <v>0</v>
      </c>
      <c r="L522" s="5">
        <v>2050000</v>
      </c>
      <c r="M522" s="5">
        <v>0</v>
      </c>
      <c r="N522" s="5">
        <v>0</v>
      </c>
      <c r="O522" s="5">
        <v>0</v>
      </c>
      <c r="P522" s="5">
        <v>0</v>
      </c>
      <c r="Q522" s="3"/>
      <c r="R522" s="3"/>
      <c r="S522" s="3"/>
      <c r="T522" s="3" t="s">
        <v>41</v>
      </c>
      <c r="U522" s="3" t="s">
        <v>34</v>
      </c>
      <c r="V522" s="3" t="s">
        <v>35</v>
      </c>
      <c r="W522" s="3" t="s">
        <v>2281</v>
      </c>
      <c r="X522" s="3"/>
      <c r="Y522" s="5">
        <v>512500</v>
      </c>
      <c r="Z522" s="5">
        <v>4</v>
      </c>
    </row>
    <row r="523" spans="1:26" ht="15.75" customHeight="1" x14ac:dyDescent="0.35">
      <c r="A523" s="2"/>
      <c r="B523" s="3" t="s">
        <v>72</v>
      </c>
      <c r="C523" s="3" t="s">
        <v>29</v>
      </c>
      <c r="D523" s="3" t="s">
        <v>110</v>
      </c>
      <c r="E523" s="3" t="s">
        <v>953</v>
      </c>
      <c r="F523" s="4" t="s">
        <v>2282</v>
      </c>
      <c r="G523" s="4" t="s">
        <v>2280</v>
      </c>
      <c r="H523" s="5">
        <v>1898000</v>
      </c>
      <c r="I523" s="5">
        <v>0</v>
      </c>
      <c r="J523" s="5">
        <v>1798000</v>
      </c>
      <c r="K523" s="5">
        <v>0</v>
      </c>
      <c r="L523" s="5">
        <v>899000</v>
      </c>
      <c r="M523" s="5">
        <v>0</v>
      </c>
      <c r="N523" s="5">
        <v>899000</v>
      </c>
      <c r="O523" s="5">
        <v>0</v>
      </c>
      <c r="P523" s="5">
        <v>0</v>
      </c>
      <c r="Q523" s="3" t="s">
        <v>955</v>
      </c>
      <c r="R523" s="3" t="s">
        <v>34</v>
      </c>
      <c r="S523" s="3" t="s">
        <v>956</v>
      </c>
      <c r="T523" s="3" t="s">
        <v>41</v>
      </c>
      <c r="U523" s="3" t="s">
        <v>34</v>
      </c>
      <c r="V523" s="3" t="s">
        <v>35</v>
      </c>
      <c r="W523" s="3" t="s">
        <v>89</v>
      </c>
      <c r="X523" s="3"/>
      <c r="Y523" s="5">
        <v>949000</v>
      </c>
      <c r="Z523" s="5">
        <v>2</v>
      </c>
    </row>
    <row r="524" spans="1:26" ht="15.75" customHeight="1" x14ac:dyDescent="0.35">
      <c r="A524" s="2"/>
      <c r="B524" s="3" t="s">
        <v>65</v>
      </c>
      <c r="C524" s="3" t="s">
        <v>64</v>
      </c>
      <c r="D524" s="3" t="s">
        <v>89</v>
      </c>
      <c r="E524" s="3" t="s">
        <v>2283</v>
      </c>
      <c r="F524" s="4" t="s">
        <v>2284</v>
      </c>
      <c r="G524" s="4" t="s">
        <v>2280</v>
      </c>
      <c r="H524" s="5">
        <v>549000</v>
      </c>
      <c r="I524" s="5">
        <v>0</v>
      </c>
      <c r="J524" s="5">
        <v>549000</v>
      </c>
      <c r="K524" s="5">
        <v>0</v>
      </c>
      <c r="L524" s="5">
        <v>0</v>
      </c>
      <c r="M524" s="5">
        <v>0</v>
      </c>
      <c r="N524" s="5">
        <v>549000</v>
      </c>
      <c r="O524" s="5">
        <v>0</v>
      </c>
      <c r="P524" s="5">
        <v>0</v>
      </c>
      <c r="Q524" s="3" t="s">
        <v>2285</v>
      </c>
      <c r="R524" s="3" t="s">
        <v>34</v>
      </c>
      <c r="S524" s="3" t="s">
        <v>34</v>
      </c>
      <c r="T524" s="3" t="s">
        <v>41</v>
      </c>
      <c r="U524" s="3" t="s">
        <v>34</v>
      </c>
      <c r="V524" s="3" t="s">
        <v>35</v>
      </c>
      <c r="W524" s="3" t="s">
        <v>2286</v>
      </c>
      <c r="X524" s="3"/>
      <c r="Y524" s="5">
        <v>549000</v>
      </c>
      <c r="Z524" s="5">
        <v>1</v>
      </c>
    </row>
    <row r="525" spans="1:26" ht="15.75" customHeight="1" x14ac:dyDescent="0.35">
      <c r="A525" s="2"/>
      <c r="B525" s="3" t="s">
        <v>1954</v>
      </c>
      <c r="C525" s="3" t="s">
        <v>64</v>
      </c>
      <c r="D525" s="3" t="s">
        <v>83</v>
      </c>
      <c r="E525" s="3" t="s">
        <v>2287</v>
      </c>
      <c r="F525" s="4" t="s">
        <v>2288</v>
      </c>
      <c r="G525" s="4" t="s">
        <v>2289</v>
      </c>
      <c r="H525" s="5">
        <v>650000</v>
      </c>
      <c r="I525" s="5">
        <v>0</v>
      </c>
      <c r="J525" s="5">
        <v>650000</v>
      </c>
      <c r="K525" s="5">
        <v>0</v>
      </c>
      <c r="L525" s="5">
        <v>0</v>
      </c>
      <c r="M525" s="5">
        <v>0</v>
      </c>
      <c r="N525" s="5">
        <v>650000</v>
      </c>
      <c r="O525" s="5">
        <v>0</v>
      </c>
      <c r="P525" s="5">
        <v>0</v>
      </c>
      <c r="Q525" s="3" t="s">
        <v>34</v>
      </c>
      <c r="R525" s="3" t="s">
        <v>34</v>
      </c>
      <c r="S525" s="3" t="s">
        <v>2290</v>
      </c>
      <c r="T525" s="3" t="s">
        <v>41</v>
      </c>
      <c r="U525" s="3" t="s">
        <v>34</v>
      </c>
      <c r="V525" s="3" t="s">
        <v>35</v>
      </c>
      <c r="W525" s="3" t="s">
        <v>2291</v>
      </c>
      <c r="X525" s="3"/>
      <c r="Y525" s="5">
        <v>650000</v>
      </c>
      <c r="Z525" s="5">
        <v>1</v>
      </c>
    </row>
    <row r="526" spans="1:26" ht="15.75" customHeight="1" x14ac:dyDescent="0.35">
      <c r="A526" s="2"/>
      <c r="B526" s="3" t="s">
        <v>30</v>
      </c>
      <c r="C526" s="3" t="s">
        <v>64</v>
      </c>
      <c r="D526" s="3" t="s">
        <v>99</v>
      </c>
      <c r="E526" s="3" t="s">
        <v>2292</v>
      </c>
      <c r="F526" s="4" t="s">
        <v>2293</v>
      </c>
      <c r="G526" s="4" t="s">
        <v>2289</v>
      </c>
      <c r="H526" s="5">
        <v>649000</v>
      </c>
      <c r="I526" s="5">
        <v>0</v>
      </c>
      <c r="J526" s="5">
        <v>649000</v>
      </c>
      <c r="K526" s="5">
        <v>0</v>
      </c>
      <c r="L526" s="5">
        <v>0</v>
      </c>
      <c r="M526" s="5">
        <v>0</v>
      </c>
      <c r="N526" s="5">
        <v>649000</v>
      </c>
      <c r="O526" s="5">
        <v>0</v>
      </c>
      <c r="P526" s="5">
        <v>0</v>
      </c>
      <c r="Q526" s="3" t="s">
        <v>2294</v>
      </c>
      <c r="R526" s="3" t="s">
        <v>34</v>
      </c>
      <c r="S526" s="3" t="s">
        <v>34</v>
      </c>
      <c r="T526" s="3" t="s">
        <v>34</v>
      </c>
      <c r="U526" s="3" t="s">
        <v>34</v>
      </c>
      <c r="V526" s="3" t="s">
        <v>35</v>
      </c>
      <c r="W526" s="3" t="s">
        <v>95</v>
      </c>
      <c r="X526" s="3"/>
      <c r="Y526" s="5">
        <v>649000</v>
      </c>
      <c r="Z526" s="5">
        <v>1</v>
      </c>
    </row>
    <row r="527" spans="1:26" ht="15.75" customHeight="1" x14ac:dyDescent="0.35">
      <c r="A527" s="2"/>
      <c r="B527" s="3" t="s">
        <v>1867</v>
      </c>
      <c r="C527" s="3" t="s">
        <v>64</v>
      </c>
      <c r="D527" s="3" t="s">
        <v>65</v>
      </c>
      <c r="E527" s="3" t="s">
        <v>2295</v>
      </c>
      <c r="F527" s="4" t="s">
        <v>2296</v>
      </c>
      <c r="G527" s="4" t="s">
        <v>2297</v>
      </c>
      <c r="H527" s="5">
        <v>549000</v>
      </c>
      <c r="I527" s="5">
        <v>0</v>
      </c>
      <c r="J527" s="5">
        <v>549000</v>
      </c>
      <c r="K527" s="5">
        <v>0</v>
      </c>
      <c r="L527" s="5">
        <v>249000</v>
      </c>
      <c r="M527" s="5">
        <v>0</v>
      </c>
      <c r="N527" s="5">
        <v>300000</v>
      </c>
      <c r="O527" s="5">
        <v>0</v>
      </c>
      <c r="P527" s="5">
        <v>0</v>
      </c>
      <c r="Q527" s="3" t="s">
        <v>34</v>
      </c>
      <c r="R527" s="3" t="s">
        <v>34</v>
      </c>
      <c r="S527" s="3" t="s">
        <v>2298</v>
      </c>
      <c r="T527" s="3" t="s">
        <v>41</v>
      </c>
      <c r="U527" s="3" t="s">
        <v>34</v>
      </c>
      <c r="V527" s="3" t="s">
        <v>35</v>
      </c>
      <c r="W527" s="3" t="s">
        <v>2299</v>
      </c>
      <c r="X527" s="3"/>
      <c r="Y527" s="5">
        <v>549000</v>
      </c>
      <c r="Z527" s="5">
        <v>1</v>
      </c>
    </row>
    <row r="528" spans="1:26" ht="15.75" customHeight="1" x14ac:dyDescent="0.35">
      <c r="A528" s="2"/>
      <c r="B528" s="3" t="s">
        <v>1927</v>
      </c>
      <c r="C528" s="3" t="s">
        <v>64</v>
      </c>
      <c r="D528" s="3" t="s">
        <v>76</v>
      </c>
      <c r="E528" s="3" t="s">
        <v>2300</v>
      </c>
      <c r="F528" s="4" t="s">
        <v>2301</v>
      </c>
      <c r="G528" s="4" t="s">
        <v>2302</v>
      </c>
      <c r="H528" s="5">
        <v>550000</v>
      </c>
      <c r="I528" s="5">
        <v>0</v>
      </c>
      <c r="J528" s="5">
        <v>550000</v>
      </c>
      <c r="K528" s="5">
        <v>0</v>
      </c>
      <c r="L528" s="5">
        <v>550000</v>
      </c>
      <c r="M528" s="5">
        <v>0</v>
      </c>
      <c r="N528" s="5">
        <v>0</v>
      </c>
      <c r="O528" s="5">
        <v>0</v>
      </c>
      <c r="P528" s="5">
        <v>0</v>
      </c>
      <c r="Q528" s="3" t="s">
        <v>34</v>
      </c>
      <c r="R528" s="3" t="s">
        <v>34</v>
      </c>
      <c r="S528" s="3" t="s">
        <v>34</v>
      </c>
      <c r="T528" s="3" t="s">
        <v>41</v>
      </c>
      <c r="U528" s="3" t="s">
        <v>34</v>
      </c>
      <c r="V528" s="3" t="s">
        <v>35</v>
      </c>
      <c r="W528" s="3" t="s">
        <v>2303</v>
      </c>
      <c r="X528" s="3"/>
      <c r="Y528" s="5">
        <v>550000</v>
      </c>
      <c r="Z528" s="5">
        <v>1</v>
      </c>
    </row>
    <row r="529" spans="1:26" ht="15.75" customHeight="1" x14ac:dyDescent="0.35">
      <c r="A529" s="2"/>
      <c r="B529" s="3" t="s">
        <v>1927</v>
      </c>
      <c r="C529" s="3" t="s">
        <v>59</v>
      </c>
      <c r="D529" s="3" t="s">
        <v>122</v>
      </c>
      <c r="E529" s="3" t="s">
        <v>226</v>
      </c>
      <c r="F529" s="4" t="s">
        <v>2301</v>
      </c>
      <c r="G529" s="4" t="s">
        <v>2302</v>
      </c>
      <c r="H529" s="5">
        <v>550000</v>
      </c>
      <c r="I529" s="5">
        <v>15000</v>
      </c>
      <c r="J529" s="5">
        <v>565000</v>
      </c>
      <c r="K529" s="5">
        <v>0</v>
      </c>
      <c r="L529" s="5">
        <v>565000</v>
      </c>
      <c r="M529" s="5">
        <v>0</v>
      </c>
      <c r="N529" s="5">
        <v>0</v>
      </c>
      <c r="O529" s="5">
        <v>0</v>
      </c>
      <c r="P529" s="5">
        <v>0</v>
      </c>
      <c r="Q529" s="3" t="s">
        <v>34</v>
      </c>
      <c r="R529" s="3" t="s">
        <v>34</v>
      </c>
      <c r="S529" s="3" t="s">
        <v>34</v>
      </c>
      <c r="T529" s="3" t="s">
        <v>41</v>
      </c>
      <c r="U529" s="3" t="s">
        <v>34</v>
      </c>
      <c r="V529" s="3" t="s">
        <v>35</v>
      </c>
      <c r="W529" s="3" t="s">
        <v>2304</v>
      </c>
      <c r="X529" s="3"/>
      <c r="Y529" s="5">
        <v>550000</v>
      </c>
      <c r="Z529" s="5">
        <v>1</v>
      </c>
    </row>
    <row r="530" spans="1:26" ht="15.75" customHeight="1" x14ac:dyDescent="0.35">
      <c r="A530" s="2"/>
      <c r="B530" s="3" t="s">
        <v>1878</v>
      </c>
      <c r="C530" s="3" t="s">
        <v>64</v>
      </c>
      <c r="D530" s="3" t="s">
        <v>173</v>
      </c>
      <c r="E530" s="3" t="s">
        <v>2305</v>
      </c>
      <c r="F530" s="4" t="s">
        <v>2306</v>
      </c>
      <c r="G530" s="4" t="s">
        <v>2307</v>
      </c>
      <c r="H530" s="5">
        <v>1100000</v>
      </c>
      <c r="I530" s="5">
        <v>0</v>
      </c>
      <c r="J530" s="5">
        <v>1100000</v>
      </c>
      <c r="K530" s="5">
        <v>0</v>
      </c>
      <c r="L530" s="5">
        <v>1100000</v>
      </c>
      <c r="M530" s="5">
        <v>0</v>
      </c>
      <c r="N530" s="5">
        <v>0</v>
      </c>
      <c r="O530" s="5">
        <v>0</v>
      </c>
      <c r="P530" s="5">
        <v>0</v>
      </c>
      <c r="Q530" s="3" t="s">
        <v>2308</v>
      </c>
      <c r="R530" s="3" t="s">
        <v>34</v>
      </c>
      <c r="S530" s="3" t="s">
        <v>34</v>
      </c>
      <c r="T530" s="3" t="s">
        <v>41</v>
      </c>
      <c r="U530" s="3" t="s">
        <v>34</v>
      </c>
      <c r="V530" s="3" t="s">
        <v>35</v>
      </c>
      <c r="W530" s="3" t="s">
        <v>2309</v>
      </c>
      <c r="X530" s="3"/>
      <c r="Y530" s="5">
        <v>550000</v>
      </c>
      <c r="Z530" s="5">
        <v>2</v>
      </c>
    </row>
    <row r="531" spans="1:26" ht="15.75" customHeight="1" x14ac:dyDescent="0.35">
      <c r="A531" s="2"/>
      <c r="B531" s="3" t="s">
        <v>1937</v>
      </c>
      <c r="C531" s="3" t="s">
        <v>64</v>
      </c>
      <c r="D531" s="3" t="s">
        <v>83</v>
      </c>
      <c r="E531" s="3" t="s">
        <v>2310</v>
      </c>
      <c r="F531" s="4" t="s">
        <v>2311</v>
      </c>
      <c r="G531" s="4" t="s">
        <v>2307</v>
      </c>
      <c r="H531" s="5">
        <v>520000</v>
      </c>
      <c r="I531" s="5">
        <v>0</v>
      </c>
      <c r="J531" s="5">
        <v>520000</v>
      </c>
      <c r="K531" s="5">
        <v>0</v>
      </c>
      <c r="L531" s="5">
        <v>0</v>
      </c>
      <c r="M531" s="5">
        <v>0</v>
      </c>
      <c r="N531" s="5">
        <v>520000</v>
      </c>
      <c r="O531" s="5">
        <v>0</v>
      </c>
      <c r="P531" s="5">
        <v>0</v>
      </c>
      <c r="Q531" s="3" t="s">
        <v>34</v>
      </c>
      <c r="R531" s="3" t="s">
        <v>34</v>
      </c>
      <c r="S531" s="3" t="s">
        <v>34</v>
      </c>
      <c r="T531" s="3" t="s">
        <v>41</v>
      </c>
      <c r="U531" s="3" t="s">
        <v>34</v>
      </c>
      <c r="V531" s="3" t="s">
        <v>35</v>
      </c>
      <c r="W531" s="3" t="s">
        <v>2312</v>
      </c>
      <c r="X531" s="3"/>
      <c r="Y531" s="5">
        <v>520000</v>
      </c>
      <c r="Z531" s="5">
        <v>1</v>
      </c>
    </row>
    <row r="532" spans="1:26" ht="15.75" customHeight="1" x14ac:dyDescent="0.35">
      <c r="A532" s="2"/>
      <c r="B532" s="3" t="s">
        <v>1903</v>
      </c>
      <c r="C532" s="3" t="s">
        <v>64</v>
      </c>
      <c r="D532" s="3" t="s">
        <v>89</v>
      </c>
      <c r="E532" s="3" t="s">
        <v>2313</v>
      </c>
      <c r="F532" s="4" t="s">
        <v>2314</v>
      </c>
      <c r="G532" s="4" t="s">
        <v>2315</v>
      </c>
      <c r="H532" s="5">
        <v>500000</v>
      </c>
      <c r="I532" s="5">
        <v>0</v>
      </c>
      <c r="J532" s="5">
        <v>500000</v>
      </c>
      <c r="K532" s="5">
        <v>0</v>
      </c>
      <c r="L532" s="5">
        <v>500000</v>
      </c>
      <c r="M532" s="5">
        <v>0</v>
      </c>
      <c r="N532" s="5">
        <v>0</v>
      </c>
      <c r="O532" s="5">
        <v>0</v>
      </c>
      <c r="P532" s="5">
        <v>0</v>
      </c>
      <c r="Q532" s="3"/>
      <c r="R532" s="3"/>
      <c r="S532" s="3"/>
      <c r="T532" s="3" t="s">
        <v>34</v>
      </c>
      <c r="U532" s="3" t="s">
        <v>34</v>
      </c>
      <c r="V532" s="3" t="s">
        <v>35</v>
      </c>
      <c r="W532" s="3" t="s">
        <v>2316</v>
      </c>
      <c r="X532" s="3"/>
      <c r="Y532" s="5">
        <v>500000</v>
      </c>
      <c r="Z532" s="5">
        <v>1</v>
      </c>
    </row>
    <row r="533" spans="1:26" ht="15.75" customHeight="1" x14ac:dyDescent="0.35">
      <c r="A533" s="2"/>
      <c r="B533" s="3" t="s">
        <v>1741</v>
      </c>
      <c r="C533" s="3" t="s">
        <v>71</v>
      </c>
      <c r="D533" s="3" t="s">
        <v>72</v>
      </c>
      <c r="E533" s="3" t="s">
        <v>2317</v>
      </c>
      <c r="F533" s="4" t="s">
        <v>2318</v>
      </c>
      <c r="G533" s="4" t="s">
        <v>2319</v>
      </c>
      <c r="H533" s="5">
        <v>5500000</v>
      </c>
      <c r="I533" s="5">
        <v>0</v>
      </c>
      <c r="J533" s="5">
        <v>5500000</v>
      </c>
      <c r="K533" s="5">
        <v>0</v>
      </c>
      <c r="L533" s="5">
        <v>0</v>
      </c>
      <c r="M533" s="5">
        <v>0</v>
      </c>
      <c r="N533" s="5">
        <v>5500000</v>
      </c>
      <c r="O533" s="5">
        <v>0</v>
      </c>
      <c r="P533" s="5">
        <v>0</v>
      </c>
      <c r="Q533" s="3" t="s">
        <v>2320</v>
      </c>
      <c r="R533" s="3" t="s">
        <v>34</v>
      </c>
      <c r="S533" s="3" t="s">
        <v>34</v>
      </c>
      <c r="T533" s="3" t="s">
        <v>41</v>
      </c>
      <c r="U533" s="3" t="s">
        <v>34</v>
      </c>
      <c r="V533" s="3" t="s">
        <v>35</v>
      </c>
      <c r="W533" s="3" t="s">
        <v>2321</v>
      </c>
      <c r="X533" s="3"/>
      <c r="Y533" s="5">
        <v>550000</v>
      </c>
      <c r="Z533" s="5">
        <v>10</v>
      </c>
    </row>
    <row r="534" spans="1:26" ht="15.75" customHeight="1" x14ac:dyDescent="0.35">
      <c r="A534" s="2"/>
      <c r="B534" s="3" t="s">
        <v>1950</v>
      </c>
      <c r="C534" s="3" t="s">
        <v>71</v>
      </c>
      <c r="D534" s="3" t="s">
        <v>95</v>
      </c>
      <c r="E534" s="3" t="s">
        <v>2322</v>
      </c>
      <c r="F534" s="4" t="s">
        <v>2323</v>
      </c>
      <c r="G534" s="4" t="s">
        <v>2324</v>
      </c>
      <c r="H534" s="5">
        <v>1050000</v>
      </c>
      <c r="I534" s="5">
        <v>0</v>
      </c>
      <c r="J534" s="5">
        <v>1050000</v>
      </c>
      <c r="K534" s="5">
        <v>0</v>
      </c>
      <c r="L534" s="5">
        <v>-200000</v>
      </c>
      <c r="M534" s="5">
        <v>0</v>
      </c>
      <c r="N534" s="5">
        <v>1250000</v>
      </c>
      <c r="O534" s="5">
        <v>0</v>
      </c>
      <c r="P534" s="5">
        <v>0</v>
      </c>
      <c r="Q534" s="3" t="s">
        <v>34</v>
      </c>
      <c r="R534" s="3" t="s">
        <v>34</v>
      </c>
      <c r="S534" s="3" t="s">
        <v>2325</v>
      </c>
      <c r="T534" s="3" t="s">
        <v>34</v>
      </c>
      <c r="U534" s="3" t="s">
        <v>34</v>
      </c>
      <c r="V534" s="3" t="s">
        <v>35</v>
      </c>
      <c r="W534" s="3" t="s">
        <v>2326</v>
      </c>
      <c r="X534" s="3"/>
      <c r="Y534" s="5">
        <v>1050000</v>
      </c>
      <c r="Z534" s="5">
        <v>1</v>
      </c>
    </row>
    <row r="535" spans="1:26" ht="15.75" customHeight="1" x14ac:dyDescent="0.35">
      <c r="A535" s="2"/>
      <c r="B535" s="3" t="s">
        <v>2327</v>
      </c>
      <c r="C535" s="3" t="s">
        <v>59</v>
      </c>
      <c r="D535" s="3" t="s">
        <v>60</v>
      </c>
      <c r="E535" s="3" t="s">
        <v>2328</v>
      </c>
      <c r="F535" s="4" t="s">
        <v>2329</v>
      </c>
      <c r="G535" s="4" t="s">
        <v>2330</v>
      </c>
      <c r="H535" s="5">
        <v>1994972</v>
      </c>
      <c r="I535" s="5">
        <v>0</v>
      </c>
      <c r="J535" s="5">
        <v>1994972</v>
      </c>
      <c r="K535" s="5">
        <v>0</v>
      </c>
      <c r="L535" s="5">
        <v>0</v>
      </c>
      <c r="M535" s="5">
        <v>0</v>
      </c>
      <c r="N535" s="5">
        <v>0</v>
      </c>
      <c r="O535" s="5">
        <v>1994972</v>
      </c>
      <c r="P535" s="5">
        <v>0</v>
      </c>
      <c r="Q535" s="3" t="s">
        <v>2331</v>
      </c>
      <c r="R535" s="3" t="s">
        <v>34</v>
      </c>
      <c r="S535" s="3" t="s">
        <v>2332</v>
      </c>
      <c r="T535" s="3" t="s">
        <v>48</v>
      </c>
      <c r="U535" s="3" t="s">
        <v>34</v>
      </c>
      <c r="V535" s="3" t="s">
        <v>35</v>
      </c>
      <c r="W535" s="3" t="s">
        <v>2333</v>
      </c>
      <c r="X535" s="3" t="s">
        <v>2334</v>
      </c>
      <c r="Y535" s="5">
        <v>498743</v>
      </c>
      <c r="Z535" s="5">
        <v>4</v>
      </c>
    </row>
    <row r="536" spans="1:26" ht="15.75" customHeight="1" x14ac:dyDescent="0.35">
      <c r="A536" s="2"/>
      <c r="B536" s="3" t="s">
        <v>2097</v>
      </c>
      <c r="C536" s="3" t="s">
        <v>29</v>
      </c>
      <c r="D536" s="3" t="s">
        <v>110</v>
      </c>
      <c r="E536" s="3" t="s">
        <v>2335</v>
      </c>
      <c r="F536" s="4" t="s">
        <v>2336</v>
      </c>
      <c r="G536" s="4" t="s">
        <v>2337</v>
      </c>
      <c r="H536" s="5">
        <v>350000</v>
      </c>
      <c r="I536" s="5">
        <v>0</v>
      </c>
      <c r="J536" s="5">
        <v>350000</v>
      </c>
      <c r="K536" s="5">
        <v>0</v>
      </c>
      <c r="L536" s="5">
        <v>350000</v>
      </c>
      <c r="M536" s="5">
        <v>0</v>
      </c>
      <c r="N536" s="5">
        <v>0</v>
      </c>
      <c r="O536" s="5">
        <v>0</v>
      </c>
      <c r="P536" s="5">
        <v>0</v>
      </c>
      <c r="Q536" s="3"/>
      <c r="R536" s="3"/>
      <c r="S536" s="3"/>
      <c r="T536" s="3" t="s">
        <v>41</v>
      </c>
      <c r="U536" s="3" t="s">
        <v>34</v>
      </c>
      <c r="V536" s="3" t="s">
        <v>35</v>
      </c>
      <c r="W536" s="3" t="s">
        <v>2338</v>
      </c>
      <c r="X536" s="3"/>
      <c r="Y536" s="5">
        <v>350000</v>
      </c>
      <c r="Z536" s="5">
        <v>1</v>
      </c>
    </row>
    <row r="537" spans="1:26" ht="15.75" customHeight="1" x14ac:dyDescent="0.35">
      <c r="A537" s="2"/>
      <c r="B537" s="3" t="s">
        <v>1962</v>
      </c>
      <c r="C537" s="3" t="s">
        <v>64</v>
      </c>
      <c r="D537" s="3" t="s">
        <v>89</v>
      </c>
      <c r="E537" s="3" t="s">
        <v>376</v>
      </c>
      <c r="F537" s="4" t="s">
        <v>2339</v>
      </c>
      <c r="G537" s="4" t="s">
        <v>2340</v>
      </c>
      <c r="H537" s="5">
        <v>500000</v>
      </c>
      <c r="I537" s="5">
        <v>0</v>
      </c>
      <c r="J537" s="5">
        <v>500000</v>
      </c>
      <c r="K537" s="5">
        <v>0</v>
      </c>
      <c r="L537" s="5">
        <v>500000</v>
      </c>
      <c r="M537" s="5">
        <v>0</v>
      </c>
      <c r="N537" s="5">
        <v>0</v>
      </c>
      <c r="O537" s="5">
        <v>0</v>
      </c>
      <c r="P537" s="5">
        <v>0</v>
      </c>
      <c r="Q537" s="3" t="s">
        <v>378</v>
      </c>
      <c r="R537" s="3" t="s">
        <v>34</v>
      </c>
      <c r="S537" s="3" t="s">
        <v>34</v>
      </c>
      <c r="T537" s="3" t="s">
        <v>41</v>
      </c>
      <c r="U537" s="3" t="s">
        <v>34</v>
      </c>
      <c r="V537" s="3" t="s">
        <v>35</v>
      </c>
      <c r="W537" s="3" t="s">
        <v>2341</v>
      </c>
      <c r="X537" s="3"/>
      <c r="Y537" s="5">
        <v>500000</v>
      </c>
      <c r="Z537" s="5">
        <v>1</v>
      </c>
    </row>
    <row r="538" spans="1:26" ht="15.75" customHeight="1" x14ac:dyDescent="0.35">
      <c r="A538" s="2"/>
      <c r="B538" s="3" t="s">
        <v>1998</v>
      </c>
      <c r="C538" s="3" t="s">
        <v>59</v>
      </c>
      <c r="D538" s="3" t="s">
        <v>193</v>
      </c>
      <c r="E538" s="3" t="s">
        <v>461</v>
      </c>
      <c r="F538" s="4" t="s">
        <v>2342</v>
      </c>
      <c r="G538" s="4" t="s">
        <v>2343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3" t="s">
        <v>464</v>
      </c>
      <c r="R538" s="3" t="s">
        <v>34</v>
      </c>
      <c r="S538" s="3" t="s">
        <v>34</v>
      </c>
      <c r="T538" s="3" t="s">
        <v>34</v>
      </c>
      <c r="U538" s="3" t="s">
        <v>34</v>
      </c>
      <c r="V538" s="3" t="s">
        <v>35</v>
      </c>
      <c r="W538" s="3" t="s">
        <v>2344</v>
      </c>
      <c r="X538" s="3"/>
      <c r="Y538" s="5">
        <v>0</v>
      </c>
      <c r="Z538" s="5">
        <v>2</v>
      </c>
    </row>
    <row r="539" spans="1:26" ht="15.75" customHeight="1" x14ac:dyDescent="0.35">
      <c r="A539" s="2"/>
      <c r="B539" s="3" t="s">
        <v>2345</v>
      </c>
      <c r="C539" s="3" t="s">
        <v>59</v>
      </c>
      <c r="D539" s="3" t="s">
        <v>60</v>
      </c>
      <c r="E539" s="3" t="s">
        <v>2346</v>
      </c>
      <c r="F539" s="4" t="s">
        <v>2347</v>
      </c>
      <c r="G539" s="4" t="s">
        <v>2348</v>
      </c>
      <c r="H539" s="5">
        <v>600000</v>
      </c>
      <c r="I539" s="5">
        <v>0</v>
      </c>
      <c r="J539" s="5">
        <v>600000</v>
      </c>
      <c r="K539" s="5">
        <v>0</v>
      </c>
      <c r="L539" s="5">
        <v>600000</v>
      </c>
      <c r="M539" s="5">
        <v>0</v>
      </c>
      <c r="N539" s="5">
        <v>0</v>
      </c>
      <c r="O539" s="5">
        <v>0</v>
      </c>
      <c r="P539" s="5">
        <v>0</v>
      </c>
      <c r="Q539" s="3" t="s">
        <v>34</v>
      </c>
      <c r="R539" s="3" t="s">
        <v>34</v>
      </c>
      <c r="S539" s="3" t="s">
        <v>34</v>
      </c>
      <c r="T539" s="3" t="s">
        <v>41</v>
      </c>
      <c r="U539" s="3" t="s">
        <v>34</v>
      </c>
      <c r="V539" s="3" t="s">
        <v>35</v>
      </c>
      <c r="W539" s="3" t="s">
        <v>2349</v>
      </c>
      <c r="X539" s="3"/>
      <c r="Y539" s="5">
        <v>600000</v>
      </c>
      <c r="Z539" s="5">
        <v>1</v>
      </c>
    </row>
    <row r="540" spans="1:26" ht="15.75" customHeight="1" x14ac:dyDescent="0.35">
      <c r="A540" s="2"/>
      <c r="B540" s="3" t="s">
        <v>1976</v>
      </c>
      <c r="C540" s="3" t="s">
        <v>71</v>
      </c>
      <c r="D540" s="3" t="s">
        <v>95</v>
      </c>
      <c r="E540" s="3" t="s">
        <v>2350</v>
      </c>
      <c r="F540" s="4" t="s">
        <v>2351</v>
      </c>
      <c r="G540" s="4" t="s">
        <v>2348</v>
      </c>
      <c r="H540" s="5">
        <v>1254964</v>
      </c>
      <c r="I540" s="5">
        <v>0</v>
      </c>
      <c r="J540" s="5">
        <v>1254964</v>
      </c>
      <c r="K540" s="5">
        <v>0</v>
      </c>
      <c r="L540" s="5">
        <v>0</v>
      </c>
      <c r="M540" s="5">
        <v>0</v>
      </c>
      <c r="N540" s="5">
        <v>0</v>
      </c>
      <c r="O540" s="5">
        <v>1254964</v>
      </c>
      <c r="P540" s="5">
        <v>0</v>
      </c>
      <c r="Q540" s="3" t="s">
        <v>2352</v>
      </c>
      <c r="R540" s="3" t="s">
        <v>2353</v>
      </c>
      <c r="S540" s="3" t="s">
        <v>34</v>
      </c>
      <c r="T540" s="3" t="s">
        <v>48</v>
      </c>
      <c r="U540" s="3" t="s">
        <v>34</v>
      </c>
      <c r="V540" s="3" t="s">
        <v>35</v>
      </c>
      <c r="W540" s="3" t="s">
        <v>2354</v>
      </c>
      <c r="X540" s="3" t="s">
        <v>2355</v>
      </c>
      <c r="Y540" s="5">
        <v>627482</v>
      </c>
      <c r="Z540" s="5">
        <v>2</v>
      </c>
    </row>
    <row r="541" spans="1:26" ht="15.75" customHeight="1" x14ac:dyDescent="0.35">
      <c r="A541" s="2"/>
      <c r="B541" s="3" t="s">
        <v>2002</v>
      </c>
      <c r="C541" s="3" t="s">
        <v>29</v>
      </c>
      <c r="D541" s="3" t="s">
        <v>413</v>
      </c>
      <c r="E541" s="3" t="s">
        <v>2356</v>
      </c>
      <c r="F541" s="4" t="s">
        <v>2357</v>
      </c>
      <c r="G541" s="4" t="s">
        <v>2358</v>
      </c>
      <c r="H541" s="5">
        <v>674822</v>
      </c>
      <c r="I541" s="5">
        <v>0</v>
      </c>
      <c r="J541" s="5">
        <v>674822</v>
      </c>
      <c r="K541" s="5">
        <v>0</v>
      </c>
      <c r="L541" s="5">
        <v>0</v>
      </c>
      <c r="M541" s="5">
        <v>0</v>
      </c>
      <c r="N541" s="5">
        <v>0</v>
      </c>
      <c r="O541" s="5">
        <v>674822</v>
      </c>
      <c r="P541" s="5">
        <v>0</v>
      </c>
      <c r="Q541" s="3" t="s">
        <v>2359</v>
      </c>
      <c r="R541" s="3" t="s">
        <v>34</v>
      </c>
      <c r="S541" s="3" t="s">
        <v>34</v>
      </c>
      <c r="T541" s="3" t="s">
        <v>48</v>
      </c>
      <c r="U541" s="3" t="s">
        <v>34</v>
      </c>
      <c r="V541" s="3" t="s">
        <v>35</v>
      </c>
      <c r="W541" s="3" t="s">
        <v>2360</v>
      </c>
      <c r="X541" s="3" t="s">
        <v>2361</v>
      </c>
      <c r="Y541" s="5">
        <v>674822</v>
      </c>
      <c r="Z541" s="5">
        <v>1</v>
      </c>
    </row>
    <row r="542" spans="1:26" ht="15.75" customHeight="1" x14ac:dyDescent="0.35">
      <c r="A542" s="2"/>
      <c r="B542" s="3" t="s">
        <v>2031</v>
      </c>
      <c r="C542" s="3" t="s">
        <v>29</v>
      </c>
      <c r="D542" s="3" t="s">
        <v>30</v>
      </c>
      <c r="E542" s="3" t="s">
        <v>2362</v>
      </c>
      <c r="F542" s="4" t="s">
        <v>2363</v>
      </c>
      <c r="G542" s="4" t="s">
        <v>2364</v>
      </c>
      <c r="H542" s="5">
        <v>760000</v>
      </c>
      <c r="I542" s="5">
        <v>0</v>
      </c>
      <c r="J542" s="5">
        <v>760000</v>
      </c>
      <c r="K542" s="5">
        <v>0</v>
      </c>
      <c r="L542" s="5">
        <v>0</v>
      </c>
      <c r="M542" s="5">
        <v>0</v>
      </c>
      <c r="N542" s="5">
        <v>760000</v>
      </c>
      <c r="O542" s="5">
        <v>0</v>
      </c>
      <c r="P542" s="5">
        <v>0</v>
      </c>
      <c r="Q542" s="3" t="s">
        <v>2365</v>
      </c>
      <c r="R542" s="3" t="s">
        <v>2366</v>
      </c>
      <c r="S542" s="3" t="s">
        <v>2367</v>
      </c>
      <c r="T542" s="3" t="s">
        <v>41</v>
      </c>
      <c r="U542" s="3" t="s">
        <v>34</v>
      </c>
      <c r="V542" s="3" t="s">
        <v>35</v>
      </c>
      <c r="W542" s="3" t="s">
        <v>2368</v>
      </c>
      <c r="X542" s="3"/>
      <c r="Y542" s="5">
        <v>760000</v>
      </c>
      <c r="Z542" s="5">
        <v>1</v>
      </c>
    </row>
    <row r="543" spans="1:26" ht="15.75" customHeight="1" x14ac:dyDescent="0.35">
      <c r="A543" s="2"/>
      <c r="B543" s="3" t="s">
        <v>1989</v>
      </c>
      <c r="C543" s="3" t="s">
        <v>71</v>
      </c>
      <c r="D543" s="3" t="s">
        <v>72</v>
      </c>
      <c r="E543" s="3" t="s">
        <v>2369</v>
      </c>
      <c r="F543" s="4" t="s">
        <v>2370</v>
      </c>
      <c r="G543" s="4" t="s">
        <v>2371</v>
      </c>
      <c r="H543" s="5">
        <v>1000000</v>
      </c>
      <c r="I543" s="5">
        <v>0</v>
      </c>
      <c r="J543" s="5">
        <v>1000000</v>
      </c>
      <c r="K543" s="5">
        <v>0</v>
      </c>
      <c r="L543" s="5">
        <v>1000000</v>
      </c>
      <c r="M543" s="5">
        <v>0</v>
      </c>
      <c r="N543" s="5">
        <v>0</v>
      </c>
      <c r="O543" s="5">
        <v>0</v>
      </c>
      <c r="P543" s="5">
        <v>0</v>
      </c>
      <c r="Q543" s="3"/>
      <c r="R543" s="3"/>
      <c r="S543" s="3"/>
      <c r="T543" s="3" t="s">
        <v>41</v>
      </c>
      <c r="U543" s="3" t="s">
        <v>34</v>
      </c>
      <c r="V543" s="3" t="s">
        <v>35</v>
      </c>
      <c r="W543" s="3" t="s">
        <v>2372</v>
      </c>
      <c r="X543" s="3"/>
      <c r="Y543" s="5">
        <v>500000</v>
      </c>
      <c r="Z543" s="5">
        <v>2</v>
      </c>
    </row>
    <row r="544" spans="1:26" ht="15.75" customHeight="1" x14ac:dyDescent="0.35">
      <c r="A544" s="2"/>
      <c r="B544" s="3" t="s">
        <v>2373</v>
      </c>
      <c r="C544" s="3" t="s">
        <v>64</v>
      </c>
      <c r="D544" s="3" t="s">
        <v>83</v>
      </c>
      <c r="E544" s="3" t="s">
        <v>2374</v>
      </c>
      <c r="F544" s="4" t="s">
        <v>2375</v>
      </c>
      <c r="G544" s="4" t="s">
        <v>2371</v>
      </c>
      <c r="H544" s="5">
        <v>549000</v>
      </c>
      <c r="I544" s="5">
        <v>0</v>
      </c>
      <c r="J544" s="5">
        <v>549000</v>
      </c>
      <c r="K544" s="5">
        <v>0</v>
      </c>
      <c r="L544" s="5">
        <v>0</v>
      </c>
      <c r="M544" s="5">
        <v>0</v>
      </c>
      <c r="N544" s="5">
        <v>549000</v>
      </c>
      <c r="O544" s="5">
        <v>0</v>
      </c>
      <c r="P544" s="5">
        <v>0</v>
      </c>
      <c r="Q544" s="3" t="s">
        <v>34</v>
      </c>
      <c r="R544" s="3" t="s">
        <v>34</v>
      </c>
      <c r="S544" s="3" t="s">
        <v>34</v>
      </c>
      <c r="T544" s="3" t="s">
        <v>41</v>
      </c>
      <c r="U544" s="3" t="s">
        <v>34</v>
      </c>
      <c r="V544" s="3" t="s">
        <v>35</v>
      </c>
      <c r="W544" s="3" t="s">
        <v>2376</v>
      </c>
      <c r="X544" s="3"/>
      <c r="Y544" s="5">
        <v>549000</v>
      </c>
      <c r="Z544" s="5">
        <v>1</v>
      </c>
    </row>
    <row r="545" spans="1:26" ht="15.75" customHeight="1" x14ac:dyDescent="0.35">
      <c r="A545" s="2"/>
      <c r="B545" s="3" t="s">
        <v>1709</v>
      </c>
      <c r="C545" s="3" t="s">
        <v>64</v>
      </c>
      <c r="D545" s="3" t="s">
        <v>89</v>
      </c>
      <c r="E545" s="3" t="s">
        <v>2377</v>
      </c>
      <c r="F545" s="4" t="s">
        <v>2378</v>
      </c>
      <c r="G545" s="4" t="s">
        <v>2379</v>
      </c>
      <c r="H545" s="5">
        <v>1100000</v>
      </c>
      <c r="I545" s="5">
        <v>0</v>
      </c>
      <c r="J545" s="5">
        <v>1100000</v>
      </c>
      <c r="K545" s="5">
        <v>0</v>
      </c>
      <c r="L545" s="5">
        <v>875000</v>
      </c>
      <c r="M545" s="5">
        <v>0</v>
      </c>
      <c r="N545" s="5">
        <v>225000</v>
      </c>
      <c r="O545" s="5">
        <v>0</v>
      </c>
      <c r="P545" s="5">
        <v>0</v>
      </c>
      <c r="Q545" s="3" t="s">
        <v>2380</v>
      </c>
      <c r="R545" s="3" t="s">
        <v>34</v>
      </c>
      <c r="S545" s="3" t="s">
        <v>34</v>
      </c>
      <c r="T545" s="3" t="s">
        <v>41</v>
      </c>
      <c r="U545" s="3" t="s">
        <v>34</v>
      </c>
      <c r="V545" s="3" t="s">
        <v>35</v>
      </c>
      <c r="W545" s="3" t="s">
        <v>2381</v>
      </c>
      <c r="X545" s="3"/>
      <c r="Y545" s="5">
        <v>550000</v>
      </c>
      <c r="Z545" s="5">
        <v>2</v>
      </c>
    </row>
    <row r="546" spans="1:26" ht="15.75" customHeight="1" x14ac:dyDescent="0.35">
      <c r="A546" s="2"/>
      <c r="B546" s="3" t="s">
        <v>1941</v>
      </c>
      <c r="C546" s="3" t="s">
        <v>59</v>
      </c>
      <c r="D546" s="3" t="s">
        <v>122</v>
      </c>
      <c r="E546" s="3" t="s">
        <v>2382</v>
      </c>
      <c r="F546" s="4" t="s">
        <v>2383</v>
      </c>
      <c r="G546" s="4" t="s">
        <v>2379</v>
      </c>
      <c r="H546" s="5">
        <v>2596000</v>
      </c>
      <c r="I546" s="5">
        <v>0</v>
      </c>
      <c r="J546" s="5">
        <v>2596000</v>
      </c>
      <c r="K546" s="5">
        <v>0</v>
      </c>
      <c r="L546" s="5">
        <v>2596000</v>
      </c>
      <c r="M546" s="5">
        <v>0</v>
      </c>
      <c r="N546" s="5">
        <v>0</v>
      </c>
      <c r="O546" s="5">
        <v>0</v>
      </c>
      <c r="P546" s="5">
        <v>0</v>
      </c>
      <c r="Q546" s="3" t="s">
        <v>34</v>
      </c>
      <c r="R546" s="3" t="s">
        <v>34</v>
      </c>
      <c r="S546" s="3" t="s">
        <v>2384</v>
      </c>
      <c r="T546" s="3" t="s">
        <v>41</v>
      </c>
      <c r="U546" s="3" t="s">
        <v>34</v>
      </c>
      <c r="V546" s="3" t="s">
        <v>35</v>
      </c>
      <c r="W546" s="3" t="s">
        <v>2385</v>
      </c>
      <c r="X546" s="3"/>
      <c r="Y546" s="5">
        <v>649000</v>
      </c>
      <c r="Z546" s="5">
        <v>4</v>
      </c>
    </row>
    <row r="547" spans="1:26" ht="15.75" customHeight="1" x14ac:dyDescent="0.35">
      <c r="A547" s="2"/>
      <c r="B547" s="3" t="s">
        <v>1941</v>
      </c>
      <c r="C547" s="3" t="s">
        <v>59</v>
      </c>
      <c r="D547" s="3" t="s">
        <v>182</v>
      </c>
      <c r="E547" s="3" t="s">
        <v>2386</v>
      </c>
      <c r="F547" s="4" t="s">
        <v>2387</v>
      </c>
      <c r="G547" s="4" t="s">
        <v>2379</v>
      </c>
      <c r="H547" s="5">
        <v>2596000</v>
      </c>
      <c r="I547" s="5">
        <v>0</v>
      </c>
      <c r="J547" s="5">
        <v>2596000</v>
      </c>
      <c r="K547" s="5">
        <v>0</v>
      </c>
      <c r="L547" s="5">
        <v>2596000</v>
      </c>
      <c r="M547" s="5">
        <v>0</v>
      </c>
      <c r="N547" s="5">
        <v>0</v>
      </c>
      <c r="O547" s="5">
        <v>0</v>
      </c>
      <c r="P547" s="5">
        <v>0</v>
      </c>
      <c r="Q547" s="3" t="s">
        <v>34</v>
      </c>
      <c r="R547" s="3" t="s">
        <v>34</v>
      </c>
      <c r="S547" s="3" t="s">
        <v>2388</v>
      </c>
      <c r="T547" s="3" t="s">
        <v>41</v>
      </c>
      <c r="U547" s="3" t="s">
        <v>34</v>
      </c>
      <c r="V547" s="3" t="s">
        <v>35</v>
      </c>
      <c r="W547" s="3" t="s">
        <v>2389</v>
      </c>
      <c r="X547" s="3"/>
      <c r="Y547" s="5">
        <v>649000</v>
      </c>
      <c r="Z547" s="5">
        <v>4</v>
      </c>
    </row>
    <row r="548" spans="1:26" ht="15.75" customHeight="1" x14ac:dyDescent="0.35">
      <c r="A548" s="2"/>
      <c r="B548" s="3" t="s">
        <v>1941</v>
      </c>
      <c r="C548" s="3" t="s">
        <v>64</v>
      </c>
      <c r="D548" s="3" t="s">
        <v>65</v>
      </c>
      <c r="E548" s="3" t="s">
        <v>2390</v>
      </c>
      <c r="F548" s="4" t="s">
        <v>2391</v>
      </c>
      <c r="G548" s="4" t="s">
        <v>2379</v>
      </c>
      <c r="H548" s="5">
        <v>2196000</v>
      </c>
      <c r="I548" s="5">
        <v>0</v>
      </c>
      <c r="J548" s="5">
        <v>2196000</v>
      </c>
      <c r="K548" s="5">
        <v>0</v>
      </c>
      <c r="L548" s="5">
        <v>2196000</v>
      </c>
      <c r="M548" s="5">
        <v>0</v>
      </c>
      <c r="N548" s="5">
        <v>0</v>
      </c>
      <c r="O548" s="5">
        <v>0</v>
      </c>
      <c r="P548" s="5">
        <v>0</v>
      </c>
      <c r="Q548" s="3" t="s">
        <v>34</v>
      </c>
      <c r="R548" s="3" t="s">
        <v>34</v>
      </c>
      <c r="S548" s="3" t="s">
        <v>2392</v>
      </c>
      <c r="T548" s="3" t="s">
        <v>41</v>
      </c>
      <c r="U548" s="3" t="s">
        <v>34</v>
      </c>
      <c r="V548" s="3" t="s">
        <v>35</v>
      </c>
      <c r="W548" s="3" t="s">
        <v>2393</v>
      </c>
      <c r="X548" s="3"/>
      <c r="Y548" s="5">
        <v>549000</v>
      </c>
      <c r="Z548" s="5">
        <v>4</v>
      </c>
    </row>
    <row r="549" spans="1:26" ht="15.75" customHeight="1" x14ac:dyDescent="0.35">
      <c r="A549" s="2"/>
      <c r="B549" s="3" t="s">
        <v>1965</v>
      </c>
      <c r="C549" s="3" t="s">
        <v>29</v>
      </c>
      <c r="D549" s="3" t="s">
        <v>30</v>
      </c>
      <c r="E549" s="3" t="s">
        <v>2394</v>
      </c>
      <c r="F549" s="4" t="s">
        <v>2395</v>
      </c>
      <c r="G549" s="4" t="s">
        <v>2379</v>
      </c>
      <c r="H549" s="5">
        <v>674871</v>
      </c>
      <c r="I549" s="5">
        <v>0</v>
      </c>
      <c r="J549" s="5">
        <v>674871</v>
      </c>
      <c r="K549" s="5">
        <v>0</v>
      </c>
      <c r="L549" s="5">
        <v>0</v>
      </c>
      <c r="M549" s="5">
        <v>0</v>
      </c>
      <c r="N549" s="5">
        <v>0</v>
      </c>
      <c r="O549" s="5">
        <v>674871</v>
      </c>
      <c r="P549" s="5">
        <v>0</v>
      </c>
      <c r="Q549" s="3" t="s">
        <v>2396</v>
      </c>
      <c r="R549" s="3" t="s">
        <v>34</v>
      </c>
      <c r="S549" s="3" t="s">
        <v>2397</v>
      </c>
      <c r="T549" s="3" t="s">
        <v>48</v>
      </c>
      <c r="U549" s="3" t="s">
        <v>34</v>
      </c>
      <c r="V549" s="3" t="s">
        <v>35</v>
      </c>
      <c r="W549" s="3" t="s">
        <v>2398</v>
      </c>
      <c r="X549" s="3" t="s">
        <v>2399</v>
      </c>
      <c r="Y549" s="5">
        <v>674871</v>
      </c>
      <c r="Z549" s="5">
        <v>1</v>
      </c>
    </row>
    <row r="550" spans="1:26" ht="15.75" customHeight="1" x14ac:dyDescent="0.35">
      <c r="A550" s="2"/>
      <c r="B550" s="3" t="s">
        <v>1941</v>
      </c>
      <c r="C550" s="3" t="s">
        <v>64</v>
      </c>
      <c r="D550" s="3" t="s">
        <v>76</v>
      </c>
      <c r="E550" s="3" t="s">
        <v>2400</v>
      </c>
      <c r="F550" s="4" t="s">
        <v>2383</v>
      </c>
      <c r="G550" s="4" t="s">
        <v>2401</v>
      </c>
      <c r="H550" s="5">
        <v>2196000</v>
      </c>
      <c r="I550" s="5">
        <v>0</v>
      </c>
      <c r="J550" s="5">
        <v>2196000</v>
      </c>
      <c r="K550" s="5">
        <v>0</v>
      </c>
      <c r="L550" s="5">
        <v>2196000</v>
      </c>
      <c r="M550" s="5">
        <v>0</v>
      </c>
      <c r="N550" s="5">
        <v>0</v>
      </c>
      <c r="O550" s="5">
        <v>0</v>
      </c>
      <c r="P550" s="5">
        <v>0</v>
      </c>
      <c r="Q550" s="3" t="s">
        <v>34</v>
      </c>
      <c r="R550" s="3" t="s">
        <v>34</v>
      </c>
      <c r="S550" s="3" t="s">
        <v>34</v>
      </c>
      <c r="T550" s="3" t="s">
        <v>41</v>
      </c>
      <c r="U550" s="3" t="s">
        <v>34</v>
      </c>
      <c r="V550" s="3" t="s">
        <v>35</v>
      </c>
      <c r="W550" s="3" t="s">
        <v>2402</v>
      </c>
      <c r="X550" s="3"/>
      <c r="Y550" s="5">
        <v>549000</v>
      </c>
      <c r="Z550" s="5">
        <v>4</v>
      </c>
    </row>
    <row r="551" spans="1:26" ht="15.75" customHeight="1" x14ac:dyDescent="0.35">
      <c r="A551" s="2"/>
      <c r="B551" s="3" t="s">
        <v>1941</v>
      </c>
      <c r="C551" s="3" t="s">
        <v>71</v>
      </c>
      <c r="D551" s="3" t="s">
        <v>1086</v>
      </c>
      <c r="E551" s="3" t="s">
        <v>2403</v>
      </c>
      <c r="F551" s="4" t="s">
        <v>2383</v>
      </c>
      <c r="G551" s="4" t="s">
        <v>2401</v>
      </c>
      <c r="H551" s="5">
        <v>2796000</v>
      </c>
      <c r="I551" s="5">
        <v>0</v>
      </c>
      <c r="J551" s="5">
        <v>2796000</v>
      </c>
      <c r="K551" s="5">
        <v>0</v>
      </c>
      <c r="L551" s="5">
        <v>2796000</v>
      </c>
      <c r="M551" s="5">
        <v>0</v>
      </c>
      <c r="N551" s="5">
        <v>0</v>
      </c>
      <c r="O551" s="5">
        <v>0</v>
      </c>
      <c r="P551" s="5">
        <v>0</v>
      </c>
      <c r="Q551" s="3" t="s">
        <v>34</v>
      </c>
      <c r="R551" s="3" t="s">
        <v>34</v>
      </c>
      <c r="S551" s="3" t="s">
        <v>2404</v>
      </c>
      <c r="T551" s="3" t="s">
        <v>41</v>
      </c>
      <c r="U551" s="3" t="s">
        <v>34</v>
      </c>
      <c r="V551" s="3" t="s">
        <v>35</v>
      </c>
      <c r="W551" s="3" t="s">
        <v>2405</v>
      </c>
      <c r="X551" s="3"/>
      <c r="Y551" s="5">
        <v>699000</v>
      </c>
      <c r="Z551" s="5">
        <v>4</v>
      </c>
    </row>
    <row r="552" spans="1:26" ht="15.75" customHeight="1" x14ac:dyDescent="0.35">
      <c r="A552" s="2"/>
      <c r="B552" s="3" t="s">
        <v>2016</v>
      </c>
      <c r="C552" s="3" t="s">
        <v>59</v>
      </c>
      <c r="D552" s="3" t="s">
        <v>193</v>
      </c>
      <c r="E552" s="3" t="s">
        <v>2406</v>
      </c>
      <c r="F552" s="4" t="s">
        <v>2407</v>
      </c>
      <c r="G552" s="4" t="s">
        <v>2408</v>
      </c>
      <c r="H552" s="5">
        <v>1300000</v>
      </c>
      <c r="I552" s="5">
        <v>0</v>
      </c>
      <c r="J552" s="5">
        <v>1300000</v>
      </c>
      <c r="K552" s="5">
        <v>0</v>
      </c>
      <c r="L552" s="5">
        <v>0</v>
      </c>
      <c r="M552" s="5">
        <v>0</v>
      </c>
      <c r="N552" s="5">
        <v>1300000</v>
      </c>
      <c r="O552" s="5">
        <v>0</v>
      </c>
      <c r="P552" s="5">
        <v>0</v>
      </c>
      <c r="Q552" s="3" t="s">
        <v>34</v>
      </c>
      <c r="R552" s="3" t="s">
        <v>34</v>
      </c>
      <c r="S552" s="3" t="s">
        <v>2409</v>
      </c>
      <c r="T552" s="3" t="s">
        <v>41</v>
      </c>
      <c r="U552" s="3" t="s">
        <v>34</v>
      </c>
      <c r="V552" s="3" t="s">
        <v>35</v>
      </c>
      <c r="W552" s="3" t="s">
        <v>2410</v>
      </c>
      <c r="X552" s="3"/>
      <c r="Y552" s="5">
        <v>650000</v>
      </c>
      <c r="Z552" s="5">
        <v>2</v>
      </c>
    </row>
    <row r="553" spans="1:26" ht="15.75" customHeight="1" x14ac:dyDescent="0.35">
      <c r="A553" s="2"/>
      <c r="B553" s="3" t="s">
        <v>1941</v>
      </c>
      <c r="C553" s="3" t="s">
        <v>64</v>
      </c>
      <c r="D553" s="3" t="s">
        <v>99</v>
      </c>
      <c r="E553" s="3" t="s">
        <v>2411</v>
      </c>
      <c r="F553" s="4" t="s">
        <v>2391</v>
      </c>
      <c r="G553" s="4" t="s">
        <v>2408</v>
      </c>
      <c r="H553" s="5">
        <v>2745000</v>
      </c>
      <c r="I553" s="5">
        <v>0</v>
      </c>
      <c r="J553" s="5">
        <v>2745000</v>
      </c>
      <c r="K553" s="5">
        <v>0</v>
      </c>
      <c r="L553" s="5">
        <v>2745000</v>
      </c>
      <c r="M553" s="5">
        <v>0</v>
      </c>
      <c r="N553" s="5">
        <v>0</v>
      </c>
      <c r="O553" s="5">
        <v>0</v>
      </c>
      <c r="P553" s="5">
        <v>0</v>
      </c>
      <c r="Q553" s="3" t="s">
        <v>34</v>
      </c>
      <c r="R553" s="3" t="s">
        <v>34</v>
      </c>
      <c r="S553" s="3" t="s">
        <v>2412</v>
      </c>
      <c r="T553" s="3" t="s">
        <v>41</v>
      </c>
      <c r="U553" s="3" t="s">
        <v>34</v>
      </c>
      <c r="V553" s="3" t="s">
        <v>35</v>
      </c>
      <c r="W553" s="3" t="s">
        <v>2413</v>
      </c>
      <c r="X553" s="3"/>
      <c r="Y553" s="5">
        <v>549000</v>
      </c>
      <c r="Z553" s="5">
        <v>5</v>
      </c>
    </row>
    <row r="554" spans="1:26" ht="15.75" customHeight="1" x14ac:dyDescent="0.35">
      <c r="A554" s="2"/>
      <c r="B554" s="3" t="s">
        <v>2034</v>
      </c>
      <c r="C554" s="3" t="s">
        <v>64</v>
      </c>
      <c r="D554" s="3" t="s">
        <v>65</v>
      </c>
      <c r="E554" s="3" t="s">
        <v>2414</v>
      </c>
      <c r="F554" s="4" t="s">
        <v>2415</v>
      </c>
      <c r="G554" s="4" t="s">
        <v>2416</v>
      </c>
      <c r="H554" s="5">
        <v>500000</v>
      </c>
      <c r="I554" s="5">
        <v>0</v>
      </c>
      <c r="J554" s="5">
        <v>500000</v>
      </c>
      <c r="K554" s="5">
        <v>0</v>
      </c>
      <c r="L554" s="5">
        <v>500000</v>
      </c>
      <c r="M554" s="5">
        <v>0</v>
      </c>
      <c r="N554" s="5">
        <v>0</v>
      </c>
      <c r="O554" s="5">
        <v>0</v>
      </c>
      <c r="P554" s="5">
        <v>0</v>
      </c>
      <c r="Q554" s="3" t="s">
        <v>34</v>
      </c>
      <c r="R554" s="3" t="s">
        <v>34</v>
      </c>
      <c r="S554" s="3" t="s">
        <v>34</v>
      </c>
      <c r="T554" s="3" t="s">
        <v>41</v>
      </c>
      <c r="U554" s="3" t="s">
        <v>34</v>
      </c>
      <c r="V554" s="3" t="s">
        <v>35</v>
      </c>
      <c r="W554" s="3" t="s">
        <v>2417</v>
      </c>
      <c r="X554" s="3"/>
      <c r="Y554" s="5">
        <v>500000</v>
      </c>
      <c r="Z554" s="5">
        <v>1</v>
      </c>
    </row>
    <row r="555" spans="1:26" ht="15.75" customHeight="1" x14ac:dyDescent="0.35">
      <c r="A555" s="2"/>
      <c r="B555" s="3" t="s">
        <v>2021</v>
      </c>
      <c r="C555" s="3" t="s">
        <v>64</v>
      </c>
      <c r="D555" s="3" t="s">
        <v>83</v>
      </c>
      <c r="E555" s="3" t="s">
        <v>2418</v>
      </c>
      <c r="F555" s="4" t="s">
        <v>2419</v>
      </c>
      <c r="G555" s="4" t="s">
        <v>2420</v>
      </c>
      <c r="H555" s="5">
        <v>534000</v>
      </c>
      <c r="I555" s="5">
        <v>0</v>
      </c>
      <c r="J555" s="5">
        <v>534000</v>
      </c>
      <c r="K555" s="5">
        <v>0</v>
      </c>
      <c r="L555" s="5">
        <v>0</v>
      </c>
      <c r="M555" s="5">
        <v>0</v>
      </c>
      <c r="N555" s="5">
        <v>0</v>
      </c>
      <c r="O555" s="5">
        <v>534000</v>
      </c>
      <c r="P555" s="5">
        <v>0</v>
      </c>
      <c r="Q555" s="3" t="s">
        <v>34</v>
      </c>
      <c r="R555" s="3" t="s">
        <v>34</v>
      </c>
      <c r="S555" s="3" t="s">
        <v>2421</v>
      </c>
      <c r="T555" s="3" t="s">
        <v>48</v>
      </c>
      <c r="U555" s="3" t="s">
        <v>34</v>
      </c>
      <c r="V555" s="3" t="s">
        <v>35</v>
      </c>
      <c r="W555" s="3" t="s">
        <v>2422</v>
      </c>
      <c r="X555" s="3" t="s">
        <v>2423</v>
      </c>
      <c r="Y555" s="5">
        <v>534000</v>
      </c>
      <c r="Z555" s="5">
        <v>1</v>
      </c>
    </row>
    <row r="556" spans="1:26" ht="15.75" customHeight="1" x14ac:dyDescent="0.35">
      <c r="A556" s="2"/>
      <c r="B556" s="3" t="s">
        <v>2042</v>
      </c>
      <c r="C556" s="3" t="s">
        <v>64</v>
      </c>
      <c r="D556" s="3" t="s">
        <v>89</v>
      </c>
      <c r="E556" s="3" t="s">
        <v>2424</v>
      </c>
      <c r="F556" s="4" t="s">
        <v>2425</v>
      </c>
      <c r="G556" s="4" t="s">
        <v>2426</v>
      </c>
      <c r="H556" s="5">
        <v>1098000</v>
      </c>
      <c r="I556" s="5">
        <v>0</v>
      </c>
      <c r="J556" s="5">
        <v>1098000</v>
      </c>
      <c r="K556" s="5">
        <v>0</v>
      </c>
      <c r="L556" s="5">
        <v>7200</v>
      </c>
      <c r="M556" s="5">
        <v>0</v>
      </c>
      <c r="N556" s="5">
        <v>1090800</v>
      </c>
      <c r="O556" s="5">
        <v>0</v>
      </c>
      <c r="P556" s="5">
        <v>0</v>
      </c>
      <c r="Q556" s="3" t="s">
        <v>2427</v>
      </c>
      <c r="R556" s="3" t="s">
        <v>34</v>
      </c>
      <c r="S556" s="3" t="s">
        <v>2428</v>
      </c>
      <c r="T556" s="3" t="s">
        <v>41</v>
      </c>
      <c r="U556" s="3" t="s">
        <v>34</v>
      </c>
      <c r="V556" s="3" t="s">
        <v>35</v>
      </c>
      <c r="W556" s="3" t="s">
        <v>2429</v>
      </c>
      <c r="X556" s="3"/>
      <c r="Y556" s="5">
        <v>549000</v>
      </c>
      <c r="Z556" s="5">
        <v>2</v>
      </c>
    </row>
    <row r="557" spans="1:26" ht="15.75" customHeight="1" x14ac:dyDescent="0.35">
      <c r="A557" s="2"/>
      <c r="B557" s="3" t="s">
        <v>2025</v>
      </c>
      <c r="C557" s="3" t="s">
        <v>29</v>
      </c>
      <c r="D557" s="3" t="s">
        <v>30</v>
      </c>
      <c r="E557" s="3" t="s">
        <v>2430</v>
      </c>
      <c r="F557" s="4" t="s">
        <v>2431</v>
      </c>
      <c r="G557" s="4" t="s">
        <v>2432</v>
      </c>
      <c r="H557" s="5">
        <v>750000</v>
      </c>
      <c r="I557" s="5">
        <v>0</v>
      </c>
      <c r="J557" s="5">
        <v>750000</v>
      </c>
      <c r="K557" s="5">
        <v>0</v>
      </c>
      <c r="L557" s="5">
        <v>0</v>
      </c>
      <c r="M557" s="5">
        <v>0</v>
      </c>
      <c r="N557" s="5">
        <v>750000</v>
      </c>
      <c r="O557" s="5">
        <v>0</v>
      </c>
      <c r="P557" s="5">
        <v>0</v>
      </c>
      <c r="Q557" s="3" t="s">
        <v>34</v>
      </c>
      <c r="R557" s="3" t="s">
        <v>34</v>
      </c>
      <c r="S557" s="3" t="s">
        <v>34</v>
      </c>
      <c r="T557" s="3" t="s">
        <v>41</v>
      </c>
      <c r="U557" s="3" t="s">
        <v>34</v>
      </c>
      <c r="V557" s="3" t="s">
        <v>35</v>
      </c>
      <c r="W557" s="3" t="s">
        <v>2433</v>
      </c>
      <c r="X557" s="3"/>
      <c r="Y557" s="5">
        <v>750000</v>
      </c>
      <c r="Z557" s="5">
        <v>1</v>
      </c>
    </row>
    <row r="558" spans="1:26" ht="15.75" customHeight="1" x14ac:dyDescent="0.35">
      <c r="A558" s="2"/>
      <c r="B558" s="3" t="s">
        <v>2434</v>
      </c>
      <c r="C558" s="3" t="s">
        <v>59</v>
      </c>
      <c r="D558" s="3" t="s">
        <v>182</v>
      </c>
      <c r="E558" s="3" t="s">
        <v>2435</v>
      </c>
      <c r="F558" s="4" t="s">
        <v>2436</v>
      </c>
      <c r="G558" s="4" t="s">
        <v>2432</v>
      </c>
      <c r="H558" s="5">
        <v>1100000</v>
      </c>
      <c r="I558" s="5">
        <v>0</v>
      </c>
      <c r="J558" s="5">
        <v>1100000</v>
      </c>
      <c r="K558" s="5">
        <v>0</v>
      </c>
      <c r="L558" s="5">
        <v>500000</v>
      </c>
      <c r="M558" s="5">
        <v>0</v>
      </c>
      <c r="N558" s="5">
        <v>600000</v>
      </c>
      <c r="O558" s="5">
        <v>0</v>
      </c>
      <c r="P558" s="5">
        <v>0</v>
      </c>
      <c r="Q558" s="3" t="s">
        <v>34</v>
      </c>
      <c r="R558" s="3" t="s">
        <v>34</v>
      </c>
      <c r="S558" s="3" t="s">
        <v>2437</v>
      </c>
      <c r="T558" s="3" t="s">
        <v>41</v>
      </c>
      <c r="U558" s="3" t="s">
        <v>34</v>
      </c>
      <c r="V558" s="3" t="s">
        <v>35</v>
      </c>
      <c r="W558" s="3" t="s">
        <v>2438</v>
      </c>
      <c r="X558" s="3"/>
      <c r="Y558" s="5">
        <v>550000</v>
      </c>
      <c r="Z558" s="5">
        <v>2</v>
      </c>
    </row>
    <row r="559" spans="1:26" ht="15.75" customHeight="1" x14ac:dyDescent="0.35">
      <c r="A559" s="2"/>
      <c r="B559" s="3" t="s">
        <v>1709</v>
      </c>
      <c r="C559" s="3" t="s">
        <v>64</v>
      </c>
      <c r="D559" s="3" t="s">
        <v>89</v>
      </c>
      <c r="E559" s="3" t="s">
        <v>226</v>
      </c>
      <c r="F559" s="4" t="s">
        <v>2440</v>
      </c>
      <c r="G559" s="4" t="s">
        <v>2439</v>
      </c>
      <c r="H559" s="5">
        <v>650000</v>
      </c>
      <c r="I559" s="5">
        <v>0</v>
      </c>
      <c r="J559" s="5">
        <v>650000</v>
      </c>
      <c r="K559" s="5">
        <v>0</v>
      </c>
      <c r="L559" s="5">
        <v>0</v>
      </c>
      <c r="M559" s="5">
        <v>0</v>
      </c>
      <c r="N559" s="5">
        <v>650000</v>
      </c>
      <c r="O559" s="5">
        <v>0</v>
      </c>
      <c r="P559" s="5">
        <v>0</v>
      </c>
      <c r="Q559" s="3" t="s">
        <v>34</v>
      </c>
      <c r="R559" s="3" t="s">
        <v>34</v>
      </c>
      <c r="S559" s="3" t="s">
        <v>34</v>
      </c>
      <c r="T559" s="3" t="s">
        <v>41</v>
      </c>
      <c r="U559" s="3" t="s">
        <v>34</v>
      </c>
      <c r="V559" s="3" t="s">
        <v>35</v>
      </c>
      <c r="W559" s="3" t="s">
        <v>2441</v>
      </c>
      <c r="X559" s="3"/>
      <c r="Y559" s="5">
        <v>650000</v>
      </c>
      <c r="Z559" s="5">
        <v>1</v>
      </c>
    </row>
    <row r="560" spans="1:26" ht="15.75" customHeight="1" x14ac:dyDescent="0.35">
      <c r="A560" s="2"/>
      <c r="B560" s="3" t="s">
        <v>2434</v>
      </c>
      <c r="C560" s="3" t="s">
        <v>59</v>
      </c>
      <c r="D560" s="3" t="s">
        <v>60</v>
      </c>
      <c r="E560" s="3" t="s">
        <v>226</v>
      </c>
      <c r="F560" s="4" t="s">
        <v>2442</v>
      </c>
      <c r="G560" s="4" t="s">
        <v>2439</v>
      </c>
      <c r="H560" s="5">
        <v>550000</v>
      </c>
      <c r="I560" s="5">
        <v>0</v>
      </c>
      <c r="J560" s="5">
        <v>550000</v>
      </c>
      <c r="K560" s="5">
        <v>0</v>
      </c>
      <c r="L560" s="5">
        <v>550000</v>
      </c>
      <c r="M560" s="5">
        <v>0</v>
      </c>
      <c r="N560" s="5">
        <v>0</v>
      </c>
      <c r="O560" s="5">
        <v>0</v>
      </c>
      <c r="P560" s="5">
        <v>0</v>
      </c>
      <c r="Q560" s="3" t="s">
        <v>34</v>
      </c>
      <c r="R560" s="3" t="s">
        <v>34</v>
      </c>
      <c r="S560" s="3" t="s">
        <v>34</v>
      </c>
      <c r="T560" s="3" t="s">
        <v>41</v>
      </c>
      <c r="U560" s="3" t="s">
        <v>34</v>
      </c>
      <c r="V560" s="3" t="s">
        <v>35</v>
      </c>
      <c r="W560" s="3" t="s">
        <v>2443</v>
      </c>
      <c r="X560" s="3"/>
      <c r="Y560" s="5">
        <v>550000</v>
      </c>
      <c r="Z560" s="5">
        <v>1</v>
      </c>
    </row>
    <row r="561" spans="1:26" ht="15.75" customHeight="1" x14ac:dyDescent="0.35">
      <c r="A561" s="2"/>
      <c r="B561" s="3" t="s">
        <v>2037</v>
      </c>
      <c r="C561" s="3" t="s">
        <v>71</v>
      </c>
      <c r="D561" s="3" t="s">
        <v>95</v>
      </c>
      <c r="E561" s="3" t="s">
        <v>2444</v>
      </c>
      <c r="F561" s="4" t="s">
        <v>2445</v>
      </c>
      <c r="G561" s="4" t="s">
        <v>2446</v>
      </c>
      <c r="H561" s="5">
        <v>1800000</v>
      </c>
      <c r="I561" s="5">
        <v>65000</v>
      </c>
      <c r="J561" s="5">
        <v>1865000</v>
      </c>
      <c r="K561" s="5">
        <v>0</v>
      </c>
      <c r="L561" s="5">
        <v>500000</v>
      </c>
      <c r="M561" s="5">
        <v>0</v>
      </c>
      <c r="N561" s="5">
        <v>0</v>
      </c>
      <c r="O561" s="5">
        <v>1365000</v>
      </c>
      <c r="P561" s="5">
        <v>0</v>
      </c>
      <c r="Q561" s="3" t="s">
        <v>34</v>
      </c>
      <c r="R561" s="3" t="s">
        <v>34</v>
      </c>
      <c r="S561" s="3" t="s">
        <v>34</v>
      </c>
      <c r="T561" s="3" t="s">
        <v>41</v>
      </c>
      <c r="U561" s="3" t="s">
        <v>34</v>
      </c>
      <c r="V561" s="3" t="s">
        <v>35</v>
      </c>
      <c r="W561" s="3" t="s">
        <v>2447</v>
      </c>
      <c r="X561" s="3"/>
      <c r="Y561" s="5">
        <v>600000</v>
      </c>
      <c r="Z561" s="5">
        <v>3</v>
      </c>
    </row>
    <row r="562" spans="1:26" ht="15.75" customHeight="1" x14ac:dyDescent="0.35">
      <c r="A562" s="2"/>
      <c r="B562" s="3" t="s">
        <v>2448</v>
      </c>
      <c r="C562" s="3" t="s">
        <v>64</v>
      </c>
      <c r="D562" s="3" t="s">
        <v>89</v>
      </c>
      <c r="E562" s="3" t="s">
        <v>2449</v>
      </c>
      <c r="F562" s="4" t="s">
        <v>2450</v>
      </c>
      <c r="G562" s="4" t="s">
        <v>2446</v>
      </c>
      <c r="H562" s="5">
        <v>649000</v>
      </c>
      <c r="I562" s="5">
        <v>0</v>
      </c>
      <c r="J562" s="5">
        <v>616550</v>
      </c>
      <c r="K562" s="5">
        <v>0</v>
      </c>
      <c r="L562" s="5">
        <v>300000</v>
      </c>
      <c r="M562" s="5">
        <v>0</v>
      </c>
      <c r="N562" s="5">
        <v>316550</v>
      </c>
      <c r="O562" s="5">
        <v>0</v>
      </c>
      <c r="P562" s="5">
        <v>0</v>
      </c>
      <c r="Q562" s="3" t="s">
        <v>2451</v>
      </c>
      <c r="R562" s="3" t="s">
        <v>2452</v>
      </c>
      <c r="S562" s="3" t="s">
        <v>34</v>
      </c>
      <c r="T562" s="3" t="s">
        <v>41</v>
      </c>
      <c r="U562" s="3" t="s">
        <v>34</v>
      </c>
      <c r="V562" s="3" t="s">
        <v>35</v>
      </c>
      <c r="W562" s="3" t="s">
        <v>2453</v>
      </c>
      <c r="X562" s="3" t="s">
        <v>2454</v>
      </c>
      <c r="Y562" s="5">
        <v>649000</v>
      </c>
      <c r="Z562" s="5">
        <v>1</v>
      </c>
    </row>
    <row r="563" spans="1:26" ht="15.75" customHeight="1" x14ac:dyDescent="0.35">
      <c r="A563" s="2"/>
      <c r="B563" s="3" t="s">
        <v>2087</v>
      </c>
      <c r="C563" s="3" t="s">
        <v>64</v>
      </c>
      <c r="D563" s="3" t="s">
        <v>65</v>
      </c>
      <c r="E563" s="3" t="s">
        <v>376</v>
      </c>
      <c r="F563" s="4" t="s">
        <v>2455</v>
      </c>
      <c r="G563" s="4" t="s">
        <v>2456</v>
      </c>
      <c r="H563" s="5">
        <v>1000000</v>
      </c>
      <c r="I563" s="5">
        <v>0</v>
      </c>
      <c r="J563" s="5">
        <v>1000000</v>
      </c>
      <c r="K563" s="5">
        <v>0</v>
      </c>
      <c r="L563" s="5">
        <v>1000000</v>
      </c>
      <c r="M563" s="5">
        <v>0</v>
      </c>
      <c r="N563" s="5">
        <v>0</v>
      </c>
      <c r="O563" s="5">
        <v>0</v>
      </c>
      <c r="P563" s="5">
        <v>0</v>
      </c>
      <c r="Q563" s="3" t="s">
        <v>378</v>
      </c>
      <c r="R563" s="3" t="s">
        <v>34</v>
      </c>
      <c r="S563" s="3" t="s">
        <v>34</v>
      </c>
      <c r="T563" s="3" t="s">
        <v>41</v>
      </c>
      <c r="U563" s="3" t="s">
        <v>34</v>
      </c>
      <c r="V563" s="3" t="s">
        <v>35</v>
      </c>
      <c r="W563" s="3" t="s">
        <v>2457</v>
      </c>
      <c r="X563" s="3"/>
      <c r="Y563" s="5">
        <v>500000</v>
      </c>
      <c r="Z563" s="5">
        <v>2</v>
      </c>
    </row>
    <row r="564" spans="1:26" ht="15.75" customHeight="1" x14ac:dyDescent="0.35">
      <c r="A564" s="2"/>
      <c r="B564" s="3" t="s">
        <v>2063</v>
      </c>
      <c r="C564" s="3" t="s">
        <v>59</v>
      </c>
      <c r="D564" s="3" t="s">
        <v>193</v>
      </c>
      <c r="E564" s="3" t="s">
        <v>2458</v>
      </c>
      <c r="F564" s="4" t="s">
        <v>2459</v>
      </c>
      <c r="G564" s="4" t="s">
        <v>2456</v>
      </c>
      <c r="H564" s="5">
        <v>649000</v>
      </c>
      <c r="I564" s="5">
        <v>0</v>
      </c>
      <c r="J564" s="5">
        <v>649000</v>
      </c>
      <c r="K564" s="5">
        <v>0</v>
      </c>
      <c r="L564" s="5">
        <v>649000</v>
      </c>
      <c r="M564" s="5">
        <v>0</v>
      </c>
      <c r="N564" s="5">
        <v>0</v>
      </c>
      <c r="O564" s="5">
        <v>0</v>
      </c>
      <c r="P564" s="5">
        <v>0</v>
      </c>
      <c r="Q564" s="3" t="s">
        <v>34</v>
      </c>
      <c r="R564" s="3" t="s">
        <v>34</v>
      </c>
      <c r="S564" s="3" t="s">
        <v>2460</v>
      </c>
      <c r="T564" s="3" t="s">
        <v>41</v>
      </c>
      <c r="U564" s="3" t="s">
        <v>34</v>
      </c>
      <c r="V564" s="3" t="s">
        <v>35</v>
      </c>
      <c r="W564" s="3" t="s">
        <v>2461</v>
      </c>
      <c r="X564" s="3"/>
      <c r="Y564" s="5">
        <v>649000</v>
      </c>
      <c r="Z564" s="5">
        <v>1</v>
      </c>
    </row>
    <row r="565" spans="1:26" ht="15.75" customHeight="1" x14ac:dyDescent="0.35">
      <c r="A565" s="2"/>
      <c r="B565" s="3" t="s">
        <v>1634</v>
      </c>
      <c r="C565" s="3" t="s">
        <v>64</v>
      </c>
      <c r="D565" s="3" t="s">
        <v>76</v>
      </c>
      <c r="E565" s="3" t="s">
        <v>2462</v>
      </c>
      <c r="F565" s="4" t="s">
        <v>2463</v>
      </c>
      <c r="G565" s="4" t="s">
        <v>2464</v>
      </c>
      <c r="H565" s="5">
        <v>1167840</v>
      </c>
      <c r="I565" s="5">
        <v>0</v>
      </c>
      <c r="J565" s="5">
        <v>1167840</v>
      </c>
      <c r="K565" s="5">
        <v>0</v>
      </c>
      <c r="L565" s="5">
        <v>0</v>
      </c>
      <c r="M565" s="5">
        <v>0</v>
      </c>
      <c r="N565" s="5">
        <v>0</v>
      </c>
      <c r="O565" s="5">
        <v>1167840</v>
      </c>
      <c r="P565" s="5">
        <v>0</v>
      </c>
      <c r="Q565" s="3" t="s">
        <v>2465</v>
      </c>
      <c r="R565" s="3" t="s">
        <v>34</v>
      </c>
      <c r="S565" s="3" t="s">
        <v>34</v>
      </c>
      <c r="T565" s="3" t="s">
        <v>48</v>
      </c>
      <c r="U565" s="3" t="s">
        <v>34</v>
      </c>
      <c r="V565" s="3" t="s">
        <v>35</v>
      </c>
      <c r="W565" s="3" t="s">
        <v>2373</v>
      </c>
      <c r="X565" s="3" t="s">
        <v>2466</v>
      </c>
      <c r="Y565" s="5">
        <v>583920</v>
      </c>
      <c r="Z565" s="5">
        <v>2</v>
      </c>
    </row>
    <row r="566" spans="1:26" ht="15.75" customHeight="1" x14ac:dyDescent="0.35">
      <c r="A566" s="2"/>
      <c r="B566" s="3" t="s">
        <v>2381</v>
      </c>
      <c r="C566" s="3" t="s">
        <v>59</v>
      </c>
      <c r="D566" s="3" t="s">
        <v>60</v>
      </c>
      <c r="E566" s="3" t="s">
        <v>1914</v>
      </c>
      <c r="F566" s="4" t="s">
        <v>2467</v>
      </c>
      <c r="G566" s="4" t="s">
        <v>2468</v>
      </c>
      <c r="H566" s="5">
        <v>780000</v>
      </c>
      <c r="I566" s="5">
        <v>30000</v>
      </c>
      <c r="J566" s="5">
        <v>810000</v>
      </c>
      <c r="K566" s="5">
        <v>0</v>
      </c>
      <c r="L566" s="5">
        <v>0</v>
      </c>
      <c r="M566" s="5">
        <v>0</v>
      </c>
      <c r="N566" s="5">
        <v>810000</v>
      </c>
      <c r="O566" s="5">
        <v>0</v>
      </c>
      <c r="P566" s="5">
        <v>0</v>
      </c>
      <c r="Q566" s="3" t="s">
        <v>34</v>
      </c>
      <c r="R566" s="3" t="s">
        <v>34</v>
      </c>
      <c r="S566" s="3" t="s">
        <v>1917</v>
      </c>
      <c r="T566" s="3" t="s">
        <v>41</v>
      </c>
      <c r="U566" s="3" t="s">
        <v>34</v>
      </c>
      <c r="V566" s="3" t="s">
        <v>35</v>
      </c>
      <c r="W566" s="3" t="s">
        <v>2469</v>
      </c>
      <c r="X566" s="3"/>
      <c r="Y566" s="5">
        <v>780000</v>
      </c>
      <c r="Z566" s="5">
        <v>1</v>
      </c>
    </row>
    <row r="567" spans="1:26" ht="15.75" customHeight="1" x14ac:dyDescent="0.35">
      <c r="A567" s="2"/>
      <c r="B567" s="3" t="s">
        <v>2115</v>
      </c>
      <c r="C567" s="3" t="s">
        <v>59</v>
      </c>
      <c r="D567" s="3" t="s">
        <v>122</v>
      </c>
      <c r="E567" s="3" t="s">
        <v>2470</v>
      </c>
      <c r="F567" s="4" t="s">
        <v>2471</v>
      </c>
      <c r="G567" s="4" t="s">
        <v>2472</v>
      </c>
      <c r="H567" s="5">
        <v>635760</v>
      </c>
      <c r="I567" s="5">
        <v>0</v>
      </c>
      <c r="J567" s="5">
        <v>635760</v>
      </c>
      <c r="K567" s="5">
        <v>0</v>
      </c>
      <c r="L567" s="5">
        <v>0</v>
      </c>
      <c r="M567" s="5">
        <v>0</v>
      </c>
      <c r="N567" s="5">
        <v>635760</v>
      </c>
      <c r="O567" s="5">
        <v>0</v>
      </c>
      <c r="P567" s="5">
        <v>0</v>
      </c>
      <c r="Q567" s="3" t="s">
        <v>1122</v>
      </c>
      <c r="R567" s="3" t="s">
        <v>2473</v>
      </c>
      <c r="S567" s="3" t="s">
        <v>34</v>
      </c>
      <c r="T567" s="3" t="s">
        <v>48</v>
      </c>
      <c r="U567" s="3" t="s">
        <v>34</v>
      </c>
      <c r="V567" s="3" t="s">
        <v>35</v>
      </c>
      <c r="W567" s="3" t="s">
        <v>2474</v>
      </c>
      <c r="X567" s="3" t="s">
        <v>2475</v>
      </c>
      <c r="Y567" s="5">
        <v>635760</v>
      </c>
      <c r="Z567" s="5">
        <v>1</v>
      </c>
    </row>
    <row r="568" spans="1:26" ht="15.75" customHeight="1" x14ac:dyDescent="0.35">
      <c r="A568" s="2"/>
      <c r="B568" s="3" t="s">
        <v>2047</v>
      </c>
      <c r="C568" s="3" t="s">
        <v>29</v>
      </c>
      <c r="D568" s="3" t="s">
        <v>110</v>
      </c>
      <c r="E568" s="3" t="s">
        <v>2476</v>
      </c>
      <c r="F568" s="4" t="s">
        <v>2477</v>
      </c>
      <c r="G568" s="4" t="s">
        <v>2478</v>
      </c>
      <c r="H568" s="5">
        <v>1750000</v>
      </c>
      <c r="I568" s="5">
        <v>0</v>
      </c>
      <c r="J568" s="5">
        <v>1750000</v>
      </c>
      <c r="K568" s="5">
        <v>0</v>
      </c>
      <c r="L568" s="5">
        <v>0</v>
      </c>
      <c r="M568" s="5">
        <v>0</v>
      </c>
      <c r="N568" s="5">
        <v>1750000</v>
      </c>
      <c r="O568" s="5">
        <v>0</v>
      </c>
      <c r="P568" s="5">
        <v>0</v>
      </c>
      <c r="Q568" s="3" t="s">
        <v>34</v>
      </c>
      <c r="R568" s="3" t="s">
        <v>34</v>
      </c>
      <c r="S568" s="3" t="s">
        <v>34</v>
      </c>
      <c r="T568" s="3" t="s">
        <v>41</v>
      </c>
      <c r="U568" s="3" t="s">
        <v>34</v>
      </c>
      <c r="V568" s="3" t="s">
        <v>35</v>
      </c>
      <c r="W568" s="3" t="s">
        <v>2479</v>
      </c>
      <c r="X568" s="3"/>
      <c r="Y568" s="5">
        <v>875000</v>
      </c>
      <c r="Z568" s="5">
        <v>2</v>
      </c>
    </row>
    <row r="569" spans="1:26" ht="15.75" customHeight="1" x14ac:dyDescent="0.35">
      <c r="A569" s="2"/>
      <c r="B569" s="3" t="s">
        <v>2049</v>
      </c>
      <c r="C569" s="3" t="s">
        <v>64</v>
      </c>
      <c r="D569" s="3" t="s">
        <v>89</v>
      </c>
      <c r="E569" s="3" t="s">
        <v>2480</v>
      </c>
      <c r="F569" s="4" t="s">
        <v>2481</v>
      </c>
      <c r="G569" s="4" t="s">
        <v>2482</v>
      </c>
      <c r="H569" s="5">
        <v>710000</v>
      </c>
      <c r="I569" s="5">
        <v>0</v>
      </c>
      <c r="J569" s="5">
        <v>710000</v>
      </c>
      <c r="K569" s="5">
        <v>0</v>
      </c>
      <c r="L569" s="5">
        <v>710000</v>
      </c>
      <c r="M569" s="5">
        <v>0</v>
      </c>
      <c r="N569" s="5">
        <v>0</v>
      </c>
      <c r="O569" s="5">
        <v>0</v>
      </c>
      <c r="P569" s="5">
        <v>0</v>
      </c>
      <c r="Q569" s="3" t="s">
        <v>34</v>
      </c>
      <c r="R569" s="3" t="s">
        <v>34</v>
      </c>
      <c r="S569" s="3" t="s">
        <v>2483</v>
      </c>
      <c r="T569" s="3" t="s">
        <v>41</v>
      </c>
      <c r="U569" s="3" t="s">
        <v>34</v>
      </c>
      <c r="V569" s="3" t="s">
        <v>35</v>
      </c>
      <c r="W569" s="3" t="s">
        <v>2484</v>
      </c>
      <c r="X569" s="3"/>
      <c r="Y569" s="5">
        <v>710000</v>
      </c>
      <c r="Z569" s="5">
        <v>1</v>
      </c>
    </row>
    <row r="570" spans="1:26" ht="15.75" customHeight="1" x14ac:dyDescent="0.35">
      <c r="A570" s="2"/>
      <c r="B570" s="3" t="s">
        <v>2049</v>
      </c>
      <c r="C570" s="3" t="s">
        <v>71</v>
      </c>
      <c r="D570" s="3" t="s">
        <v>1086</v>
      </c>
      <c r="E570" s="3" t="s">
        <v>2485</v>
      </c>
      <c r="F570" s="4" t="s">
        <v>2481</v>
      </c>
      <c r="G570" s="4" t="s">
        <v>2482</v>
      </c>
      <c r="H570" s="5">
        <v>810000</v>
      </c>
      <c r="I570" s="5">
        <v>0</v>
      </c>
      <c r="J570" s="5">
        <v>810000</v>
      </c>
      <c r="K570" s="5">
        <v>0</v>
      </c>
      <c r="L570" s="5">
        <v>160000</v>
      </c>
      <c r="M570" s="5">
        <v>0</v>
      </c>
      <c r="N570" s="5">
        <v>650000</v>
      </c>
      <c r="O570" s="5">
        <v>0</v>
      </c>
      <c r="P570" s="5">
        <v>0</v>
      </c>
      <c r="Q570" s="3" t="s">
        <v>34</v>
      </c>
      <c r="R570" s="3" t="s">
        <v>34</v>
      </c>
      <c r="S570" s="3" t="s">
        <v>2486</v>
      </c>
      <c r="T570" s="3" t="s">
        <v>41</v>
      </c>
      <c r="U570" s="3" t="s">
        <v>34</v>
      </c>
      <c r="V570" s="3" t="s">
        <v>35</v>
      </c>
      <c r="W570" s="3" t="s">
        <v>2487</v>
      </c>
      <c r="X570" s="3"/>
      <c r="Y570" s="5">
        <v>810000</v>
      </c>
      <c r="Z570" s="5">
        <v>1</v>
      </c>
    </row>
    <row r="571" spans="1:26" ht="15.75" customHeight="1" x14ac:dyDescent="0.35">
      <c r="A571" s="2"/>
      <c r="B571" s="3" t="s">
        <v>2049</v>
      </c>
      <c r="C571" s="3" t="s">
        <v>29</v>
      </c>
      <c r="D571" s="3" t="s">
        <v>30</v>
      </c>
      <c r="E571" s="3" t="s">
        <v>2488</v>
      </c>
      <c r="F571" s="4" t="s">
        <v>2481</v>
      </c>
      <c r="G571" s="4" t="s">
        <v>2482</v>
      </c>
      <c r="H571" s="5">
        <v>810000</v>
      </c>
      <c r="I571" s="5">
        <v>0</v>
      </c>
      <c r="J571" s="5">
        <v>810000</v>
      </c>
      <c r="K571" s="5">
        <v>0</v>
      </c>
      <c r="L571" s="5">
        <v>210000</v>
      </c>
      <c r="M571" s="5">
        <v>0</v>
      </c>
      <c r="N571" s="5">
        <v>600000</v>
      </c>
      <c r="O571" s="5">
        <v>0</v>
      </c>
      <c r="P571" s="5">
        <v>0</v>
      </c>
      <c r="Q571" s="3" t="s">
        <v>2489</v>
      </c>
      <c r="R571" s="3" t="s">
        <v>34</v>
      </c>
      <c r="S571" s="3" t="s">
        <v>2490</v>
      </c>
      <c r="T571" s="3" t="s">
        <v>41</v>
      </c>
      <c r="U571" s="3" t="s">
        <v>34</v>
      </c>
      <c r="V571" s="3" t="s">
        <v>35</v>
      </c>
      <c r="W571" s="3" t="s">
        <v>2491</v>
      </c>
      <c r="X571" s="3"/>
      <c r="Y571" s="5">
        <v>810000</v>
      </c>
      <c r="Z571" s="5">
        <v>1</v>
      </c>
    </row>
    <row r="572" spans="1:26" ht="15.75" customHeight="1" x14ac:dyDescent="0.35">
      <c r="A572" s="2"/>
      <c r="B572" s="3" t="s">
        <v>2082</v>
      </c>
      <c r="C572" s="3" t="s">
        <v>29</v>
      </c>
      <c r="D572" s="3" t="s">
        <v>110</v>
      </c>
      <c r="E572" s="3" t="s">
        <v>2492</v>
      </c>
      <c r="F572" s="4" t="s">
        <v>2493</v>
      </c>
      <c r="G572" s="4" t="s">
        <v>2494</v>
      </c>
      <c r="H572" s="5">
        <v>400000</v>
      </c>
      <c r="I572" s="5">
        <v>0</v>
      </c>
      <c r="J572" s="5">
        <v>400000</v>
      </c>
      <c r="K572" s="5">
        <v>0</v>
      </c>
      <c r="L572" s="5">
        <v>400000</v>
      </c>
      <c r="M572" s="5">
        <v>0</v>
      </c>
      <c r="N572" s="5">
        <v>0</v>
      </c>
      <c r="O572" s="5">
        <v>0</v>
      </c>
      <c r="P572" s="5">
        <v>0</v>
      </c>
      <c r="Q572" s="3"/>
      <c r="R572" s="3"/>
      <c r="S572" s="3"/>
      <c r="T572" s="3" t="s">
        <v>41</v>
      </c>
      <c r="U572" s="3" t="s">
        <v>34</v>
      </c>
      <c r="V572" s="3" t="s">
        <v>35</v>
      </c>
      <c r="W572" s="3" t="s">
        <v>2495</v>
      </c>
      <c r="X572" s="3"/>
      <c r="Y572" s="5">
        <v>400000</v>
      </c>
      <c r="Z572" s="5">
        <v>1</v>
      </c>
    </row>
    <row r="573" spans="1:26" ht="15.75" customHeight="1" x14ac:dyDescent="0.35">
      <c r="A573" s="2"/>
      <c r="B573" s="3" t="s">
        <v>2049</v>
      </c>
      <c r="C573" s="3" t="s">
        <v>71</v>
      </c>
      <c r="D573" s="3" t="s">
        <v>72</v>
      </c>
      <c r="E573" s="3" t="s">
        <v>2496</v>
      </c>
      <c r="F573" s="4" t="s">
        <v>2481</v>
      </c>
      <c r="G573" s="4" t="s">
        <v>2497</v>
      </c>
      <c r="H573" s="5">
        <v>990000</v>
      </c>
      <c r="I573" s="5">
        <v>0</v>
      </c>
      <c r="J573" s="5">
        <v>990000</v>
      </c>
      <c r="K573" s="5">
        <v>0</v>
      </c>
      <c r="L573" s="5">
        <v>990000</v>
      </c>
      <c r="M573" s="5">
        <v>0</v>
      </c>
      <c r="N573" s="5">
        <v>0</v>
      </c>
      <c r="O573" s="5">
        <v>0</v>
      </c>
      <c r="P573" s="5">
        <v>0</v>
      </c>
      <c r="Q573" s="3" t="s">
        <v>34</v>
      </c>
      <c r="R573" s="3" t="s">
        <v>34</v>
      </c>
      <c r="S573" s="3" t="s">
        <v>2498</v>
      </c>
      <c r="T573" s="3" t="s">
        <v>41</v>
      </c>
      <c r="U573" s="3" t="s">
        <v>34</v>
      </c>
      <c r="V573" s="3" t="s">
        <v>35</v>
      </c>
      <c r="W573" s="3" t="s">
        <v>2499</v>
      </c>
      <c r="X573" s="3"/>
      <c r="Y573" s="5">
        <v>990000</v>
      </c>
      <c r="Z573" s="5">
        <v>1</v>
      </c>
    </row>
    <row r="574" spans="1:26" ht="15.75" customHeight="1" x14ac:dyDescent="0.35">
      <c r="A574" s="2"/>
      <c r="B574" s="3" t="s">
        <v>2091</v>
      </c>
      <c r="C574" s="3" t="s">
        <v>64</v>
      </c>
      <c r="D574" s="3" t="s">
        <v>65</v>
      </c>
      <c r="E574" s="3" t="s">
        <v>2500</v>
      </c>
      <c r="F574" s="4" t="s">
        <v>2501</v>
      </c>
      <c r="G574" s="4" t="s">
        <v>2502</v>
      </c>
      <c r="H574" s="5">
        <v>520000</v>
      </c>
      <c r="I574" s="5">
        <v>0</v>
      </c>
      <c r="J574" s="5">
        <v>520000</v>
      </c>
      <c r="K574" s="5">
        <v>0</v>
      </c>
      <c r="L574" s="5">
        <v>520000</v>
      </c>
      <c r="M574" s="5">
        <v>0</v>
      </c>
      <c r="N574" s="5">
        <v>0</v>
      </c>
      <c r="O574" s="5">
        <v>0</v>
      </c>
      <c r="P574" s="5">
        <v>0</v>
      </c>
      <c r="Q574" s="3"/>
      <c r="R574" s="3"/>
      <c r="S574" s="3"/>
      <c r="T574" s="3" t="s">
        <v>41</v>
      </c>
      <c r="U574" s="3" t="s">
        <v>34</v>
      </c>
      <c r="V574" s="3" t="s">
        <v>35</v>
      </c>
      <c r="W574" s="3" t="s">
        <v>2503</v>
      </c>
      <c r="X574" s="3"/>
      <c r="Y574" s="5">
        <v>520000</v>
      </c>
      <c r="Z574" s="5">
        <v>1</v>
      </c>
    </row>
    <row r="575" spans="1:26" ht="15.75" customHeight="1" x14ac:dyDescent="0.35">
      <c r="A575" s="2"/>
      <c r="B575" s="3" t="s">
        <v>2504</v>
      </c>
      <c r="C575" s="3" t="s">
        <v>64</v>
      </c>
      <c r="D575" s="3" t="s">
        <v>89</v>
      </c>
      <c r="E575" s="3" t="s">
        <v>2505</v>
      </c>
      <c r="F575" s="4" t="s">
        <v>2506</v>
      </c>
      <c r="G575" s="4" t="s">
        <v>2502</v>
      </c>
      <c r="H575" s="5">
        <v>500000</v>
      </c>
      <c r="I575" s="5">
        <v>0</v>
      </c>
      <c r="J575" s="5">
        <v>500000</v>
      </c>
      <c r="K575" s="5">
        <v>0</v>
      </c>
      <c r="L575" s="5">
        <v>0</v>
      </c>
      <c r="M575" s="5">
        <v>0</v>
      </c>
      <c r="N575" s="5">
        <v>500000</v>
      </c>
      <c r="O575" s="5">
        <v>0</v>
      </c>
      <c r="P575" s="5">
        <v>0</v>
      </c>
      <c r="Q575" s="3"/>
      <c r="R575" s="3"/>
      <c r="S575" s="3"/>
      <c r="T575" s="3" t="s">
        <v>41</v>
      </c>
      <c r="U575" s="3" t="s">
        <v>34</v>
      </c>
      <c r="V575" s="3" t="s">
        <v>35</v>
      </c>
      <c r="W575" s="3" t="s">
        <v>2507</v>
      </c>
      <c r="X575" s="3"/>
      <c r="Y575" s="5">
        <v>500000</v>
      </c>
      <c r="Z575" s="5">
        <v>1</v>
      </c>
    </row>
    <row r="576" spans="1:26" ht="15.75" customHeight="1" x14ac:dyDescent="0.35">
      <c r="A576" s="2"/>
      <c r="B576" s="3" t="s">
        <v>2012</v>
      </c>
      <c r="C576" s="3" t="s">
        <v>64</v>
      </c>
      <c r="D576" s="3" t="s">
        <v>83</v>
      </c>
      <c r="E576" s="3" t="s">
        <v>2508</v>
      </c>
      <c r="F576" s="4" t="s">
        <v>2509</v>
      </c>
      <c r="G576" s="4" t="s">
        <v>2510</v>
      </c>
      <c r="H576" s="5">
        <v>2200000</v>
      </c>
      <c r="I576" s="5">
        <v>0</v>
      </c>
      <c r="J576" s="5">
        <v>2200000</v>
      </c>
      <c r="K576" s="5">
        <v>0</v>
      </c>
      <c r="L576" s="5">
        <v>2200000</v>
      </c>
      <c r="M576" s="5">
        <v>0</v>
      </c>
      <c r="N576" s="5">
        <v>0</v>
      </c>
      <c r="O576" s="5">
        <v>0</v>
      </c>
      <c r="P576" s="5">
        <v>0</v>
      </c>
      <c r="Q576" s="3" t="s">
        <v>2511</v>
      </c>
      <c r="R576" s="3" t="s">
        <v>34</v>
      </c>
      <c r="S576" s="3" t="s">
        <v>34</v>
      </c>
      <c r="T576" s="3" t="s">
        <v>41</v>
      </c>
      <c r="U576" s="3" t="s">
        <v>34</v>
      </c>
      <c r="V576" s="3" t="s">
        <v>35</v>
      </c>
      <c r="W576" s="3" t="s">
        <v>2512</v>
      </c>
      <c r="X576" s="3"/>
      <c r="Y576" s="5">
        <v>733333.33330000006</v>
      </c>
      <c r="Z576" s="5">
        <v>3</v>
      </c>
    </row>
    <row r="577" spans="1:26" ht="15.75" customHeight="1" x14ac:dyDescent="0.35">
      <c r="A577" s="2"/>
      <c r="B577" s="3" t="s">
        <v>2112</v>
      </c>
      <c r="C577" s="3" t="s">
        <v>64</v>
      </c>
      <c r="D577" s="3" t="s">
        <v>99</v>
      </c>
      <c r="E577" s="3" t="s">
        <v>2513</v>
      </c>
      <c r="F577" s="4" t="s">
        <v>2514</v>
      </c>
      <c r="G577" s="4" t="s">
        <v>2515</v>
      </c>
      <c r="H577" s="5">
        <v>2650000</v>
      </c>
      <c r="I577" s="5">
        <v>0</v>
      </c>
      <c r="J577" s="5">
        <v>2650000</v>
      </c>
      <c r="K577" s="5">
        <v>0</v>
      </c>
      <c r="L577" s="5">
        <v>2650000</v>
      </c>
      <c r="M577" s="5">
        <v>0</v>
      </c>
      <c r="N577" s="5">
        <v>0</v>
      </c>
      <c r="O577" s="5">
        <v>0</v>
      </c>
      <c r="P577" s="5">
        <v>0</v>
      </c>
      <c r="Q577" s="3" t="s">
        <v>34</v>
      </c>
      <c r="R577" s="3" t="s">
        <v>34</v>
      </c>
      <c r="S577" s="3" t="s">
        <v>2516</v>
      </c>
      <c r="T577" s="3" t="s">
        <v>41</v>
      </c>
      <c r="U577" s="3" t="s">
        <v>34</v>
      </c>
      <c r="V577" s="3" t="s">
        <v>35</v>
      </c>
      <c r="W577" s="3" t="s">
        <v>2517</v>
      </c>
      <c r="X577" s="3"/>
      <c r="Y577" s="5">
        <v>530000</v>
      </c>
      <c r="Z577" s="5">
        <v>5</v>
      </c>
    </row>
    <row r="578" spans="1:26" ht="15.75" customHeight="1" x14ac:dyDescent="0.35">
      <c r="A578" s="2"/>
      <c r="B578" s="3" t="s">
        <v>2084</v>
      </c>
      <c r="C578" s="3" t="s">
        <v>64</v>
      </c>
      <c r="D578" s="3" t="s">
        <v>89</v>
      </c>
      <c r="E578" s="3" t="s">
        <v>1416</v>
      </c>
      <c r="F578" s="4" t="s">
        <v>2518</v>
      </c>
      <c r="G578" s="4" t="s">
        <v>2515</v>
      </c>
      <c r="H578" s="5">
        <v>1100000</v>
      </c>
      <c r="I578" s="5">
        <v>0</v>
      </c>
      <c r="J578" s="5">
        <v>1100000</v>
      </c>
      <c r="K578" s="5">
        <v>0</v>
      </c>
      <c r="L578" s="5">
        <v>1100000</v>
      </c>
      <c r="M578" s="5">
        <v>0</v>
      </c>
      <c r="N578" s="5">
        <v>0</v>
      </c>
      <c r="O578" s="5">
        <v>0</v>
      </c>
      <c r="P578" s="5">
        <v>0</v>
      </c>
      <c r="Q578" s="3" t="s">
        <v>1419</v>
      </c>
      <c r="R578" s="3" t="s">
        <v>34</v>
      </c>
      <c r="S578" s="3" t="s">
        <v>1420</v>
      </c>
      <c r="T578" s="3" t="s">
        <v>41</v>
      </c>
      <c r="U578" s="3" t="s">
        <v>34</v>
      </c>
      <c r="V578" s="3" t="s">
        <v>35</v>
      </c>
      <c r="W578" s="3" t="s">
        <v>2519</v>
      </c>
      <c r="X578" s="3"/>
      <c r="Y578" s="5">
        <v>550000</v>
      </c>
      <c r="Z578" s="5">
        <v>2</v>
      </c>
    </row>
    <row r="579" spans="1:26" ht="15.75" customHeight="1" x14ac:dyDescent="0.35">
      <c r="A579" s="2"/>
      <c r="B579" s="3" t="s">
        <v>2134</v>
      </c>
      <c r="C579" s="3" t="s">
        <v>29</v>
      </c>
      <c r="D579" s="3" t="s">
        <v>385</v>
      </c>
      <c r="E579" s="3" t="s">
        <v>2520</v>
      </c>
      <c r="F579" s="4" t="s">
        <v>2521</v>
      </c>
      <c r="G579" s="4" t="s">
        <v>2522</v>
      </c>
      <c r="H579" s="5">
        <v>1666656</v>
      </c>
      <c r="I579" s="5">
        <v>0</v>
      </c>
      <c r="J579" s="5">
        <v>1666656</v>
      </c>
      <c r="K579" s="5">
        <v>0</v>
      </c>
      <c r="L579" s="5">
        <v>0</v>
      </c>
      <c r="M579" s="5">
        <v>0</v>
      </c>
      <c r="N579" s="5">
        <v>0</v>
      </c>
      <c r="O579" s="5">
        <v>1666656</v>
      </c>
      <c r="P579" s="5">
        <v>0</v>
      </c>
      <c r="Q579" s="3" t="s">
        <v>2523</v>
      </c>
      <c r="R579" s="3" t="s">
        <v>2524</v>
      </c>
      <c r="S579" s="3" t="s">
        <v>2525</v>
      </c>
      <c r="T579" s="3" t="s">
        <v>48</v>
      </c>
      <c r="U579" s="3" t="s">
        <v>34</v>
      </c>
      <c r="V579" s="3" t="s">
        <v>35</v>
      </c>
      <c r="W579" s="3" t="s">
        <v>2526</v>
      </c>
      <c r="X579" s="3" t="s">
        <v>2527</v>
      </c>
      <c r="Y579" s="5">
        <v>833328</v>
      </c>
      <c r="Z579" s="5">
        <v>2</v>
      </c>
    </row>
    <row r="580" spans="1:26" ht="15.75" customHeight="1" x14ac:dyDescent="0.35">
      <c r="A580" s="2"/>
      <c r="B580" s="3" t="s">
        <v>2321</v>
      </c>
      <c r="C580" s="3" t="s">
        <v>64</v>
      </c>
      <c r="D580" s="3" t="s">
        <v>76</v>
      </c>
      <c r="E580" s="3" t="s">
        <v>2116</v>
      </c>
      <c r="F580" s="4" t="s">
        <v>2528</v>
      </c>
      <c r="G580" s="4" t="s">
        <v>2529</v>
      </c>
      <c r="H580" s="5">
        <v>1100000</v>
      </c>
      <c r="I580" s="5">
        <v>88000</v>
      </c>
      <c r="J580" s="5">
        <v>1188000</v>
      </c>
      <c r="K580" s="5">
        <v>0</v>
      </c>
      <c r="L580" s="5">
        <v>0</v>
      </c>
      <c r="M580" s="5">
        <v>0</v>
      </c>
      <c r="N580" s="5">
        <v>0</v>
      </c>
      <c r="O580" s="5">
        <v>1188000</v>
      </c>
      <c r="P580" s="5">
        <v>0</v>
      </c>
      <c r="Q580" s="3" t="s">
        <v>2119</v>
      </c>
      <c r="R580" s="3" t="s">
        <v>34</v>
      </c>
      <c r="S580" s="3" t="s">
        <v>2120</v>
      </c>
      <c r="T580" s="3" t="s">
        <v>41</v>
      </c>
      <c r="U580" s="3" t="s">
        <v>34</v>
      </c>
      <c r="V580" s="3" t="s">
        <v>35</v>
      </c>
      <c r="W580" s="3" t="s">
        <v>2530</v>
      </c>
      <c r="X580" s="3"/>
      <c r="Y580" s="5">
        <v>550000</v>
      </c>
      <c r="Z580" s="5">
        <v>2</v>
      </c>
    </row>
    <row r="581" spans="1:26" ht="15.75" customHeight="1" x14ac:dyDescent="0.35">
      <c r="A581" s="2"/>
      <c r="B581" s="3" t="s">
        <v>2104</v>
      </c>
      <c r="C581" s="3" t="s">
        <v>64</v>
      </c>
      <c r="D581" s="3" t="s">
        <v>65</v>
      </c>
      <c r="E581" s="3" t="s">
        <v>850</v>
      </c>
      <c r="F581" s="4" t="s">
        <v>2531</v>
      </c>
      <c r="G581" s="4" t="s">
        <v>2532</v>
      </c>
      <c r="H581" s="5">
        <v>560000</v>
      </c>
      <c r="I581" s="5">
        <v>0</v>
      </c>
      <c r="J581" s="5">
        <v>560000</v>
      </c>
      <c r="K581" s="5">
        <v>0</v>
      </c>
      <c r="L581" s="5">
        <v>60000</v>
      </c>
      <c r="M581" s="5">
        <v>0</v>
      </c>
      <c r="N581" s="5">
        <v>500000</v>
      </c>
      <c r="O581" s="5">
        <v>0</v>
      </c>
      <c r="P581" s="5">
        <v>0</v>
      </c>
      <c r="Q581" s="3" t="s">
        <v>853</v>
      </c>
      <c r="R581" s="3" t="s">
        <v>34</v>
      </c>
      <c r="S581" s="3" t="s">
        <v>854</v>
      </c>
      <c r="T581" s="3" t="s">
        <v>41</v>
      </c>
      <c r="U581" s="3" t="s">
        <v>34</v>
      </c>
      <c r="V581" s="3" t="s">
        <v>35</v>
      </c>
      <c r="W581" s="3" t="s">
        <v>2533</v>
      </c>
      <c r="X581" s="3"/>
      <c r="Y581" s="5">
        <v>560000</v>
      </c>
      <c r="Z581" s="5">
        <v>1</v>
      </c>
    </row>
    <row r="582" spans="1:26" ht="15.75" customHeight="1" x14ac:dyDescent="0.35">
      <c r="A582" s="2"/>
      <c r="B582" s="3" t="s">
        <v>2058</v>
      </c>
      <c r="C582" s="3" t="s">
        <v>29</v>
      </c>
      <c r="D582" s="3" t="s">
        <v>43</v>
      </c>
      <c r="E582" s="3" t="s">
        <v>1682</v>
      </c>
      <c r="F582" s="4" t="s">
        <v>2534</v>
      </c>
      <c r="G582" s="4" t="s">
        <v>2535</v>
      </c>
      <c r="H582" s="5">
        <v>8360000</v>
      </c>
      <c r="I582" s="5">
        <v>700000</v>
      </c>
      <c r="J582" s="5">
        <v>9060000</v>
      </c>
      <c r="K582" s="5">
        <v>0</v>
      </c>
      <c r="L582" s="5">
        <v>0</v>
      </c>
      <c r="M582" s="5">
        <v>0</v>
      </c>
      <c r="N582" s="5">
        <v>0</v>
      </c>
      <c r="O582" s="5">
        <v>9060000</v>
      </c>
      <c r="P582" s="5">
        <v>0</v>
      </c>
      <c r="Q582" s="3" t="s">
        <v>34</v>
      </c>
      <c r="R582" s="3" t="s">
        <v>34</v>
      </c>
      <c r="S582" s="3" t="s">
        <v>1684</v>
      </c>
      <c r="T582" s="3" t="s">
        <v>41</v>
      </c>
      <c r="U582" s="3" t="s">
        <v>34</v>
      </c>
      <c r="V582" s="3" t="s">
        <v>35</v>
      </c>
      <c r="W582" s="3" t="s">
        <v>2536</v>
      </c>
      <c r="X582" s="3"/>
      <c r="Y582" s="5">
        <v>760000</v>
      </c>
      <c r="Z582" s="5">
        <v>11</v>
      </c>
    </row>
    <row r="583" spans="1:26" ht="15.75" customHeight="1" x14ac:dyDescent="0.35">
      <c r="A583" s="2"/>
      <c r="B583" s="3" t="s">
        <v>2193</v>
      </c>
      <c r="C583" s="3" t="s">
        <v>71</v>
      </c>
      <c r="D583" s="3" t="s">
        <v>72</v>
      </c>
      <c r="E583" s="3" t="s">
        <v>2537</v>
      </c>
      <c r="F583" s="4" t="s">
        <v>2538</v>
      </c>
      <c r="G583" s="4" t="s">
        <v>2539</v>
      </c>
      <c r="H583" s="5">
        <v>620500</v>
      </c>
      <c r="I583" s="5">
        <v>0</v>
      </c>
      <c r="J583" s="5">
        <v>620500</v>
      </c>
      <c r="K583" s="5">
        <v>0</v>
      </c>
      <c r="L583" s="5">
        <v>0</v>
      </c>
      <c r="M583" s="5">
        <v>0</v>
      </c>
      <c r="N583" s="5">
        <v>0</v>
      </c>
      <c r="O583" s="5">
        <v>620500</v>
      </c>
      <c r="P583" s="5">
        <v>0</v>
      </c>
      <c r="Q583" s="3" t="s">
        <v>2540</v>
      </c>
      <c r="R583" s="3" t="s">
        <v>34</v>
      </c>
      <c r="S583" s="3" t="s">
        <v>34</v>
      </c>
      <c r="T583" s="3" t="s">
        <v>48</v>
      </c>
      <c r="U583" s="3" t="s">
        <v>34</v>
      </c>
      <c r="V583" s="3" t="s">
        <v>35</v>
      </c>
      <c r="W583" s="3" t="s">
        <v>2541</v>
      </c>
      <c r="X583" s="3" t="s">
        <v>2542</v>
      </c>
      <c r="Y583" s="5">
        <v>620500</v>
      </c>
      <c r="Z583" s="5">
        <v>1</v>
      </c>
    </row>
    <row r="584" spans="1:26" ht="15.75" customHeight="1" x14ac:dyDescent="0.35">
      <c r="A584" s="2"/>
      <c r="B584" s="3" t="s">
        <v>2146</v>
      </c>
      <c r="C584" s="3" t="s">
        <v>64</v>
      </c>
      <c r="D584" s="3" t="s">
        <v>99</v>
      </c>
      <c r="E584" s="3" t="s">
        <v>2543</v>
      </c>
      <c r="F584" s="4" t="s">
        <v>2544</v>
      </c>
      <c r="G584" s="4" t="s">
        <v>2545</v>
      </c>
      <c r="H584" s="5">
        <v>500000</v>
      </c>
      <c r="I584" s="5">
        <v>0</v>
      </c>
      <c r="J584" s="5">
        <v>500000</v>
      </c>
      <c r="K584" s="5">
        <v>0</v>
      </c>
      <c r="L584" s="5">
        <v>0</v>
      </c>
      <c r="M584" s="5">
        <v>0</v>
      </c>
      <c r="N584" s="5">
        <v>500000</v>
      </c>
      <c r="O584" s="5">
        <v>0</v>
      </c>
      <c r="P584" s="5">
        <v>0</v>
      </c>
      <c r="Q584" s="3" t="s">
        <v>34</v>
      </c>
      <c r="R584" s="3" t="s">
        <v>34</v>
      </c>
      <c r="S584" s="3" t="s">
        <v>34</v>
      </c>
      <c r="T584" s="3" t="s">
        <v>41</v>
      </c>
      <c r="U584" s="3" t="s">
        <v>34</v>
      </c>
      <c r="V584" s="3" t="s">
        <v>35</v>
      </c>
      <c r="W584" s="3" t="s">
        <v>2546</v>
      </c>
      <c r="X584" s="3"/>
      <c r="Y584" s="5">
        <v>500000</v>
      </c>
      <c r="Z584" s="5">
        <v>1</v>
      </c>
    </row>
    <row r="585" spans="1:26" ht="15.75" customHeight="1" x14ac:dyDescent="0.35">
      <c r="A585" s="2"/>
      <c r="B585" s="3" t="s">
        <v>2146</v>
      </c>
      <c r="C585" s="3" t="s">
        <v>64</v>
      </c>
      <c r="D585" s="3" t="s">
        <v>76</v>
      </c>
      <c r="E585" s="3" t="s">
        <v>226</v>
      </c>
      <c r="F585" s="4" t="s">
        <v>2544</v>
      </c>
      <c r="G585" s="4" t="s">
        <v>2545</v>
      </c>
      <c r="H585" s="5">
        <v>500000</v>
      </c>
      <c r="I585" s="5">
        <v>0</v>
      </c>
      <c r="J585" s="5">
        <v>500000</v>
      </c>
      <c r="K585" s="5">
        <v>0</v>
      </c>
      <c r="L585" s="5">
        <v>0</v>
      </c>
      <c r="M585" s="5">
        <v>0</v>
      </c>
      <c r="N585" s="5">
        <v>500000</v>
      </c>
      <c r="O585" s="5">
        <v>0</v>
      </c>
      <c r="P585" s="5">
        <v>0</v>
      </c>
      <c r="Q585" s="3"/>
      <c r="R585" s="3"/>
      <c r="S585" s="3"/>
      <c r="T585" s="3" t="s">
        <v>41</v>
      </c>
      <c r="U585" s="3" t="s">
        <v>34</v>
      </c>
      <c r="V585" s="3" t="s">
        <v>35</v>
      </c>
      <c r="W585" s="3" t="s">
        <v>2547</v>
      </c>
      <c r="X585" s="3"/>
      <c r="Y585" s="5">
        <v>500000</v>
      </c>
      <c r="Z585" s="5">
        <v>1</v>
      </c>
    </row>
    <row r="586" spans="1:26" ht="15.75" customHeight="1" x14ac:dyDescent="0.35">
      <c r="A586" s="2"/>
      <c r="B586" s="3" t="s">
        <v>2138</v>
      </c>
      <c r="C586" s="3" t="s">
        <v>59</v>
      </c>
      <c r="D586" s="3" t="s">
        <v>193</v>
      </c>
      <c r="E586" s="3" t="s">
        <v>2548</v>
      </c>
      <c r="F586" s="4" t="s">
        <v>2549</v>
      </c>
      <c r="G586" s="4" t="s">
        <v>2550</v>
      </c>
      <c r="H586" s="5">
        <v>712080</v>
      </c>
      <c r="I586" s="5">
        <v>0</v>
      </c>
      <c r="J586" s="5">
        <v>712080</v>
      </c>
      <c r="K586" s="5">
        <v>0</v>
      </c>
      <c r="L586" s="5">
        <v>80</v>
      </c>
      <c r="M586" s="5">
        <v>0</v>
      </c>
      <c r="N586" s="5">
        <v>712000</v>
      </c>
      <c r="O586" s="5">
        <v>0</v>
      </c>
      <c r="P586" s="5">
        <v>0</v>
      </c>
      <c r="Q586" s="3" t="s">
        <v>2551</v>
      </c>
      <c r="R586" s="3" t="s">
        <v>2552</v>
      </c>
      <c r="S586" s="3" t="s">
        <v>34</v>
      </c>
      <c r="T586" s="3" t="s">
        <v>48</v>
      </c>
      <c r="U586" s="3" t="s">
        <v>34</v>
      </c>
      <c r="V586" s="3" t="s">
        <v>35</v>
      </c>
      <c r="W586" s="3" t="s">
        <v>2553</v>
      </c>
      <c r="X586" s="3" t="s">
        <v>2554</v>
      </c>
      <c r="Y586" s="5">
        <v>712080</v>
      </c>
      <c r="Z586" s="5">
        <v>1</v>
      </c>
    </row>
    <row r="587" spans="1:26" ht="15.75" customHeight="1" x14ac:dyDescent="0.35">
      <c r="A587" s="2"/>
      <c r="B587" s="3" t="s">
        <v>2555</v>
      </c>
      <c r="C587" s="3" t="s">
        <v>64</v>
      </c>
      <c r="D587" s="3" t="s">
        <v>65</v>
      </c>
      <c r="E587" s="3" t="s">
        <v>2556</v>
      </c>
      <c r="F587" s="4" t="s">
        <v>2557</v>
      </c>
      <c r="G587" s="4" t="s">
        <v>2558</v>
      </c>
      <c r="H587" s="5">
        <v>585000</v>
      </c>
      <c r="I587" s="5">
        <v>0</v>
      </c>
      <c r="J587" s="5">
        <v>585000</v>
      </c>
      <c r="K587" s="5">
        <v>0</v>
      </c>
      <c r="L587" s="5">
        <v>0</v>
      </c>
      <c r="M587" s="5">
        <v>0</v>
      </c>
      <c r="N587" s="5">
        <v>0</v>
      </c>
      <c r="O587" s="5">
        <v>585000</v>
      </c>
      <c r="P587" s="5">
        <v>0</v>
      </c>
      <c r="Q587" s="3" t="s">
        <v>34</v>
      </c>
      <c r="R587" s="3" t="s">
        <v>34</v>
      </c>
      <c r="S587" s="3" t="s">
        <v>34</v>
      </c>
      <c r="T587" s="3" t="s">
        <v>245</v>
      </c>
      <c r="U587" s="3" t="s">
        <v>34</v>
      </c>
      <c r="V587" s="3" t="s">
        <v>35</v>
      </c>
      <c r="W587" s="3" t="s">
        <v>2559</v>
      </c>
      <c r="X587" s="3"/>
      <c r="Y587" s="5">
        <v>585000</v>
      </c>
      <c r="Z587" s="5">
        <v>1</v>
      </c>
    </row>
    <row r="588" spans="1:26" ht="15.75" customHeight="1" x14ac:dyDescent="0.35">
      <c r="A588" s="2"/>
      <c r="B588" s="3" t="s">
        <v>2157</v>
      </c>
      <c r="C588" s="3" t="s">
        <v>59</v>
      </c>
      <c r="D588" s="3" t="s">
        <v>193</v>
      </c>
      <c r="E588" s="3" t="s">
        <v>2560</v>
      </c>
      <c r="F588" s="4" t="s">
        <v>2561</v>
      </c>
      <c r="G588" s="4" t="s">
        <v>2562</v>
      </c>
      <c r="H588" s="5">
        <v>650000</v>
      </c>
      <c r="I588" s="5">
        <v>0</v>
      </c>
      <c r="J588" s="5">
        <v>650000</v>
      </c>
      <c r="K588" s="5">
        <v>0</v>
      </c>
      <c r="L588" s="5">
        <v>0</v>
      </c>
      <c r="M588" s="5">
        <v>0</v>
      </c>
      <c r="N588" s="5">
        <v>650000</v>
      </c>
      <c r="O588" s="5">
        <v>0</v>
      </c>
      <c r="P588" s="5">
        <v>0</v>
      </c>
      <c r="Q588" s="3" t="s">
        <v>34</v>
      </c>
      <c r="R588" s="3" t="s">
        <v>34</v>
      </c>
      <c r="S588" s="3" t="s">
        <v>2563</v>
      </c>
      <c r="T588" s="3" t="s">
        <v>41</v>
      </c>
      <c r="U588" s="3" t="s">
        <v>34</v>
      </c>
      <c r="V588" s="3" t="s">
        <v>35</v>
      </c>
      <c r="W588" s="3" t="s">
        <v>2564</v>
      </c>
      <c r="X588" s="3"/>
      <c r="Y588" s="5">
        <v>650000</v>
      </c>
      <c r="Z588" s="5">
        <v>1</v>
      </c>
    </row>
    <row r="589" spans="1:26" ht="15.75" customHeight="1" x14ac:dyDescent="0.35">
      <c r="A589" s="2"/>
      <c r="B589" s="3" t="s">
        <v>2167</v>
      </c>
      <c r="C589" s="3" t="s">
        <v>64</v>
      </c>
      <c r="D589" s="3" t="s">
        <v>89</v>
      </c>
      <c r="E589" s="3" t="s">
        <v>2565</v>
      </c>
      <c r="F589" s="4" t="s">
        <v>2566</v>
      </c>
      <c r="G589" s="4" t="s">
        <v>2562</v>
      </c>
      <c r="H589" s="5">
        <v>584000</v>
      </c>
      <c r="I589" s="5">
        <v>0</v>
      </c>
      <c r="J589" s="5">
        <v>534000</v>
      </c>
      <c r="K589" s="5">
        <v>0</v>
      </c>
      <c r="L589" s="5">
        <v>0</v>
      </c>
      <c r="M589" s="5">
        <v>0</v>
      </c>
      <c r="N589" s="5">
        <v>534000</v>
      </c>
      <c r="O589" s="5">
        <v>0</v>
      </c>
      <c r="P589" s="5">
        <v>0</v>
      </c>
      <c r="Q589" s="3" t="s">
        <v>34</v>
      </c>
      <c r="R589" s="3" t="s">
        <v>34</v>
      </c>
      <c r="S589" s="3" t="s">
        <v>2567</v>
      </c>
      <c r="T589" s="3" t="s">
        <v>34</v>
      </c>
      <c r="U589" s="3" t="s">
        <v>34</v>
      </c>
      <c r="V589" s="3" t="s">
        <v>35</v>
      </c>
      <c r="W589" s="3" t="s">
        <v>2568</v>
      </c>
      <c r="X589" s="3"/>
      <c r="Y589" s="5">
        <v>584000</v>
      </c>
      <c r="Z589" s="5">
        <v>1</v>
      </c>
    </row>
    <row r="590" spans="1:26" ht="15.75" customHeight="1" x14ac:dyDescent="0.35">
      <c r="A590" s="2"/>
      <c r="B590" s="3" t="s">
        <v>2162</v>
      </c>
      <c r="C590" s="3" t="s">
        <v>29</v>
      </c>
      <c r="D590" s="3" t="s">
        <v>43</v>
      </c>
      <c r="E590" s="3" t="s">
        <v>2569</v>
      </c>
      <c r="F590" s="4" t="s">
        <v>2570</v>
      </c>
      <c r="G590" s="4" t="s">
        <v>2571</v>
      </c>
      <c r="H590" s="5">
        <v>1450000</v>
      </c>
      <c r="I590" s="5">
        <v>0</v>
      </c>
      <c r="J590" s="5">
        <v>1450000</v>
      </c>
      <c r="K590" s="5">
        <v>0</v>
      </c>
      <c r="L590" s="5">
        <v>0</v>
      </c>
      <c r="M590" s="5">
        <v>0</v>
      </c>
      <c r="N590" s="5">
        <v>1450000</v>
      </c>
      <c r="O590" s="5">
        <v>0</v>
      </c>
      <c r="P590" s="5">
        <v>0</v>
      </c>
      <c r="Q590" s="3"/>
      <c r="R590" s="3"/>
      <c r="S590" s="3"/>
      <c r="T590" s="3" t="s">
        <v>41</v>
      </c>
      <c r="U590" s="3" t="s">
        <v>34</v>
      </c>
      <c r="V590" s="3" t="s">
        <v>35</v>
      </c>
      <c r="W590" s="3" t="s">
        <v>2572</v>
      </c>
      <c r="X590" s="3"/>
      <c r="Y590" s="5">
        <v>725000</v>
      </c>
      <c r="Z590" s="5">
        <v>2</v>
      </c>
    </row>
    <row r="591" spans="1:26" ht="15.75" customHeight="1" x14ac:dyDescent="0.35">
      <c r="A591" s="2"/>
      <c r="B591" s="3" t="s">
        <v>2173</v>
      </c>
      <c r="C591" s="3" t="s">
        <v>64</v>
      </c>
      <c r="D591" s="3" t="s">
        <v>99</v>
      </c>
      <c r="E591" s="3" t="s">
        <v>2573</v>
      </c>
      <c r="F591" s="4" t="s">
        <v>2574</v>
      </c>
      <c r="G591" s="4" t="s">
        <v>2571</v>
      </c>
      <c r="H591" s="5">
        <v>1300000</v>
      </c>
      <c r="I591" s="5">
        <v>44000</v>
      </c>
      <c r="J591" s="5">
        <v>1344000</v>
      </c>
      <c r="K591" s="5">
        <v>0</v>
      </c>
      <c r="L591" s="5">
        <v>650000</v>
      </c>
      <c r="M591" s="5">
        <v>0</v>
      </c>
      <c r="N591" s="5">
        <v>694000</v>
      </c>
      <c r="O591" s="5">
        <v>0</v>
      </c>
      <c r="P591" s="5">
        <v>0</v>
      </c>
      <c r="Q591" s="3" t="s">
        <v>34</v>
      </c>
      <c r="R591" s="3" t="s">
        <v>34</v>
      </c>
      <c r="S591" s="3" t="s">
        <v>34</v>
      </c>
      <c r="T591" s="3" t="s">
        <v>41</v>
      </c>
      <c r="U591" s="3" t="s">
        <v>34</v>
      </c>
      <c r="V591" s="3" t="s">
        <v>35</v>
      </c>
      <c r="W591" s="3" t="s">
        <v>2575</v>
      </c>
      <c r="X591" s="3"/>
      <c r="Y591" s="5">
        <v>650000</v>
      </c>
      <c r="Z591" s="5">
        <v>2</v>
      </c>
    </row>
    <row r="592" spans="1:26" ht="15.75" customHeight="1" x14ac:dyDescent="0.35">
      <c r="A592" s="2"/>
      <c r="B592" s="3" t="s">
        <v>2185</v>
      </c>
      <c r="C592" s="3" t="s">
        <v>59</v>
      </c>
      <c r="D592" s="3" t="s">
        <v>60</v>
      </c>
      <c r="E592" s="3" t="s">
        <v>2576</v>
      </c>
      <c r="F592" s="4" t="s">
        <v>2577</v>
      </c>
      <c r="G592" s="4" t="s">
        <v>2571</v>
      </c>
      <c r="H592" s="5">
        <v>584000</v>
      </c>
      <c r="I592" s="5">
        <v>15000</v>
      </c>
      <c r="J592" s="5">
        <v>599000</v>
      </c>
      <c r="K592" s="5">
        <v>0</v>
      </c>
      <c r="L592" s="5">
        <v>0</v>
      </c>
      <c r="M592" s="5">
        <v>0</v>
      </c>
      <c r="N592" s="5">
        <v>599000</v>
      </c>
      <c r="O592" s="5">
        <v>0</v>
      </c>
      <c r="P592" s="5">
        <v>0</v>
      </c>
      <c r="Q592" s="3" t="s">
        <v>2578</v>
      </c>
      <c r="R592" s="3" t="s">
        <v>34</v>
      </c>
      <c r="S592" s="3" t="s">
        <v>34</v>
      </c>
      <c r="T592" s="3" t="s">
        <v>34</v>
      </c>
      <c r="U592" s="3" t="s">
        <v>34</v>
      </c>
      <c r="V592" s="3" t="s">
        <v>35</v>
      </c>
      <c r="W592" s="3" t="s">
        <v>2579</v>
      </c>
      <c r="X592" s="3"/>
      <c r="Y592" s="5">
        <v>584000</v>
      </c>
      <c r="Z592" s="5">
        <v>1</v>
      </c>
    </row>
    <row r="593" spans="1:26" ht="15.75" customHeight="1" x14ac:dyDescent="0.35">
      <c r="A593" s="2"/>
      <c r="B593" s="3" t="s">
        <v>2150</v>
      </c>
      <c r="C593" s="3" t="s">
        <v>59</v>
      </c>
      <c r="D593" s="3" t="s">
        <v>60</v>
      </c>
      <c r="E593" s="3" t="s">
        <v>2580</v>
      </c>
      <c r="F593" s="4" t="s">
        <v>2581</v>
      </c>
      <c r="G593" s="4" t="s">
        <v>2582</v>
      </c>
      <c r="H593" s="5">
        <v>350000</v>
      </c>
      <c r="I593" s="5">
        <v>0</v>
      </c>
      <c r="J593" s="5">
        <v>350000</v>
      </c>
      <c r="K593" s="5">
        <v>0</v>
      </c>
      <c r="L593" s="5">
        <v>350000</v>
      </c>
      <c r="M593" s="5">
        <v>0</v>
      </c>
      <c r="N593" s="5">
        <v>0</v>
      </c>
      <c r="O593" s="5">
        <v>0</v>
      </c>
      <c r="P593" s="5">
        <v>0</v>
      </c>
      <c r="Q593" s="3"/>
      <c r="R593" s="3"/>
      <c r="S593" s="3"/>
      <c r="T593" s="3" t="s">
        <v>41</v>
      </c>
      <c r="U593" s="3" t="s">
        <v>34</v>
      </c>
      <c r="V593" s="3" t="s">
        <v>35</v>
      </c>
      <c r="W593" s="3" t="s">
        <v>2583</v>
      </c>
      <c r="X593" s="3"/>
      <c r="Y593" s="5">
        <v>350000</v>
      </c>
      <c r="Z593" s="5">
        <v>1</v>
      </c>
    </row>
    <row r="594" spans="1:26" ht="15.75" customHeight="1" x14ac:dyDescent="0.35">
      <c r="A594" s="2"/>
      <c r="B594" s="3" t="s">
        <v>2217</v>
      </c>
      <c r="C594" s="3" t="s">
        <v>59</v>
      </c>
      <c r="D594" s="3" t="s">
        <v>193</v>
      </c>
      <c r="E594" s="3" t="s">
        <v>2584</v>
      </c>
      <c r="F594" s="4" t="s">
        <v>2581</v>
      </c>
      <c r="G594" s="4" t="s">
        <v>2585</v>
      </c>
      <c r="H594" s="5">
        <v>349000</v>
      </c>
      <c r="I594" s="5">
        <v>0</v>
      </c>
      <c r="J594" s="5">
        <v>349000</v>
      </c>
      <c r="K594" s="5">
        <v>0</v>
      </c>
      <c r="L594" s="5">
        <v>0</v>
      </c>
      <c r="M594" s="5">
        <v>0</v>
      </c>
      <c r="N594" s="5">
        <v>349000</v>
      </c>
      <c r="O594" s="5">
        <v>0</v>
      </c>
      <c r="P594" s="5">
        <v>0</v>
      </c>
      <c r="Q594" s="3" t="s">
        <v>34</v>
      </c>
      <c r="R594" s="3" t="s">
        <v>34</v>
      </c>
      <c r="S594" s="3" t="s">
        <v>34</v>
      </c>
      <c r="T594" s="3" t="s">
        <v>41</v>
      </c>
      <c r="U594" s="3" t="s">
        <v>34</v>
      </c>
      <c r="V594" s="3" t="s">
        <v>35</v>
      </c>
      <c r="W594" s="3" t="s">
        <v>2586</v>
      </c>
      <c r="X594" s="3"/>
      <c r="Y594" s="5">
        <v>349000</v>
      </c>
      <c r="Z594" s="5">
        <v>1</v>
      </c>
    </row>
    <row r="595" spans="1:26" ht="15.75" customHeight="1" x14ac:dyDescent="0.35">
      <c r="A595" s="2"/>
      <c r="B595" s="3" t="s">
        <v>2587</v>
      </c>
      <c r="C595" s="3" t="s">
        <v>59</v>
      </c>
      <c r="D595" s="3" t="s">
        <v>182</v>
      </c>
      <c r="E595" s="3" t="s">
        <v>2588</v>
      </c>
      <c r="F595" s="4" t="s">
        <v>2582</v>
      </c>
      <c r="G595" s="4" t="s">
        <v>2589</v>
      </c>
      <c r="H595" s="5">
        <v>349000</v>
      </c>
      <c r="I595" s="5">
        <v>0</v>
      </c>
      <c r="J595" s="5">
        <v>349000</v>
      </c>
      <c r="K595" s="5">
        <v>0</v>
      </c>
      <c r="L595" s="5">
        <v>0</v>
      </c>
      <c r="M595" s="5">
        <v>0</v>
      </c>
      <c r="N595" s="5">
        <v>349000</v>
      </c>
      <c r="O595" s="5">
        <v>0</v>
      </c>
      <c r="P595" s="5">
        <v>0</v>
      </c>
      <c r="Q595" s="3" t="s">
        <v>34</v>
      </c>
      <c r="R595" s="3" t="s">
        <v>34</v>
      </c>
      <c r="S595" s="3" t="s">
        <v>34</v>
      </c>
      <c r="T595" s="3" t="s">
        <v>41</v>
      </c>
      <c r="U595" s="3" t="s">
        <v>34</v>
      </c>
      <c r="V595" s="3" t="s">
        <v>35</v>
      </c>
      <c r="W595" s="3" t="s">
        <v>2590</v>
      </c>
      <c r="X595" s="3"/>
      <c r="Y595" s="5">
        <v>349000</v>
      </c>
      <c r="Z595" s="5">
        <v>1</v>
      </c>
    </row>
    <row r="596" spans="1:26" ht="15.75" customHeight="1" x14ac:dyDescent="0.35">
      <c r="A596" s="2"/>
      <c r="B596" s="3" t="s">
        <v>2072</v>
      </c>
      <c r="C596" s="3" t="s">
        <v>29</v>
      </c>
      <c r="D596" s="3" t="s">
        <v>30</v>
      </c>
      <c r="E596" s="3" t="s">
        <v>2591</v>
      </c>
      <c r="F596" s="4" t="s">
        <v>2592</v>
      </c>
      <c r="G596" s="4" t="s">
        <v>2593</v>
      </c>
      <c r="H596" s="5">
        <v>3985000</v>
      </c>
      <c r="I596" s="5">
        <v>950000</v>
      </c>
      <c r="J596" s="5">
        <v>4935000</v>
      </c>
      <c r="K596" s="5">
        <v>0</v>
      </c>
      <c r="L596" s="5">
        <v>0</v>
      </c>
      <c r="M596" s="5">
        <v>0</v>
      </c>
      <c r="N596" s="5">
        <v>4935000</v>
      </c>
      <c r="O596" s="5">
        <v>0</v>
      </c>
      <c r="P596" s="5">
        <v>0</v>
      </c>
      <c r="Q596" s="3"/>
      <c r="R596" s="3"/>
      <c r="S596" s="3"/>
      <c r="T596" s="3" t="s">
        <v>41</v>
      </c>
      <c r="U596" s="3" t="s">
        <v>34</v>
      </c>
      <c r="V596" s="3" t="s">
        <v>35</v>
      </c>
      <c r="W596" s="3" t="s">
        <v>2594</v>
      </c>
      <c r="X596" s="3"/>
      <c r="Y596" s="5">
        <v>797000</v>
      </c>
      <c r="Z596" s="5">
        <v>5</v>
      </c>
    </row>
    <row r="597" spans="1:26" ht="15.75" customHeight="1" x14ac:dyDescent="0.35">
      <c r="A597" s="2"/>
      <c r="B597" s="3" t="s">
        <v>2108</v>
      </c>
      <c r="C597" s="3" t="s">
        <v>64</v>
      </c>
      <c r="D597" s="3" t="s">
        <v>83</v>
      </c>
      <c r="E597" s="3" t="s">
        <v>2595</v>
      </c>
      <c r="F597" s="4" t="s">
        <v>2596</v>
      </c>
      <c r="G597" s="4" t="s">
        <v>2593</v>
      </c>
      <c r="H597" s="5">
        <v>1662000</v>
      </c>
      <c r="I597" s="5">
        <v>0</v>
      </c>
      <c r="J597" s="5">
        <v>1662000</v>
      </c>
      <c r="K597" s="5">
        <v>0</v>
      </c>
      <c r="L597" s="5">
        <v>0</v>
      </c>
      <c r="M597" s="5">
        <v>0</v>
      </c>
      <c r="N597" s="5">
        <v>1662000</v>
      </c>
      <c r="O597" s="5">
        <v>0</v>
      </c>
      <c r="P597" s="5">
        <v>0</v>
      </c>
      <c r="Q597" s="3" t="s">
        <v>2597</v>
      </c>
      <c r="R597" s="3" t="s">
        <v>34</v>
      </c>
      <c r="S597" s="3" t="s">
        <v>34</v>
      </c>
      <c r="T597" s="3" t="s">
        <v>41</v>
      </c>
      <c r="U597" s="3" t="s">
        <v>34</v>
      </c>
      <c r="V597" s="3" t="s">
        <v>35</v>
      </c>
      <c r="W597" s="3" t="s">
        <v>2598</v>
      </c>
      <c r="X597" s="3"/>
      <c r="Y597" s="5">
        <v>554000</v>
      </c>
      <c r="Z597" s="5">
        <v>3</v>
      </c>
    </row>
    <row r="598" spans="1:26" ht="15.75" customHeight="1" x14ac:dyDescent="0.35">
      <c r="A598" s="2"/>
      <c r="B598" s="3" t="s">
        <v>2108</v>
      </c>
      <c r="C598" s="3" t="s">
        <v>64</v>
      </c>
      <c r="D598" s="3" t="s">
        <v>65</v>
      </c>
      <c r="E598" s="3" t="s">
        <v>100</v>
      </c>
      <c r="F598" s="4" t="s">
        <v>2599</v>
      </c>
      <c r="G598" s="4" t="s">
        <v>2593</v>
      </c>
      <c r="H598" s="5">
        <v>1078000</v>
      </c>
      <c r="I598" s="5">
        <v>0</v>
      </c>
      <c r="J598" s="5">
        <v>1078000</v>
      </c>
      <c r="K598" s="5">
        <v>0</v>
      </c>
      <c r="L598" s="5">
        <v>0</v>
      </c>
      <c r="M598" s="5">
        <v>0</v>
      </c>
      <c r="N598" s="5">
        <v>1078000</v>
      </c>
      <c r="O598" s="5">
        <v>0</v>
      </c>
      <c r="P598" s="5">
        <v>0</v>
      </c>
      <c r="Q598" s="3" t="s">
        <v>34</v>
      </c>
      <c r="R598" s="3" t="s">
        <v>34</v>
      </c>
      <c r="S598" s="3" t="s">
        <v>34</v>
      </c>
      <c r="T598" s="3" t="s">
        <v>41</v>
      </c>
      <c r="U598" s="3" t="s">
        <v>34</v>
      </c>
      <c r="V598" s="3" t="s">
        <v>35</v>
      </c>
      <c r="W598" s="3" t="s">
        <v>2600</v>
      </c>
      <c r="X598" s="3"/>
      <c r="Y598" s="5">
        <v>539000</v>
      </c>
      <c r="Z598" s="5">
        <v>2</v>
      </c>
    </row>
    <row r="599" spans="1:26" ht="15.75" customHeight="1" x14ac:dyDescent="0.35">
      <c r="A599" s="2"/>
      <c r="B599" s="3" t="s">
        <v>2190</v>
      </c>
      <c r="C599" s="3" t="s">
        <v>64</v>
      </c>
      <c r="D599" s="3" t="s">
        <v>99</v>
      </c>
      <c r="E599" s="3" t="s">
        <v>2601</v>
      </c>
      <c r="F599" s="4" t="s">
        <v>2602</v>
      </c>
      <c r="G599" s="4" t="s">
        <v>2593</v>
      </c>
      <c r="H599" s="5">
        <v>449650</v>
      </c>
      <c r="I599" s="5">
        <v>0</v>
      </c>
      <c r="J599" s="5">
        <v>449650</v>
      </c>
      <c r="K599" s="5">
        <v>0</v>
      </c>
      <c r="L599" s="5">
        <v>0</v>
      </c>
      <c r="M599" s="5">
        <v>0</v>
      </c>
      <c r="N599" s="5">
        <v>0</v>
      </c>
      <c r="O599" s="5">
        <v>449650</v>
      </c>
      <c r="P599" s="5">
        <v>0</v>
      </c>
      <c r="Q599" s="3" t="s">
        <v>34</v>
      </c>
      <c r="R599" s="3" t="s">
        <v>34</v>
      </c>
      <c r="S599" s="3" t="s">
        <v>34</v>
      </c>
      <c r="T599" s="3" t="s">
        <v>245</v>
      </c>
      <c r="U599" s="3" t="s">
        <v>34</v>
      </c>
      <c r="V599" s="3" t="s">
        <v>35</v>
      </c>
      <c r="W599" s="3" t="s">
        <v>2603</v>
      </c>
      <c r="X599" s="3"/>
      <c r="Y599" s="5">
        <v>449650</v>
      </c>
      <c r="Z599" s="5">
        <v>1</v>
      </c>
    </row>
    <row r="600" spans="1:26" ht="15.75" customHeight="1" x14ac:dyDescent="0.35">
      <c r="A600" s="2"/>
      <c r="B600" s="3" t="s">
        <v>2604</v>
      </c>
      <c r="C600" s="3" t="s">
        <v>71</v>
      </c>
      <c r="D600" s="3" t="s">
        <v>95</v>
      </c>
      <c r="E600" s="3" t="s">
        <v>2605</v>
      </c>
      <c r="F600" s="4" t="s">
        <v>2606</v>
      </c>
      <c r="G600" s="4" t="s">
        <v>2607</v>
      </c>
      <c r="H600" s="5">
        <v>1258000</v>
      </c>
      <c r="I600" s="5">
        <v>0</v>
      </c>
      <c r="J600" s="5">
        <v>1258000</v>
      </c>
      <c r="K600" s="5">
        <v>0</v>
      </c>
      <c r="L600" s="5">
        <v>0</v>
      </c>
      <c r="M600" s="5">
        <v>0</v>
      </c>
      <c r="N600" s="5">
        <v>1258000</v>
      </c>
      <c r="O600" s="5">
        <v>0</v>
      </c>
      <c r="P600" s="5">
        <v>0</v>
      </c>
      <c r="Q600" s="3" t="s">
        <v>2608</v>
      </c>
      <c r="R600" s="3" t="s">
        <v>34</v>
      </c>
      <c r="S600" s="3" t="s">
        <v>34</v>
      </c>
      <c r="T600" s="3" t="s">
        <v>41</v>
      </c>
      <c r="U600" s="3" t="s">
        <v>34</v>
      </c>
      <c r="V600" s="3" t="s">
        <v>35</v>
      </c>
      <c r="W600" s="3" t="s">
        <v>2609</v>
      </c>
      <c r="X600" s="3"/>
      <c r="Y600" s="5">
        <v>629000</v>
      </c>
      <c r="Z600" s="5">
        <v>2</v>
      </c>
    </row>
    <row r="601" spans="1:26" ht="15.75" customHeight="1" x14ac:dyDescent="0.35">
      <c r="A601" s="2"/>
      <c r="B601" s="3" t="s">
        <v>2333</v>
      </c>
      <c r="C601" s="3" t="s">
        <v>29</v>
      </c>
      <c r="D601" s="3" t="s">
        <v>110</v>
      </c>
      <c r="E601" s="3" t="s">
        <v>2610</v>
      </c>
      <c r="F601" s="4" t="s">
        <v>2611</v>
      </c>
      <c r="G601" s="4" t="s">
        <v>2612</v>
      </c>
      <c r="H601" s="5">
        <v>2880000</v>
      </c>
      <c r="I601" s="5">
        <v>0</v>
      </c>
      <c r="J601" s="5">
        <v>2880000</v>
      </c>
      <c r="K601" s="5">
        <v>0</v>
      </c>
      <c r="L601" s="5">
        <v>0</v>
      </c>
      <c r="M601" s="5">
        <v>0</v>
      </c>
      <c r="N601" s="5">
        <v>0</v>
      </c>
      <c r="O601" s="5">
        <v>2880000</v>
      </c>
      <c r="P601" s="5">
        <v>0</v>
      </c>
      <c r="Q601" s="3" t="s">
        <v>34</v>
      </c>
      <c r="R601" s="3" t="s">
        <v>34</v>
      </c>
      <c r="S601" s="3" t="s">
        <v>34</v>
      </c>
      <c r="T601" s="3" t="s">
        <v>41</v>
      </c>
      <c r="U601" s="3" t="s">
        <v>34</v>
      </c>
      <c r="V601" s="3" t="s">
        <v>35</v>
      </c>
      <c r="W601" s="3" t="s">
        <v>2613</v>
      </c>
      <c r="X601" s="3"/>
      <c r="Y601" s="5">
        <v>720000</v>
      </c>
      <c r="Z601" s="5">
        <v>4</v>
      </c>
    </row>
    <row r="602" spans="1:26" ht="15.75" customHeight="1" x14ac:dyDescent="0.35">
      <c r="A602" s="2"/>
      <c r="B602" s="3" t="s">
        <v>2236</v>
      </c>
      <c r="C602" s="3" t="s">
        <v>64</v>
      </c>
      <c r="D602" s="3" t="s">
        <v>99</v>
      </c>
      <c r="E602" s="3" t="s">
        <v>2614</v>
      </c>
      <c r="F602" s="4" t="s">
        <v>2615</v>
      </c>
      <c r="G602" s="4" t="s">
        <v>2616</v>
      </c>
      <c r="H602" s="5">
        <v>250000</v>
      </c>
      <c r="I602" s="5">
        <v>0</v>
      </c>
      <c r="J602" s="5">
        <v>250000</v>
      </c>
      <c r="K602" s="5">
        <v>0</v>
      </c>
      <c r="L602" s="5">
        <v>250000</v>
      </c>
      <c r="M602" s="5">
        <v>0</v>
      </c>
      <c r="N602" s="5">
        <v>0</v>
      </c>
      <c r="O602" s="5">
        <v>0</v>
      </c>
      <c r="P602" s="5">
        <v>0</v>
      </c>
      <c r="Q602" s="3" t="s">
        <v>34</v>
      </c>
      <c r="R602" s="3" t="s">
        <v>34</v>
      </c>
      <c r="S602" s="3" t="s">
        <v>34</v>
      </c>
      <c r="T602" s="3" t="s">
        <v>41</v>
      </c>
      <c r="U602" s="3" t="s">
        <v>34</v>
      </c>
      <c r="V602" s="3" t="s">
        <v>35</v>
      </c>
      <c r="W602" s="3" t="s">
        <v>2617</v>
      </c>
      <c r="X602" s="3"/>
      <c r="Y602" s="5">
        <v>250000</v>
      </c>
      <c r="Z602" s="5">
        <v>1</v>
      </c>
    </row>
    <row r="603" spans="1:26" ht="15.75" customHeight="1" x14ac:dyDescent="0.35">
      <c r="A603" s="2"/>
      <c r="B603" s="3" t="s">
        <v>2178</v>
      </c>
      <c r="C603" s="3" t="s">
        <v>59</v>
      </c>
      <c r="D603" s="3" t="s">
        <v>182</v>
      </c>
      <c r="E603" s="3" t="s">
        <v>2618</v>
      </c>
      <c r="F603" s="4" t="s">
        <v>2619</v>
      </c>
      <c r="G603" s="4" t="s">
        <v>2620</v>
      </c>
      <c r="H603" s="5">
        <v>644000</v>
      </c>
      <c r="I603" s="5">
        <v>0</v>
      </c>
      <c r="J603" s="5">
        <v>644000</v>
      </c>
      <c r="K603" s="5">
        <v>0</v>
      </c>
      <c r="L603" s="5">
        <v>644000</v>
      </c>
      <c r="M603" s="5">
        <v>0</v>
      </c>
      <c r="N603" s="5">
        <v>0</v>
      </c>
      <c r="O603" s="5">
        <v>0</v>
      </c>
      <c r="P603" s="5">
        <v>0</v>
      </c>
      <c r="Q603" s="3" t="s">
        <v>34</v>
      </c>
      <c r="R603" s="3" t="s">
        <v>34</v>
      </c>
      <c r="S603" s="3" t="s">
        <v>34</v>
      </c>
      <c r="T603" s="3" t="s">
        <v>41</v>
      </c>
      <c r="U603" s="3" t="s">
        <v>34</v>
      </c>
      <c r="V603" s="3" t="s">
        <v>35</v>
      </c>
      <c r="W603" s="3" t="s">
        <v>2621</v>
      </c>
      <c r="X603" s="3"/>
      <c r="Y603" s="5">
        <v>644000</v>
      </c>
      <c r="Z603" s="5">
        <v>1</v>
      </c>
    </row>
    <row r="604" spans="1:26" ht="15.75" customHeight="1" x14ac:dyDescent="0.35">
      <c r="A604" s="2"/>
      <c r="B604" s="3" t="s">
        <v>2232</v>
      </c>
      <c r="C604" s="3" t="s">
        <v>64</v>
      </c>
      <c r="D604" s="3" t="s">
        <v>173</v>
      </c>
      <c r="E604" s="3" t="s">
        <v>2622</v>
      </c>
      <c r="F604" s="4" t="s">
        <v>2623</v>
      </c>
      <c r="G604" s="4" t="s">
        <v>2624</v>
      </c>
      <c r="H604" s="5">
        <v>350000</v>
      </c>
      <c r="I604" s="5">
        <v>0</v>
      </c>
      <c r="J604" s="5">
        <v>350000</v>
      </c>
      <c r="K604" s="5">
        <v>0</v>
      </c>
      <c r="L604" s="5">
        <v>350000</v>
      </c>
      <c r="M604" s="5">
        <v>0</v>
      </c>
      <c r="N604" s="5">
        <v>0</v>
      </c>
      <c r="O604" s="5">
        <v>0</v>
      </c>
      <c r="P604" s="5">
        <v>0</v>
      </c>
      <c r="Q604" s="3" t="s">
        <v>34</v>
      </c>
      <c r="R604" s="3" t="s">
        <v>34</v>
      </c>
      <c r="S604" s="3" t="s">
        <v>34</v>
      </c>
      <c r="T604" s="3" t="s">
        <v>41</v>
      </c>
      <c r="U604" s="3" t="s">
        <v>34</v>
      </c>
      <c r="V604" s="3" t="s">
        <v>35</v>
      </c>
      <c r="W604" s="3" t="s">
        <v>506</v>
      </c>
      <c r="X604" s="3"/>
      <c r="Y604" s="5">
        <v>350000</v>
      </c>
      <c r="Z604" s="5">
        <v>1</v>
      </c>
    </row>
    <row r="605" spans="1:26" ht="15.75" customHeight="1" x14ac:dyDescent="0.35">
      <c r="A605" s="2"/>
      <c r="B605" s="3" t="s">
        <v>2173</v>
      </c>
      <c r="C605" s="3" t="s">
        <v>59</v>
      </c>
      <c r="D605" s="3" t="s">
        <v>122</v>
      </c>
      <c r="E605" s="3" t="s">
        <v>226</v>
      </c>
      <c r="F605" s="4" t="s">
        <v>2625</v>
      </c>
      <c r="G605" s="4" t="s">
        <v>2626</v>
      </c>
      <c r="H605" s="5">
        <v>2200000</v>
      </c>
      <c r="I605" s="5">
        <v>350000</v>
      </c>
      <c r="J605" s="5">
        <v>2550000</v>
      </c>
      <c r="K605" s="5">
        <v>0</v>
      </c>
      <c r="L605" s="5">
        <v>100000</v>
      </c>
      <c r="M605" s="5">
        <v>0</v>
      </c>
      <c r="N605" s="5">
        <v>2450000</v>
      </c>
      <c r="O605" s="5">
        <v>0</v>
      </c>
      <c r="P605" s="5">
        <v>0</v>
      </c>
      <c r="Q605" s="3"/>
      <c r="R605" s="3"/>
      <c r="S605" s="3"/>
      <c r="T605" s="3" t="s">
        <v>41</v>
      </c>
      <c r="U605" s="3" t="s">
        <v>34</v>
      </c>
      <c r="V605" s="3" t="s">
        <v>35</v>
      </c>
      <c r="W605" s="3" t="s">
        <v>2627</v>
      </c>
      <c r="X605" s="3"/>
      <c r="Y605" s="5">
        <v>733333.33330000006</v>
      </c>
      <c r="Z605" s="5">
        <v>3</v>
      </c>
    </row>
    <row r="606" spans="1:26" ht="15.75" customHeight="1" x14ac:dyDescent="0.35">
      <c r="A606" s="2"/>
      <c r="B606" s="3" t="s">
        <v>2204</v>
      </c>
      <c r="C606" s="3" t="s">
        <v>64</v>
      </c>
      <c r="D606" s="3" t="s">
        <v>83</v>
      </c>
      <c r="E606" s="3" t="s">
        <v>2573</v>
      </c>
      <c r="F606" s="4" t="s">
        <v>2628</v>
      </c>
      <c r="G606" s="4" t="s">
        <v>2626</v>
      </c>
      <c r="H606" s="5">
        <v>1498000</v>
      </c>
      <c r="I606" s="5">
        <v>0</v>
      </c>
      <c r="J606" s="5">
        <v>1498000</v>
      </c>
      <c r="K606" s="5">
        <v>0</v>
      </c>
      <c r="L606" s="5">
        <v>0</v>
      </c>
      <c r="M606" s="5">
        <v>0</v>
      </c>
      <c r="N606" s="5">
        <v>1498000</v>
      </c>
      <c r="O606" s="5">
        <v>0</v>
      </c>
      <c r="P606" s="5">
        <v>0</v>
      </c>
      <c r="Q606" s="3" t="s">
        <v>34</v>
      </c>
      <c r="R606" s="3" t="s">
        <v>34</v>
      </c>
      <c r="S606" s="3" t="s">
        <v>34</v>
      </c>
      <c r="T606" s="3" t="s">
        <v>41</v>
      </c>
      <c r="U606" s="3" t="s">
        <v>34</v>
      </c>
      <c r="V606" s="3" t="s">
        <v>35</v>
      </c>
      <c r="W606" s="3" t="s">
        <v>2629</v>
      </c>
      <c r="X606" s="3"/>
      <c r="Y606" s="5">
        <v>749000</v>
      </c>
      <c r="Z606" s="5">
        <v>2</v>
      </c>
    </row>
    <row r="607" spans="1:26" ht="15.75" customHeight="1" x14ac:dyDescent="0.35">
      <c r="A607" s="2"/>
      <c r="B607" s="3" t="s">
        <v>2630</v>
      </c>
      <c r="C607" s="3" t="s">
        <v>64</v>
      </c>
      <c r="D607" s="3" t="s">
        <v>76</v>
      </c>
      <c r="E607" s="3" t="s">
        <v>2631</v>
      </c>
      <c r="F607" s="4" t="s">
        <v>2632</v>
      </c>
      <c r="G607" s="4" t="s">
        <v>2633</v>
      </c>
      <c r="H607" s="5">
        <v>549000</v>
      </c>
      <c r="I607" s="5">
        <v>0</v>
      </c>
      <c r="J607" s="5">
        <v>549000</v>
      </c>
      <c r="K607" s="5">
        <v>0</v>
      </c>
      <c r="L607" s="5">
        <v>549000</v>
      </c>
      <c r="M607" s="5">
        <v>0</v>
      </c>
      <c r="N607" s="5">
        <v>0</v>
      </c>
      <c r="O607" s="5">
        <v>0</v>
      </c>
      <c r="P607" s="5">
        <v>0</v>
      </c>
      <c r="Q607" s="3" t="s">
        <v>34</v>
      </c>
      <c r="R607" s="3" t="s">
        <v>34</v>
      </c>
      <c r="S607" s="3" t="s">
        <v>34</v>
      </c>
      <c r="T607" s="3" t="s">
        <v>41</v>
      </c>
      <c r="U607" s="3" t="s">
        <v>34</v>
      </c>
      <c r="V607" s="3" t="s">
        <v>35</v>
      </c>
      <c r="W607" s="3" t="s">
        <v>2634</v>
      </c>
      <c r="X607" s="3"/>
      <c r="Y607" s="5">
        <v>549000</v>
      </c>
      <c r="Z607" s="5">
        <v>1</v>
      </c>
    </row>
    <row r="608" spans="1:26" ht="15.75" customHeight="1" x14ac:dyDescent="0.35">
      <c r="A608" s="2"/>
      <c r="B608" s="3" t="s">
        <v>2197</v>
      </c>
      <c r="C608" s="3" t="s">
        <v>29</v>
      </c>
      <c r="D608" s="3" t="s">
        <v>43</v>
      </c>
      <c r="E608" s="3" t="s">
        <v>2635</v>
      </c>
      <c r="F608" s="4" t="s">
        <v>2619</v>
      </c>
      <c r="G608" s="4" t="s">
        <v>2636</v>
      </c>
      <c r="H608" s="5">
        <v>2160000</v>
      </c>
      <c r="I608" s="5">
        <v>175000</v>
      </c>
      <c r="J608" s="5">
        <v>2335000</v>
      </c>
      <c r="K608" s="5">
        <v>0</v>
      </c>
      <c r="L608" s="5">
        <v>0</v>
      </c>
      <c r="M608" s="5">
        <v>0</v>
      </c>
      <c r="N608" s="5">
        <v>2335000</v>
      </c>
      <c r="O608" s="5">
        <v>0</v>
      </c>
      <c r="P608" s="5">
        <v>0</v>
      </c>
      <c r="Q608" s="3" t="s">
        <v>2637</v>
      </c>
      <c r="R608" s="3" t="s">
        <v>34</v>
      </c>
      <c r="S608" s="3" t="s">
        <v>34</v>
      </c>
      <c r="T608" s="3" t="s">
        <v>41</v>
      </c>
      <c r="U608" s="3" t="s">
        <v>34</v>
      </c>
      <c r="V608" s="3" t="s">
        <v>35</v>
      </c>
      <c r="W608" s="3" t="s">
        <v>2638</v>
      </c>
      <c r="X608" s="3"/>
      <c r="Y608" s="5">
        <v>720000</v>
      </c>
      <c r="Z608" s="5">
        <v>3</v>
      </c>
    </row>
    <row r="609" spans="1:26" ht="15.75" customHeight="1" x14ac:dyDescent="0.35">
      <c r="A609" s="2"/>
      <c r="B609" s="3" t="s">
        <v>1854</v>
      </c>
      <c r="C609" s="3" t="s">
        <v>64</v>
      </c>
      <c r="D609" s="3" t="s">
        <v>65</v>
      </c>
      <c r="E609" s="3" t="s">
        <v>2639</v>
      </c>
      <c r="F609" s="4" t="s">
        <v>2640</v>
      </c>
      <c r="G609" s="4" t="s">
        <v>2641</v>
      </c>
      <c r="H609" s="5">
        <v>1448640</v>
      </c>
      <c r="I609" s="5">
        <v>0</v>
      </c>
      <c r="J609" s="5">
        <v>1448640</v>
      </c>
      <c r="K609" s="5">
        <v>0</v>
      </c>
      <c r="L609" s="5">
        <v>0</v>
      </c>
      <c r="M609" s="5">
        <v>0</v>
      </c>
      <c r="N609" s="5">
        <v>0</v>
      </c>
      <c r="O609" s="5">
        <v>2897280</v>
      </c>
      <c r="P609" s="5">
        <v>-1448640</v>
      </c>
      <c r="Q609" s="3" t="s">
        <v>2642</v>
      </c>
      <c r="R609" s="3" t="s">
        <v>2643</v>
      </c>
      <c r="S609" s="3" t="s">
        <v>34</v>
      </c>
      <c r="T609" s="3" t="s">
        <v>48</v>
      </c>
      <c r="U609" s="3" t="s">
        <v>34</v>
      </c>
      <c r="V609" s="3" t="s">
        <v>35</v>
      </c>
      <c r="W609" s="3" t="s">
        <v>2644</v>
      </c>
      <c r="X609" s="3" t="s">
        <v>2645</v>
      </c>
      <c r="Y609" s="5">
        <v>724320</v>
      </c>
      <c r="Z609" s="5">
        <v>2</v>
      </c>
    </row>
    <row r="610" spans="1:26" ht="15.75" customHeight="1" x14ac:dyDescent="0.35">
      <c r="A610" s="2"/>
      <c r="B610" s="3" t="s">
        <v>1854</v>
      </c>
      <c r="C610" s="3" t="s">
        <v>64</v>
      </c>
      <c r="D610" s="3" t="s">
        <v>89</v>
      </c>
      <c r="E610" s="3" t="s">
        <v>2646</v>
      </c>
      <c r="F610" s="4" t="s">
        <v>2640</v>
      </c>
      <c r="G610" s="4" t="s">
        <v>2641</v>
      </c>
      <c r="H610" s="5">
        <v>1448640</v>
      </c>
      <c r="I610" s="5">
        <v>0</v>
      </c>
      <c r="J610" s="5">
        <v>1448640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1448640</v>
      </c>
      <c r="Q610" s="3" t="s">
        <v>2647</v>
      </c>
      <c r="R610" s="3" t="s">
        <v>34</v>
      </c>
      <c r="S610" s="3" t="s">
        <v>34</v>
      </c>
      <c r="T610" s="3" t="s">
        <v>48</v>
      </c>
      <c r="U610" s="3" t="s">
        <v>34</v>
      </c>
      <c r="V610" s="3" t="s">
        <v>35</v>
      </c>
      <c r="W610" s="3" t="s">
        <v>2648</v>
      </c>
      <c r="X610" s="3" t="s">
        <v>2645</v>
      </c>
      <c r="Y610" s="5">
        <v>724320</v>
      </c>
      <c r="Z610" s="5">
        <v>2</v>
      </c>
    </row>
    <row r="611" spans="1:26" ht="15.75" customHeight="1" x14ac:dyDescent="0.35">
      <c r="A611" s="2"/>
      <c r="B611" s="3" t="s">
        <v>2255</v>
      </c>
      <c r="C611" s="3" t="s">
        <v>59</v>
      </c>
      <c r="D611" s="3" t="s">
        <v>193</v>
      </c>
      <c r="E611" s="3" t="s">
        <v>2649</v>
      </c>
      <c r="F611" s="4" t="s">
        <v>2650</v>
      </c>
      <c r="G611" s="4" t="s">
        <v>2651</v>
      </c>
      <c r="H611" s="5">
        <v>482112</v>
      </c>
      <c r="I611" s="5">
        <v>60000</v>
      </c>
      <c r="J611" s="5">
        <v>542112</v>
      </c>
      <c r="K611" s="5">
        <v>0</v>
      </c>
      <c r="L611" s="5">
        <v>60000</v>
      </c>
      <c r="M611" s="5">
        <v>0</v>
      </c>
      <c r="N611" s="5">
        <v>0</v>
      </c>
      <c r="O611" s="5">
        <v>482112</v>
      </c>
      <c r="P611" s="5">
        <v>0</v>
      </c>
      <c r="Q611" s="3" t="s">
        <v>2652</v>
      </c>
      <c r="R611" s="3" t="s">
        <v>2653</v>
      </c>
      <c r="S611" s="3" t="s">
        <v>34</v>
      </c>
      <c r="T611" s="3" t="s">
        <v>48</v>
      </c>
      <c r="U611" s="3" t="s">
        <v>34</v>
      </c>
      <c r="V611" s="3" t="s">
        <v>35</v>
      </c>
      <c r="W611" s="3" t="s">
        <v>1086</v>
      </c>
      <c r="X611" s="3" t="s">
        <v>2654</v>
      </c>
      <c r="Y611" s="5">
        <v>482112</v>
      </c>
      <c r="Z611" s="5">
        <v>1</v>
      </c>
    </row>
    <row r="612" spans="1:26" ht="15.75" customHeight="1" x14ac:dyDescent="0.35">
      <c r="A612" s="2"/>
      <c r="B612" s="3" t="s">
        <v>2286</v>
      </c>
      <c r="C612" s="3" t="s">
        <v>64</v>
      </c>
      <c r="D612" s="3" t="s">
        <v>99</v>
      </c>
      <c r="E612" s="3" t="s">
        <v>2655</v>
      </c>
      <c r="F612" s="4" t="s">
        <v>2656</v>
      </c>
      <c r="G612" s="4" t="s">
        <v>2657</v>
      </c>
      <c r="H612" s="5">
        <v>350000</v>
      </c>
      <c r="I612" s="5">
        <v>0</v>
      </c>
      <c r="J612" s="5">
        <v>350000</v>
      </c>
      <c r="K612" s="5">
        <v>0</v>
      </c>
      <c r="L612" s="5">
        <v>350000</v>
      </c>
      <c r="M612" s="5">
        <v>0</v>
      </c>
      <c r="N612" s="5">
        <v>0</v>
      </c>
      <c r="O612" s="5">
        <v>0</v>
      </c>
      <c r="P612" s="5">
        <v>0</v>
      </c>
      <c r="Q612" s="3" t="s">
        <v>34</v>
      </c>
      <c r="R612" s="3" t="s">
        <v>34</v>
      </c>
      <c r="S612" s="3" t="s">
        <v>34</v>
      </c>
      <c r="T612" s="3" t="s">
        <v>41</v>
      </c>
      <c r="U612" s="3" t="s">
        <v>34</v>
      </c>
      <c r="V612" s="3" t="s">
        <v>35</v>
      </c>
      <c r="W612" s="3" t="s">
        <v>2658</v>
      </c>
      <c r="X612" s="3"/>
      <c r="Y612" s="5">
        <v>350000</v>
      </c>
      <c r="Z612" s="5">
        <v>1</v>
      </c>
    </row>
    <row r="613" spans="1:26" ht="15.75" customHeight="1" x14ac:dyDescent="0.35">
      <c r="A613" s="2"/>
      <c r="B613" s="3" t="s">
        <v>95</v>
      </c>
      <c r="C613" s="3" t="s">
        <v>71</v>
      </c>
      <c r="D613" s="3" t="s">
        <v>1086</v>
      </c>
      <c r="E613" s="3" t="s">
        <v>2659</v>
      </c>
      <c r="F613" s="4" t="s">
        <v>2660</v>
      </c>
      <c r="G613" s="4" t="s">
        <v>2661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3"/>
      <c r="R613" s="3"/>
      <c r="S613" s="3"/>
      <c r="T613" s="3" t="s">
        <v>41</v>
      </c>
      <c r="U613" s="3" t="s">
        <v>34</v>
      </c>
      <c r="V613" s="3" t="s">
        <v>35</v>
      </c>
      <c r="W613" s="3" t="s">
        <v>2662</v>
      </c>
      <c r="X613" s="3"/>
      <c r="Y613" s="5">
        <v>0</v>
      </c>
      <c r="Z613" s="5">
        <v>1</v>
      </c>
    </row>
    <row r="614" spans="1:26" ht="15.75" customHeight="1" x14ac:dyDescent="0.35">
      <c r="A614" s="2"/>
      <c r="B614" s="3" t="s">
        <v>2209</v>
      </c>
      <c r="C614" s="3" t="s">
        <v>64</v>
      </c>
      <c r="D614" s="3" t="s">
        <v>76</v>
      </c>
      <c r="E614" s="3" t="s">
        <v>2663</v>
      </c>
      <c r="F614" s="4" t="s">
        <v>2664</v>
      </c>
      <c r="G614" s="4" t="s">
        <v>2665</v>
      </c>
      <c r="H614" s="5">
        <v>1120000</v>
      </c>
      <c r="I614" s="5">
        <v>0</v>
      </c>
      <c r="J614" s="5">
        <v>1120000</v>
      </c>
      <c r="K614" s="5">
        <v>0</v>
      </c>
      <c r="L614" s="5">
        <v>0</v>
      </c>
      <c r="M614" s="5">
        <v>0</v>
      </c>
      <c r="N614" s="5">
        <v>1120000</v>
      </c>
      <c r="O614" s="5">
        <v>0</v>
      </c>
      <c r="P614" s="5">
        <v>0</v>
      </c>
      <c r="Q614" s="3" t="s">
        <v>34</v>
      </c>
      <c r="R614" s="3" t="s">
        <v>34</v>
      </c>
      <c r="S614" s="3" t="s">
        <v>34</v>
      </c>
      <c r="T614" s="3" t="s">
        <v>41</v>
      </c>
      <c r="U614" s="3" t="s">
        <v>34</v>
      </c>
      <c r="V614" s="3" t="s">
        <v>35</v>
      </c>
      <c r="W614" s="3" t="s">
        <v>2666</v>
      </c>
      <c r="X614" s="3"/>
      <c r="Y614" s="5">
        <v>560000</v>
      </c>
      <c r="Z614" s="5">
        <v>2</v>
      </c>
    </row>
    <row r="615" spans="1:26" ht="15.75" customHeight="1" x14ac:dyDescent="0.35">
      <c r="A615" s="2"/>
      <c r="B615" s="3" t="s">
        <v>89</v>
      </c>
      <c r="C615" s="3" t="s">
        <v>64</v>
      </c>
      <c r="D615" s="3" t="s">
        <v>65</v>
      </c>
      <c r="E615" s="3" t="s">
        <v>2667</v>
      </c>
      <c r="F615" s="4" t="s">
        <v>2668</v>
      </c>
      <c r="G615" s="4" t="s">
        <v>2669</v>
      </c>
      <c r="H615" s="5">
        <v>460000</v>
      </c>
      <c r="I615" s="5">
        <v>0</v>
      </c>
      <c r="J615" s="5">
        <v>460000</v>
      </c>
      <c r="K615" s="5">
        <v>0</v>
      </c>
      <c r="L615" s="5">
        <v>0</v>
      </c>
      <c r="M615" s="5">
        <v>0</v>
      </c>
      <c r="N615" s="5">
        <v>460000</v>
      </c>
      <c r="O615" s="5">
        <v>0</v>
      </c>
      <c r="P615" s="5">
        <v>0</v>
      </c>
      <c r="Q615" s="3" t="s">
        <v>34</v>
      </c>
      <c r="R615" s="3" t="s">
        <v>34</v>
      </c>
      <c r="S615" s="3" t="s">
        <v>34</v>
      </c>
      <c r="T615" s="3" t="s">
        <v>41</v>
      </c>
      <c r="U615" s="3" t="s">
        <v>34</v>
      </c>
      <c r="V615" s="3" t="s">
        <v>35</v>
      </c>
      <c r="W615" s="3" t="s">
        <v>2670</v>
      </c>
      <c r="X615" s="3"/>
      <c r="Y615" s="5">
        <v>460000</v>
      </c>
      <c r="Z615" s="5">
        <v>1</v>
      </c>
    </row>
    <row r="616" spans="1:26" ht="15.75" customHeight="1" x14ac:dyDescent="0.35">
      <c r="A616" s="2"/>
      <c r="B616" s="3" t="s">
        <v>110</v>
      </c>
      <c r="C616" s="3" t="s">
        <v>71</v>
      </c>
      <c r="D616" s="3" t="s">
        <v>95</v>
      </c>
      <c r="E616" s="3" t="s">
        <v>2671</v>
      </c>
      <c r="F616" s="4" t="s">
        <v>2672</v>
      </c>
      <c r="G616" s="4" t="s">
        <v>2673</v>
      </c>
      <c r="H616" s="5">
        <v>575424</v>
      </c>
      <c r="I616" s="5">
        <v>0</v>
      </c>
      <c r="J616" s="5">
        <v>575424</v>
      </c>
      <c r="K616" s="5">
        <v>0</v>
      </c>
      <c r="L616" s="5">
        <v>0</v>
      </c>
      <c r="M616" s="5">
        <v>0</v>
      </c>
      <c r="N616" s="5">
        <v>0</v>
      </c>
      <c r="O616" s="5">
        <v>575424</v>
      </c>
      <c r="P616" s="5">
        <v>0</v>
      </c>
      <c r="Q616" s="3" t="s">
        <v>34</v>
      </c>
      <c r="R616" s="3" t="s">
        <v>34</v>
      </c>
      <c r="S616" s="3" t="s">
        <v>34</v>
      </c>
      <c r="T616" s="3" t="s">
        <v>48</v>
      </c>
      <c r="U616" s="3" t="s">
        <v>34</v>
      </c>
      <c r="V616" s="3" t="s">
        <v>35</v>
      </c>
      <c r="W616" s="3" t="s">
        <v>2674</v>
      </c>
      <c r="X616" s="3" t="s">
        <v>2675</v>
      </c>
      <c r="Y616" s="5">
        <v>575424</v>
      </c>
      <c r="Z616" s="5">
        <v>1</v>
      </c>
    </row>
    <row r="617" spans="1:26" ht="15.75" customHeight="1" x14ac:dyDescent="0.35">
      <c r="A617" s="2"/>
      <c r="B617" s="3" t="s">
        <v>2278</v>
      </c>
      <c r="C617" s="3" t="s">
        <v>71</v>
      </c>
      <c r="D617" s="3" t="s">
        <v>1086</v>
      </c>
      <c r="E617" s="3" t="s">
        <v>2676</v>
      </c>
      <c r="F617" s="4" t="s">
        <v>2677</v>
      </c>
      <c r="G617" s="4" t="s">
        <v>2678</v>
      </c>
      <c r="H617" s="5">
        <v>701568</v>
      </c>
      <c r="I617" s="5">
        <v>0</v>
      </c>
      <c r="J617" s="5">
        <v>701568</v>
      </c>
      <c r="K617" s="5">
        <v>0</v>
      </c>
      <c r="L617" s="5">
        <v>0</v>
      </c>
      <c r="M617" s="5">
        <v>0</v>
      </c>
      <c r="N617" s="5">
        <v>0</v>
      </c>
      <c r="O617" s="5">
        <v>701568</v>
      </c>
      <c r="P617" s="5">
        <v>0</v>
      </c>
      <c r="Q617" s="3" t="s">
        <v>2523</v>
      </c>
      <c r="R617" s="3" t="s">
        <v>2679</v>
      </c>
      <c r="S617" s="3" t="s">
        <v>34</v>
      </c>
      <c r="T617" s="3" t="s">
        <v>48</v>
      </c>
      <c r="U617" s="3" t="s">
        <v>34</v>
      </c>
      <c r="V617" s="3" t="s">
        <v>35</v>
      </c>
      <c r="W617" s="3" t="s">
        <v>2680</v>
      </c>
      <c r="X617" s="3" t="s">
        <v>2681</v>
      </c>
      <c r="Y617" s="5">
        <v>701568</v>
      </c>
      <c r="Z617" s="5">
        <v>1</v>
      </c>
    </row>
    <row r="618" spans="1:26" ht="15.75" customHeight="1" x14ac:dyDescent="0.35">
      <c r="A618" s="2"/>
      <c r="B618" s="3" t="s">
        <v>2682</v>
      </c>
      <c r="C618" s="3" t="s">
        <v>59</v>
      </c>
      <c r="D618" s="3" t="s">
        <v>60</v>
      </c>
      <c r="E618" s="3" t="s">
        <v>2683</v>
      </c>
      <c r="F618" s="4" t="s">
        <v>2684</v>
      </c>
      <c r="G618" s="4" t="s">
        <v>2685</v>
      </c>
      <c r="H618" s="5">
        <v>809000</v>
      </c>
      <c r="I618" s="5">
        <v>0</v>
      </c>
      <c r="J618" s="5">
        <v>776550</v>
      </c>
      <c r="K618" s="5">
        <v>0</v>
      </c>
      <c r="L618" s="5">
        <v>0</v>
      </c>
      <c r="M618" s="5">
        <v>0</v>
      </c>
      <c r="N618" s="5">
        <v>776550</v>
      </c>
      <c r="O618" s="5">
        <v>0</v>
      </c>
      <c r="P618" s="5">
        <v>0</v>
      </c>
      <c r="Q618" s="3" t="s">
        <v>2686</v>
      </c>
      <c r="R618" s="3" t="s">
        <v>2687</v>
      </c>
      <c r="S618" s="3" t="s">
        <v>2688</v>
      </c>
      <c r="T618" s="3" t="s">
        <v>41</v>
      </c>
      <c r="U618" s="3" t="s">
        <v>34</v>
      </c>
      <c r="V618" s="3" t="s">
        <v>35</v>
      </c>
      <c r="W618" s="3" t="s">
        <v>2689</v>
      </c>
      <c r="X618" s="3" t="s">
        <v>2690</v>
      </c>
      <c r="Y618" s="5">
        <v>809000</v>
      </c>
      <c r="Z618" s="5">
        <v>1</v>
      </c>
    </row>
    <row r="619" spans="1:26" ht="15.75" customHeight="1" x14ac:dyDescent="0.35">
      <c r="A619" s="2"/>
      <c r="B619" s="3" t="s">
        <v>2691</v>
      </c>
      <c r="C619" s="3" t="s">
        <v>64</v>
      </c>
      <c r="D619" s="3" t="s">
        <v>99</v>
      </c>
      <c r="E619" s="3" t="s">
        <v>2692</v>
      </c>
      <c r="F619" s="4" t="s">
        <v>2693</v>
      </c>
      <c r="G619" s="4" t="s">
        <v>2694</v>
      </c>
      <c r="H619" s="5">
        <v>632960</v>
      </c>
      <c r="I619" s="5">
        <v>0</v>
      </c>
      <c r="J619" s="5">
        <v>632960</v>
      </c>
      <c r="K619" s="5">
        <v>0</v>
      </c>
      <c r="L619" s="5">
        <v>0</v>
      </c>
      <c r="M619" s="5">
        <v>0</v>
      </c>
      <c r="N619" s="5">
        <v>632960</v>
      </c>
      <c r="O619" s="5">
        <v>0</v>
      </c>
      <c r="P619" s="5">
        <v>0</v>
      </c>
      <c r="Q619" s="3" t="s">
        <v>2695</v>
      </c>
      <c r="R619" s="3" t="s">
        <v>2696</v>
      </c>
      <c r="S619" s="3" t="s">
        <v>34</v>
      </c>
      <c r="T619" s="3" t="s">
        <v>48</v>
      </c>
      <c r="U619" s="3" t="s">
        <v>34</v>
      </c>
      <c r="V619" s="3" t="s">
        <v>35</v>
      </c>
      <c r="W619" s="3" t="s">
        <v>2697</v>
      </c>
      <c r="X619" s="3" t="s">
        <v>2698</v>
      </c>
      <c r="Y619" s="5">
        <v>632960</v>
      </c>
      <c r="Z619" s="5">
        <v>1</v>
      </c>
    </row>
    <row r="620" spans="1:26" ht="15.75" customHeight="1" x14ac:dyDescent="0.35">
      <c r="A620" s="2"/>
      <c r="B620" s="3" t="s">
        <v>2299</v>
      </c>
      <c r="C620" s="3" t="s">
        <v>29</v>
      </c>
      <c r="D620" s="3" t="s">
        <v>385</v>
      </c>
      <c r="E620" s="3" t="s">
        <v>2054</v>
      </c>
      <c r="F620" s="4" t="s">
        <v>2699</v>
      </c>
      <c r="G620" s="4" t="s">
        <v>2700</v>
      </c>
      <c r="H620" s="5">
        <v>650000</v>
      </c>
      <c r="I620" s="5">
        <v>0</v>
      </c>
      <c r="J620" s="5">
        <v>650000</v>
      </c>
      <c r="K620" s="5">
        <v>0</v>
      </c>
      <c r="L620" s="5">
        <v>0</v>
      </c>
      <c r="M620" s="5">
        <v>0</v>
      </c>
      <c r="N620" s="5">
        <v>650000</v>
      </c>
      <c r="O620" s="5">
        <v>0</v>
      </c>
      <c r="P620" s="5">
        <v>0</v>
      </c>
      <c r="Q620" s="3" t="s">
        <v>2056</v>
      </c>
      <c r="R620" s="3" t="s">
        <v>34</v>
      </c>
      <c r="S620" s="3" t="s">
        <v>2057</v>
      </c>
      <c r="T620" s="3" t="s">
        <v>41</v>
      </c>
      <c r="U620" s="3" t="s">
        <v>34</v>
      </c>
      <c r="V620" s="3" t="s">
        <v>35</v>
      </c>
      <c r="W620" s="3" t="s">
        <v>2701</v>
      </c>
      <c r="X620" s="3"/>
      <c r="Y620" s="5">
        <v>650000</v>
      </c>
      <c r="Z620" s="5">
        <v>1</v>
      </c>
    </row>
    <row r="621" spans="1:26" ht="15.75" customHeight="1" x14ac:dyDescent="0.35">
      <c r="A621" s="2"/>
      <c r="B621" s="3" t="s">
        <v>2281</v>
      </c>
      <c r="C621" s="3" t="s">
        <v>64</v>
      </c>
      <c r="D621" s="3" t="s">
        <v>65</v>
      </c>
      <c r="E621" s="3" t="s">
        <v>226</v>
      </c>
      <c r="F621" s="4" t="s">
        <v>2702</v>
      </c>
      <c r="G621" s="4" t="s">
        <v>2703</v>
      </c>
      <c r="H621" s="5">
        <v>550000</v>
      </c>
      <c r="I621" s="5">
        <v>0</v>
      </c>
      <c r="J621" s="5">
        <v>550000</v>
      </c>
      <c r="K621" s="5">
        <v>0</v>
      </c>
      <c r="L621" s="5">
        <v>0</v>
      </c>
      <c r="M621" s="5">
        <v>0</v>
      </c>
      <c r="N621" s="5">
        <v>550000</v>
      </c>
      <c r="O621" s="5">
        <v>0</v>
      </c>
      <c r="P621" s="5">
        <v>0</v>
      </c>
      <c r="Q621" s="3"/>
      <c r="R621" s="3"/>
      <c r="S621" s="3"/>
      <c r="T621" s="3" t="s">
        <v>41</v>
      </c>
      <c r="U621" s="3" t="s">
        <v>34</v>
      </c>
      <c r="V621" s="3" t="s">
        <v>35</v>
      </c>
      <c r="W621" s="3" t="s">
        <v>2704</v>
      </c>
      <c r="X621" s="3"/>
      <c r="Y621" s="5">
        <v>550000</v>
      </c>
      <c r="Z621" s="5">
        <v>1</v>
      </c>
    </row>
    <row r="622" spans="1:26" ht="15.75" customHeight="1" x14ac:dyDescent="0.35">
      <c r="A622" s="2"/>
      <c r="B622" s="3" t="s">
        <v>2184</v>
      </c>
      <c r="C622" s="3" t="s">
        <v>59</v>
      </c>
      <c r="D622" s="3" t="s">
        <v>182</v>
      </c>
      <c r="E622" s="3" t="s">
        <v>2705</v>
      </c>
      <c r="F622" s="4" t="s">
        <v>2706</v>
      </c>
      <c r="G622" s="4" t="s">
        <v>2707</v>
      </c>
      <c r="H622" s="5">
        <v>1116350</v>
      </c>
      <c r="I622" s="5">
        <v>0</v>
      </c>
      <c r="J622" s="5">
        <v>1116350</v>
      </c>
      <c r="K622" s="5">
        <v>0</v>
      </c>
      <c r="L622" s="5">
        <v>0</v>
      </c>
      <c r="M622" s="5">
        <v>0</v>
      </c>
      <c r="N622" s="5">
        <v>0</v>
      </c>
      <c r="O622" s="5">
        <v>1116350</v>
      </c>
      <c r="P622" s="5">
        <v>0</v>
      </c>
      <c r="Q622" s="3" t="s">
        <v>2708</v>
      </c>
      <c r="R622" s="3" t="s">
        <v>2709</v>
      </c>
      <c r="S622" s="3" t="s">
        <v>2710</v>
      </c>
      <c r="T622" s="3" t="s">
        <v>48</v>
      </c>
      <c r="U622" s="3" t="s">
        <v>34</v>
      </c>
      <c r="V622" s="3" t="s">
        <v>35</v>
      </c>
      <c r="W622" s="3" t="s">
        <v>2711</v>
      </c>
      <c r="X622" s="3" t="s">
        <v>2712</v>
      </c>
      <c r="Y622" s="5">
        <v>558175</v>
      </c>
      <c r="Z622" s="5">
        <v>2</v>
      </c>
    </row>
    <row r="623" spans="1:26" ht="15.75" customHeight="1" x14ac:dyDescent="0.35">
      <c r="A623" s="2"/>
      <c r="B623" s="3" t="s">
        <v>2281</v>
      </c>
      <c r="C623" s="3" t="s">
        <v>59</v>
      </c>
      <c r="D623" s="3" t="s">
        <v>193</v>
      </c>
      <c r="E623" s="3" t="s">
        <v>2713</v>
      </c>
      <c r="F623" s="4" t="s">
        <v>2714</v>
      </c>
      <c r="G623" s="4" t="s">
        <v>2707</v>
      </c>
      <c r="H623" s="5">
        <v>550000</v>
      </c>
      <c r="I623" s="5">
        <v>0</v>
      </c>
      <c r="J623" s="5">
        <v>550000</v>
      </c>
      <c r="K623" s="5">
        <v>0</v>
      </c>
      <c r="L623" s="5">
        <v>0</v>
      </c>
      <c r="M623" s="5">
        <v>0</v>
      </c>
      <c r="N623" s="5">
        <v>550000</v>
      </c>
      <c r="O623" s="5">
        <v>0</v>
      </c>
      <c r="P623" s="5">
        <v>0</v>
      </c>
      <c r="Q623" s="3" t="s">
        <v>34</v>
      </c>
      <c r="R623" s="3" t="s">
        <v>34</v>
      </c>
      <c r="S623" s="3" t="s">
        <v>34</v>
      </c>
      <c r="T623" s="3" t="s">
        <v>41</v>
      </c>
      <c r="U623" s="3" t="s">
        <v>34</v>
      </c>
      <c r="V623" s="3" t="s">
        <v>35</v>
      </c>
      <c r="W623" s="3" t="s">
        <v>2715</v>
      </c>
      <c r="X623" s="3"/>
      <c r="Y623" s="5">
        <v>550000</v>
      </c>
      <c r="Z623" s="5">
        <v>1</v>
      </c>
    </row>
    <row r="624" spans="1:26" ht="15.75" customHeight="1" x14ac:dyDescent="0.35">
      <c r="A624" s="2"/>
      <c r="B624" s="3" t="s">
        <v>2281</v>
      </c>
      <c r="C624" s="3" t="s">
        <v>64</v>
      </c>
      <c r="D624" s="3" t="s">
        <v>76</v>
      </c>
      <c r="E624" s="3" t="s">
        <v>226</v>
      </c>
      <c r="F624" s="4" t="s">
        <v>2716</v>
      </c>
      <c r="G624" s="4" t="s">
        <v>2707</v>
      </c>
      <c r="H624" s="5">
        <v>550000</v>
      </c>
      <c r="I624" s="5">
        <v>0</v>
      </c>
      <c r="J624" s="5">
        <v>550000</v>
      </c>
      <c r="K624" s="5">
        <v>0</v>
      </c>
      <c r="L624" s="5">
        <v>0</v>
      </c>
      <c r="M624" s="5">
        <v>0</v>
      </c>
      <c r="N624" s="5">
        <v>550000</v>
      </c>
      <c r="O624" s="5">
        <v>0</v>
      </c>
      <c r="P624" s="5">
        <v>0</v>
      </c>
      <c r="Q624" s="3"/>
      <c r="R624" s="3"/>
      <c r="S624" s="3"/>
      <c r="T624" s="3" t="s">
        <v>41</v>
      </c>
      <c r="U624" s="3" t="s">
        <v>34</v>
      </c>
      <c r="V624" s="3" t="s">
        <v>35</v>
      </c>
      <c r="W624" s="3" t="s">
        <v>2717</v>
      </c>
      <c r="X624" s="3"/>
      <c r="Y624" s="5">
        <v>550000</v>
      </c>
      <c r="Z624" s="5">
        <v>1</v>
      </c>
    </row>
    <row r="625" spans="1:26" ht="15.75" customHeight="1" x14ac:dyDescent="0.35">
      <c r="A625" s="2"/>
      <c r="B625" s="3" t="s">
        <v>2718</v>
      </c>
      <c r="C625" s="3" t="s">
        <v>71</v>
      </c>
      <c r="D625" s="3" t="s">
        <v>95</v>
      </c>
      <c r="E625" s="3" t="s">
        <v>2719</v>
      </c>
      <c r="F625" s="4" t="s">
        <v>2720</v>
      </c>
      <c r="G625" s="4" t="s">
        <v>2707</v>
      </c>
      <c r="H625" s="5">
        <v>555750</v>
      </c>
      <c r="I625" s="5">
        <v>0</v>
      </c>
      <c r="J625" s="5">
        <v>555750</v>
      </c>
      <c r="K625" s="5">
        <v>0</v>
      </c>
      <c r="L625" s="5">
        <v>0</v>
      </c>
      <c r="M625" s="5">
        <v>0</v>
      </c>
      <c r="N625" s="5">
        <v>0</v>
      </c>
      <c r="O625" s="5">
        <v>555750</v>
      </c>
      <c r="P625" s="5">
        <v>0</v>
      </c>
      <c r="Q625" s="3" t="s">
        <v>34</v>
      </c>
      <c r="R625" s="3" t="s">
        <v>34</v>
      </c>
      <c r="S625" s="3" t="s">
        <v>34</v>
      </c>
      <c r="T625" s="3" t="s">
        <v>245</v>
      </c>
      <c r="U625" s="3" t="s">
        <v>34</v>
      </c>
      <c r="V625" s="3" t="s">
        <v>35</v>
      </c>
      <c r="W625" s="3" t="s">
        <v>2721</v>
      </c>
      <c r="X625" s="3"/>
      <c r="Y625" s="5">
        <v>555750</v>
      </c>
      <c r="Z625" s="5">
        <v>1</v>
      </c>
    </row>
    <row r="626" spans="1:26" ht="15.75" customHeight="1" x14ac:dyDescent="0.35">
      <c r="A626" s="2"/>
      <c r="B626" s="3" t="s">
        <v>2304</v>
      </c>
      <c r="C626" s="3" t="s">
        <v>59</v>
      </c>
      <c r="D626" s="3" t="s">
        <v>182</v>
      </c>
      <c r="E626" s="3" t="s">
        <v>2705</v>
      </c>
      <c r="F626" s="4" t="s">
        <v>2722</v>
      </c>
      <c r="G626" s="4" t="s">
        <v>2723</v>
      </c>
      <c r="H626" s="5">
        <v>320000</v>
      </c>
      <c r="I626" s="5">
        <v>0</v>
      </c>
      <c r="J626" s="5">
        <v>320000</v>
      </c>
      <c r="K626" s="5">
        <v>0</v>
      </c>
      <c r="L626" s="5">
        <v>320000</v>
      </c>
      <c r="M626" s="5">
        <v>0</v>
      </c>
      <c r="N626" s="5">
        <v>0</v>
      </c>
      <c r="O626" s="5">
        <v>0</v>
      </c>
      <c r="P626" s="5">
        <v>0</v>
      </c>
      <c r="Q626" s="3" t="s">
        <v>2708</v>
      </c>
      <c r="R626" s="3" t="s">
        <v>2709</v>
      </c>
      <c r="S626" s="3" t="s">
        <v>2710</v>
      </c>
      <c r="T626" s="3" t="s">
        <v>34</v>
      </c>
      <c r="U626" s="3" t="s">
        <v>34</v>
      </c>
      <c r="V626" s="3" t="s">
        <v>35</v>
      </c>
      <c r="W626" s="3" t="s">
        <v>2724</v>
      </c>
      <c r="X626" s="3"/>
      <c r="Y626" s="5">
        <v>320000</v>
      </c>
      <c r="Z626" s="5">
        <v>1</v>
      </c>
    </row>
    <row r="627" spans="1:26" ht="15.75" customHeight="1" x14ac:dyDescent="0.35">
      <c r="A627" s="2"/>
      <c r="B627" s="3" t="s">
        <v>2725</v>
      </c>
      <c r="C627" s="3" t="s">
        <v>64</v>
      </c>
      <c r="D627" s="3" t="s">
        <v>99</v>
      </c>
      <c r="E627" s="3" t="s">
        <v>2726</v>
      </c>
      <c r="F627" s="4" t="s">
        <v>2727</v>
      </c>
      <c r="G627" s="4" t="s">
        <v>2728</v>
      </c>
      <c r="H627" s="5">
        <v>444000</v>
      </c>
      <c r="I627" s="5">
        <v>40000</v>
      </c>
      <c r="J627" s="5">
        <v>484000</v>
      </c>
      <c r="K627" s="5">
        <v>0</v>
      </c>
      <c r="L627" s="5">
        <v>262000</v>
      </c>
      <c r="M627" s="5">
        <v>0</v>
      </c>
      <c r="N627" s="5">
        <v>222000</v>
      </c>
      <c r="O627" s="5">
        <v>0</v>
      </c>
      <c r="P627" s="5">
        <v>0</v>
      </c>
      <c r="Q627" s="3" t="s">
        <v>34</v>
      </c>
      <c r="R627" s="3" t="s">
        <v>34</v>
      </c>
      <c r="S627" s="3" t="s">
        <v>2729</v>
      </c>
      <c r="T627" s="3" t="s">
        <v>41</v>
      </c>
      <c r="U627" s="3" t="s">
        <v>34</v>
      </c>
      <c r="V627" s="3" t="s">
        <v>35</v>
      </c>
      <c r="W627" s="3" t="s">
        <v>2730</v>
      </c>
      <c r="X627" s="3"/>
      <c r="Y627" s="5">
        <v>444000</v>
      </c>
      <c r="Z627" s="5">
        <v>1</v>
      </c>
    </row>
    <row r="628" spans="1:26" ht="15.75" customHeight="1" x14ac:dyDescent="0.35">
      <c r="A628" s="2"/>
      <c r="B628" s="3" t="s">
        <v>2260</v>
      </c>
      <c r="C628" s="3" t="s">
        <v>71</v>
      </c>
      <c r="D628" s="3" t="s">
        <v>72</v>
      </c>
      <c r="E628" s="3" t="s">
        <v>2731</v>
      </c>
      <c r="F628" s="4" t="s">
        <v>2732</v>
      </c>
      <c r="G628" s="4" t="s">
        <v>2728</v>
      </c>
      <c r="H628" s="5">
        <v>3250000</v>
      </c>
      <c r="I628" s="5">
        <v>640000</v>
      </c>
      <c r="J628" s="5">
        <v>3890000</v>
      </c>
      <c r="K628" s="5">
        <v>0</v>
      </c>
      <c r="L628" s="5">
        <v>3890000</v>
      </c>
      <c r="M628" s="5">
        <v>0</v>
      </c>
      <c r="N628" s="5">
        <v>0</v>
      </c>
      <c r="O628" s="5">
        <v>0</v>
      </c>
      <c r="P628" s="5">
        <v>0</v>
      </c>
      <c r="Q628" s="3" t="s">
        <v>2733</v>
      </c>
      <c r="R628" s="3" t="s">
        <v>34</v>
      </c>
      <c r="S628" s="3" t="s">
        <v>2734</v>
      </c>
      <c r="T628" s="3" t="s">
        <v>41</v>
      </c>
      <c r="U628" s="3" t="s">
        <v>34</v>
      </c>
      <c r="V628" s="3" t="s">
        <v>35</v>
      </c>
      <c r="W628" s="3" t="s">
        <v>2735</v>
      </c>
      <c r="X628" s="3"/>
      <c r="Y628" s="5">
        <v>650000</v>
      </c>
      <c r="Z628" s="5">
        <v>5</v>
      </c>
    </row>
    <row r="629" spans="1:26" ht="15.75" customHeight="1" x14ac:dyDescent="0.35">
      <c r="A629" s="2"/>
      <c r="B629" s="3" t="s">
        <v>2736</v>
      </c>
      <c r="C629" s="3" t="s">
        <v>29</v>
      </c>
      <c r="D629" s="3" t="s">
        <v>413</v>
      </c>
      <c r="E629" s="3" t="s">
        <v>2737</v>
      </c>
      <c r="F629" s="4" t="s">
        <v>2738</v>
      </c>
      <c r="G629" s="4" t="s">
        <v>2728</v>
      </c>
      <c r="H629" s="5">
        <v>1222640</v>
      </c>
      <c r="I629" s="5">
        <v>100000</v>
      </c>
      <c r="J629" s="5">
        <v>1322640</v>
      </c>
      <c r="K629" s="5">
        <v>0</v>
      </c>
      <c r="L629" s="5">
        <v>100000</v>
      </c>
      <c r="M629" s="5">
        <v>0</v>
      </c>
      <c r="N629" s="5">
        <v>0</v>
      </c>
      <c r="O629" s="5">
        <v>1222640</v>
      </c>
      <c r="P629" s="5">
        <v>0</v>
      </c>
      <c r="Q629" s="3" t="s">
        <v>2739</v>
      </c>
      <c r="R629" s="3" t="s">
        <v>34</v>
      </c>
      <c r="S629" s="3" t="s">
        <v>2740</v>
      </c>
      <c r="T629" s="3" t="s">
        <v>48</v>
      </c>
      <c r="U629" s="3" t="s">
        <v>34</v>
      </c>
      <c r="V629" s="3" t="s">
        <v>35</v>
      </c>
      <c r="W629" s="3" t="s">
        <v>2741</v>
      </c>
      <c r="X629" s="3" t="s">
        <v>2742</v>
      </c>
      <c r="Y629" s="5">
        <v>611320</v>
      </c>
      <c r="Z629" s="5">
        <v>2</v>
      </c>
    </row>
    <row r="630" spans="1:26" ht="15.75" customHeight="1" x14ac:dyDescent="0.35">
      <c r="A630" s="2"/>
      <c r="B630" s="3" t="s">
        <v>2443</v>
      </c>
      <c r="C630" s="3" t="s">
        <v>64</v>
      </c>
      <c r="D630" s="3" t="s">
        <v>76</v>
      </c>
      <c r="E630" s="3" t="s">
        <v>2743</v>
      </c>
      <c r="F630" s="4" t="s">
        <v>2744</v>
      </c>
      <c r="G630" s="4" t="s">
        <v>2728</v>
      </c>
      <c r="H630" s="5">
        <v>377712</v>
      </c>
      <c r="I630" s="5">
        <v>0</v>
      </c>
      <c r="J630" s="5">
        <v>377712</v>
      </c>
      <c r="K630" s="5">
        <v>0</v>
      </c>
      <c r="L630" s="5">
        <v>0</v>
      </c>
      <c r="M630" s="5">
        <v>0</v>
      </c>
      <c r="N630" s="5">
        <v>0</v>
      </c>
      <c r="O630" s="5">
        <v>377712</v>
      </c>
      <c r="P630" s="5">
        <v>0</v>
      </c>
      <c r="Q630" s="3" t="s">
        <v>2132</v>
      </c>
      <c r="R630" s="3" t="s">
        <v>2745</v>
      </c>
      <c r="S630" s="3" t="s">
        <v>2746</v>
      </c>
      <c r="T630" s="3" t="s">
        <v>48</v>
      </c>
      <c r="U630" s="3" t="s">
        <v>34</v>
      </c>
      <c r="V630" s="3" t="s">
        <v>35</v>
      </c>
      <c r="W630" s="3" t="s">
        <v>2747</v>
      </c>
      <c r="X630" s="3" t="s">
        <v>2748</v>
      </c>
      <c r="Y630" s="5">
        <v>377712</v>
      </c>
      <c r="Z630" s="5">
        <v>1</v>
      </c>
    </row>
    <row r="631" spans="1:26" ht="15.75" customHeight="1" x14ac:dyDescent="0.35">
      <c r="A631" s="2"/>
      <c r="B631" s="3" t="s">
        <v>2749</v>
      </c>
      <c r="C631" s="3" t="s">
        <v>29</v>
      </c>
      <c r="D631" s="3" t="s">
        <v>37</v>
      </c>
      <c r="E631" s="3" t="s">
        <v>2750</v>
      </c>
      <c r="F631" s="4" t="s">
        <v>2751</v>
      </c>
      <c r="G631" s="4" t="s">
        <v>2752</v>
      </c>
      <c r="H631" s="5">
        <v>2589100</v>
      </c>
      <c r="I631" s="5">
        <v>0</v>
      </c>
      <c r="J631" s="5">
        <v>2589100</v>
      </c>
      <c r="K631" s="5">
        <v>0</v>
      </c>
      <c r="L631" s="5">
        <v>0</v>
      </c>
      <c r="M631" s="5">
        <v>0</v>
      </c>
      <c r="N631" s="5">
        <v>0</v>
      </c>
      <c r="O631" s="5">
        <v>2589100</v>
      </c>
      <c r="P631" s="5">
        <v>0</v>
      </c>
      <c r="Q631" s="3" t="s">
        <v>2753</v>
      </c>
      <c r="R631" s="3" t="s">
        <v>34</v>
      </c>
      <c r="S631" s="3" t="s">
        <v>34</v>
      </c>
      <c r="T631" s="3" t="s">
        <v>48</v>
      </c>
      <c r="U631" s="3" t="s">
        <v>34</v>
      </c>
      <c r="V631" s="3" t="s">
        <v>35</v>
      </c>
      <c r="W631" s="3" t="s">
        <v>2754</v>
      </c>
      <c r="X631" s="3" t="s">
        <v>2755</v>
      </c>
      <c r="Y631" s="5">
        <v>647275</v>
      </c>
      <c r="Z631" s="5">
        <v>4</v>
      </c>
    </row>
    <row r="632" spans="1:26" ht="15.75" customHeight="1" x14ac:dyDescent="0.35">
      <c r="A632" s="2"/>
      <c r="B632" s="3" t="s">
        <v>2265</v>
      </c>
      <c r="C632" s="3" t="s">
        <v>64</v>
      </c>
      <c r="D632" s="3" t="s">
        <v>173</v>
      </c>
      <c r="E632" s="3" t="s">
        <v>2756</v>
      </c>
      <c r="F632" s="4" t="s">
        <v>2757</v>
      </c>
      <c r="G632" s="4" t="s">
        <v>2758</v>
      </c>
      <c r="H632" s="5">
        <v>3144000</v>
      </c>
      <c r="I632" s="5">
        <v>70000</v>
      </c>
      <c r="J632" s="5">
        <v>3214000</v>
      </c>
      <c r="K632" s="5">
        <v>0</v>
      </c>
      <c r="L632" s="5">
        <v>2214000</v>
      </c>
      <c r="M632" s="5">
        <v>0</v>
      </c>
      <c r="N632" s="5">
        <v>1000000</v>
      </c>
      <c r="O632" s="5">
        <v>0</v>
      </c>
      <c r="P632" s="5">
        <v>0</v>
      </c>
      <c r="Q632" s="3" t="s">
        <v>34</v>
      </c>
      <c r="R632" s="3" t="s">
        <v>34</v>
      </c>
      <c r="S632" s="3" t="s">
        <v>2759</v>
      </c>
      <c r="T632" s="3" t="s">
        <v>41</v>
      </c>
      <c r="U632" s="3" t="s">
        <v>34</v>
      </c>
      <c r="V632" s="3" t="s">
        <v>35</v>
      </c>
      <c r="W632" s="3" t="s">
        <v>2760</v>
      </c>
      <c r="X632" s="3"/>
      <c r="Y632" s="5">
        <v>524000</v>
      </c>
      <c r="Z632" s="5">
        <v>6</v>
      </c>
    </row>
    <row r="633" spans="1:26" ht="15.75" customHeight="1" x14ac:dyDescent="0.35">
      <c r="A633" s="2"/>
      <c r="B633" s="3" t="s">
        <v>2438</v>
      </c>
      <c r="C633" s="3" t="s">
        <v>59</v>
      </c>
      <c r="D633" s="3" t="s">
        <v>122</v>
      </c>
      <c r="E633" s="3" t="s">
        <v>2761</v>
      </c>
      <c r="F633" s="4" t="s">
        <v>2762</v>
      </c>
      <c r="G633" s="4" t="s">
        <v>2758</v>
      </c>
      <c r="H633" s="5">
        <v>2500000</v>
      </c>
      <c r="I633" s="5">
        <v>0</v>
      </c>
      <c r="J633" s="5">
        <v>2500000</v>
      </c>
      <c r="K633" s="5">
        <v>0</v>
      </c>
      <c r="L633" s="5">
        <v>2500000</v>
      </c>
      <c r="M633" s="5">
        <v>0</v>
      </c>
      <c r="N633" s="5">
        <v>0</v>
      </c>
      <c r="O633" s="5">
        <v>0</v>
      </c>
      <c r="P633" s="5">
        <v>0</v>
      </c>
      <c r="Q633" s="3" t="s">
        <v>34</v>
      </c>
      <c r="R633" s="3" t="s">
        <v>34</v>
      </c>
      <c r="S633" s="3" t="s">
        <v>34</v>
      </c>
      <c r="T633" s="3" t="s">
        <v>41</v>
      </c>
      <c r="U633" s="3" t="s">
        <v>34</v>
      </c>
      <c r="V633" s="3" t="s">
        <v>35</v>
      </c>
      <c r="W633" s="3" t="s">
        <v>2763</v>
      </c>
      <c r="X633" s="3"/>
      <c r="Y633" s="5">
        <v>500000</v>
      </c>
      <c r="Z633" s="5">
        <v>5</v>
      </c>
    </row>
    <row r="634" spans="1:26" ht="15.75" customHeight="1" x14ac:dyDescent="0.35">
      <c r="A634" s="2"/>
      <c r="B634" s="3" t="s">
        <v>2438</v>
      </c>
      <c r="C634" s="3" t="s">
        <v>64</v>
      </c>
      <c r="D634" s="3" t="s">
        <v>83</v>
      </c>
      <c r="E634" s="3" t="s">
        <v>2764</v>
      </c>
      <c r="F634" s="4" t="s">
        <v>2664</v>
      </c>
      <c r="G634" s="4" t="s">
        <v>2758</v>
      </c>
      <c r="H634" s="5">
        <v>2100000</v>
      </c>
      <c r="I634" s="5">
        <v>200000</v>
      </c>
      <c r="J634" s="5">
        <v>2300000</v>
      </c>
      <c r="K634" s="5">
        <v>0</v>
      </c>
      <c r="L634" s="5">
        <v>2100000</v>
      </c>
      <c r="M634" s="5">
        <v>0</v>
      </c>
      <c r="N634" s="5">
        <v>200000</v>
      </c>
      <c r="O634" s="5">
        <v>0</v>
      </c>
      <c r="P634" s="5">
        <v>0</v>
      </c>
      <c r="Q634" s="3" t="s">
        <v>34</v>
      </c>
      <c r="R634" s="3" t="s">
        <v>34</v>
      </c>
      <c r="S634" s="3" t="s">
        <v>34</v>
      </c>
      <c r="T634" s="3" t="s">
        <v>41</v>
      </c>
      <c r="U634" s="3" t="s">
        <v>34</v>
      </c>
      <c r="V634" s="3" t="s">
        <v>35</v>
      </c>
      <c r="W634" s="3" t="s">
        <v>2765</v>
      </c>
      <c r="X634" s="3"/>
      <c r="Y634" s="5">
        <v>420000</v>
      </c>
      <c r="Z634" s="5">
        <v>5</v>
      </c>
    </row>
    <row r="635" spans="1:26" ht="15.75" customHeight="1" x14ac:dyDescent="0.35">
      <c r="A635" s="2"/>
      <c r="B635" s="3" t="s">
        <v>2121</v>
      </c>
      <c r="C635" s="3" t="s">
        <v>29</v>
      </c>
      <c r="D635" s="3" t="s">
        <v>43</v>
      </c>
      <c r="E635" s="3" t="s">
        <v>2766</v>
      </c>
      <c r="F635" s="4" t="s">
        <v>2767</v>
      </c>
      <c r="G635" s="4" t="s">
        <v>2768</v>
      </c>
      <c r="H635" s="5">
        <v>3010360</v>
      </c>
      <c r="I635" s="5">
        <v>0</v>
      </c>
      <c r="J635" s="5">
        <v>3010360</v>
      </c>
      <c r="K635" s="5">
        <v>0</v>
      </c>
      <c r="L635" s="5">
        <v>0</v>
      </c>
      <c r="M635" s="5">
        <v>0</v>
      </c>
      <c r="N635" s="5">
        <v>0</v>
      </c>
      <c r="O635" s="5">
        <v>3010360</v>
      </c>
      <c r="P635" s="5">
        <v>0</v>
      </c>
      <c r="Q635" s="3" t="s">
        <v>2769</v>
      </c>
      <c r="R635" s="3" t="s">
        <v>34</v>
      </c>
      <c r="S635" s="3" t="s">
        <v>2770</v>
      </c>
      <c r="T635" s="3" t="s">
        <v>48</v>
      </c>
      <c r="U635" s="3" t="s">
        <v>34</v>
      </c>
      <c r="V635" s="3" t="s">
        <v>35</v>
      </c>
      <c r="W635" s="3" t="s">
        <v>2771</v>
      </c>
      <c r="X635" s="3" t="s">
        <v>2772</v>
      </c>
      <c r="Y635" s="5">
        <v>752590</v>
      </c>
      <c r="Z635" s="5">
        <v>4</v>
      </c>
    </row>
    <row r="636" spans="1:26" ht="15.75" customHeight="1" x14ac:dyDescent="0.35">
      <c r="A636" s="2"/>
      <c r="B636" s="3" t="s">
        <v>2316</v>
      </c>
      <c r="C636" s="3" t="s">
        <v>64</v>
      </c>
      <c r="D636" s="3" t="s">
        <v>76</v>
      </c>
      <c r="E636" s="3" t="s">
        <v>2773</v>
      </c>
      <c r="F636" s="4" t="s">
        <v>2774</v>
      </c>
      <c r="G636" s="4" t="s">
        <v>2775</v>
      </c>
      <c r="H636" s="5">
        <v>350000</v>
      </c>
      <c r="I636" s="5">
        <v>0</v>
      </c>
      <c r="J636" s="5">
        <v>350000</v>
      </c>
      <c r="K636" s="5">
        <v>0</v>
      </c>
      <c r="L636" s="5">
        <v>0</v>
      </c>
      <c r="M636" s="5">
        <v>0</v>
      </c>
      <c r="N636" s="5">
        <v>350000</v>
      </c>
      <c r="O636" s="5">
        <v>0</v>
      </c>
      <c r="P636" s="5">
        <v>0</v>
      </c>
      <c r="Q636" s="3" t="s">
        <v>2776</v>
      </c>
      <c r="R636" s="3" t="s">
        <v>34</v>
      </c>
      <c r="S636" s="3" t="s">
        <v>34</v>
      </c>
      <c r="T636" s="3" t="s">
        <v>41</v>
      </c>
      <c r="U636" s="3" t="s">
        <v>34</v>
      </c>
      <c r="V636" s="3" t="s">
        <v>35</v>
      </c>
      <c r="W636" s="3" t="s">
        <v>2777</v>
      </c>
      <c r="X636" s="3"/>
      <c r="Y636" s="5">
        <v>350000</v>
      </c>
      <c r="Z636" s="5">
        <v>1</v>
      </c>
    </row>
    <row r="637" spans="1:26" ht="15.75" customHeight="1" x14ac:dyDescent="0.35">
      <c r="A637" s="2"/>
      <c r="B637" s="3" t="s">
        <v>2778</v>
      </c>
      <c r="C637" s="3" t="s">
        <v>64</v>
      </c>
      <c r="D637" s="3" t="s">
        <v>99</v>
      </c>
      <c r="E637" s="3" t="s">
        <v>2779</v>
      </c>
      <c r="F637" s="4" t="s">
        <v>2780</v>
      </c>
      <c r="G637" s="4" t="s">
        <v>2781</v>
      </c>
      <c r="H637" s="5">
        <v>444528</v>
      </c>
      <c r="I637" s="5">
        <v>0</v>
      </c>
      <c r="J637" s="5">
        <v>444528</v>
      </c>
      <c r="K637" s="5">
        <v>0</v>
      </c>
      <c r="L637" s="5">
        <v>0</v>
      </c>
      <c r="M637" s="5">
        <v>0</v>
      </c>
      <c r="N637" s="5">
        <v>0</v>
      </c>
      <c r="O637" s="5">
        <v>444528</v>
      </c>
      <c r="P637" s="5">
        <v>0</v>
      </c>
      <c r="Q637" s="3" t="s">
        <v>34</v>
      </c>
      <c r="R637" s="3" t="s">
        <v>34</v>
      </c>
      <c r="S637" s="3" t="s">
        <v>34</v>
      </c>
      <c r="T637" s="3" t="s">
        <v>48</v>
      </c>
      <c r="U637" s="3" t="s">
        <v>34</v>
      </c>
      <c r="V637" s="3" t="s">
        <v>35</v>
      </c>
      <c r="W637" s="3" t="s">
        <v>2782</v>
      </c>
      <c r="X637" s="3" t="s">
        <v>2783</v>
      </c>
      <c r="Y637" s="5">
        <v>444528</v>
      </c>
      <c r="Z637" s="5">
        <v>1</v>
      </c>
    </row>
    <row r="638" spans="1:26" ht="15.75" customHeight="1" x14ac:dyDescent="0.35">
      <c r="A638" s="2"/>
      <c r="B638" s="3" t="s">
        <v>2312</v>
      </c>
      <c r="C638" s="3" t="s">
        <v>64</v>
      </c>
      <c r="D638" s="3" t="s">
        <v>76</v>
      </c>
      <c r="E638" s="3" t="s">
        <v>2784</v>
      </c>
      <c r="F638" s="4" t="s">
        <v>2785</v>
      </c>
      <c r="G638" s="4" t="s">
        <v>2786</v>
      </c>
      <c r="H638" s="5">
        <v>400000</v>
      </c>
      <c r="I638" s="5">
        <v>0</v>
      </c>
      <c r="J638" s="5">
        <v>400000</v>
      </c>
      <c r="K638" s="5">
        <v>0</v>
      </c>
      <c r="L638" s="5">
        <v>0</v>
      </c>
      <c r="M638" s="5">
        <v>0</v>
      </c>
      <c r="N638" s="5">
        <v>400000</v>
      </c>
      <c r="O638" s="5">
        <v>0</v>
      </c>
      <c r="P638" s="5">
        <v>0</v>
      </c>
      <c r="Q638" s="3" t="s">
        <v>2787</v>
      </c>
      <c r="R638" s="3" t="s">
        <v>34</v>
      </c>
      <c r="S638" s="3" t="s">
        <v>34</v>
      </c>
      <c r="T638" s="3" t="s">
        <v>41</v>
      </c>
      <c r="U638" s="3" t="s">
        <v>34</v>
      </c>
      <c r="V638" s="3" t="s">
        <v>35</v>
      </c>
      <c r="W638" s="3" t="s">
        <v>2788</v>
      </c>
      <c r="X638" s="3"/>
      <c r="Y638" s="5">
        <v>400000</v>
      </c>
      <c r="Z638" s="5">
        <v>1</v>
      </c>
    </row>
    <row r="639" spans="1:26" ht="15.75" customHeight="1" x14ac:dyDescent="0.35">
      <c r="A639" s="2"/>
      <c r="B639" s="3" t="s">
        <v>2265</v>
      </c>
      <c r="C639" s="3" t="s">
        <v>29</v>
      </c>
      <c r="D639" s="3" t="s">
        <v>30</v>
      </c>
      <c r="E639" s="3" t="s">
        <v>2789</v>
      </c>
      <c r="F639" s="4" t="s">
        <v>2757</v>
      </c>
      <c r="G639" s="4" t="s">
        <v>2790</v>
      </c>
      <c r="H639" s="5">
        <v>5211000</v>
      </c>
      <c r="I639" s="5">
        <v>0</v>
      </c>
      <c r="J639" s="5">
        <v>5211000</v>
      </c>
      <c r="K639" s="5">
        <v>0</v>
      </c>
      <c r="L639" s="5">
        <v>-4538000</v>
      </c>
      <c r="M639" s="5">
        <v>0</v>
      </c>
      <c r="N639" s="5">
        <v>9749000</v>
      </c>
      <c r="O639" s="5">
        <v>0</v>
      </c>
      <c r="P639" s="5">
        <v>0</v>
      </c>
      <c r="Q639" s="3" t="s">
        <v>34</v>
      </c>
      <c r="R639" s="3" t="s">
        <v>34</v>
      </c>
      <c r="S639" s="3" t="s">
        <v>2791</v>
      </c>
      <c r="T639" s="3" t="s">
        <v>41</v>
      </c>
      <c r="U639" s="3" t="s">
        <v>34</v>
      </c>
      <c r="V639" s="3" t="s">
        <v>35</v>
      </c>
      <c r="W639" s="3" t="s">
        <v>2792</v>
      </c>
      <c r="X639" s="3"/>
      <c r="Y639" s="5">
        <v>868500</v>
      </c>
      <c r="Z639" s="5">
        <v>6</v>
      </c>
    </row>
    <row r="640" spans="1:26" ht="15.75" customHeight="1" x14ac:dyDescent="0.35">
      <c r="A640" s="2"/>
      <c r="B640" s="3" t="s">
        <v>2265</v>
      </c>
      <c r="C640" s="3" t="s">
        <v>29</v>
      </c>
      <c r="D640" s="3" t="s">
        <v>110</v>
      </c>
      <c r="E640" s="3" t="s">
        <v>2793</v>
      </c>
      <c r="F640" s="4" t="s">
        <v>2757</v>
      </c>
      <c r="G640" s="4" t="s">
        <v>2790</v>
      </c>
      <c r="H640" s="5">
        <v>5243000</v>
      </c>
      <c r="I640" s="5">
        <v>0</v>
      </c>
      <c r="J640" s="5">
        <v>5243000</v>
      </c>
      <c r="K640" s="5">
        <v>0</v>
      </c>
      <c r="L640" s="5">
        <v>4494000</v>
      </c>
      <c r="M640" s="5">
        <v>0</v>
      </c>
      <c r="N640" s="5">
        <v>749000</v>
      </c>
      <c r="O640" s="5">
        <v>0</v>
      </c>
      <c r="P640" s="5">
        <v>0</v>
      </c>
      <c r="Q640" s="3" t="s">
        <v>34</v>
      </c>
      <c r="R640" s="3" t="s">
        <v>34</v>
      </c>
      <c r="S640" s="3" t="s">
        <v>2794</v>
      </c>
      <c r="T640" s="3" t="s">
        <v>41</v>
      </c>
      <c r="U640" s="3" t="s">
        <v>34</v>
      </c>
      <c r="V640" s="3" t="s">
        <v>35</v>
      </c>
      <c r="W640" s="3" t="s">
        <v>2795</v>
      </c>
      <c r="X640" s="3"/>
      <c r="Y640" s="5">
        <v>873833.33330000006</v>
      </c>
      <c r="Z640" s="5">
        <v>6</v>
      </c>
    </row>
    <row r="641" spans="1:26" ht="15.75" customHeight="1" x14ac:dyDescent="0.35">
      <c r="A641" s="2"/>
      <c r="B641" s="3" t="s">
        <v>2402</v>
      </c>
      <c r="C641" s="3" t="s">
        <v>71</v>
      </c>
      <c r="D641" s="3" t="s">
        <v>72</v>
      </c>
      <c r="E641" s="3" t="s">
        <v>2796</v>
      </c>
      <c r="F641" s="4" t="s">
        <v>2797</v>
      </c>
      <c r="G641" s="4" t="s">
        <v>2798</v>
      </c>
      <c r="H641" s="5">
        <v>479000</v>
      </c>
      <c r="I641" s="5">
        <v>0</v>
      </c>
      <c r="J641" s="5">
        <v>479000</v>
      </c>
      <c r="K641" s="5">
        <v>0</v>
      </c>
      <c r="L641" s="5">
        <v>0</v>
      </c>
      <c r="M641" s="5">
        <v>0</v>
      </c>
      <c r="N641" s="5">
        <v>479000</v>
      </c>
      <c r="O641" s="5">
        <v>0</v>
      </c>
      <c r="P641" s="5">
        <v>0</v>
      </c>
      <c r="Q641" s="3"/>
      <c r="R641" s="3"/>
      <c r="S641" s="3"/>
      <c r="T641" s="3" t="s">
        <v>41</v>
      </c>
      <c r="U641" s="3" t="s">
        <v>34</v>
      </c>
      <c r="V641" s="3" t="s">
        <v>35</v>
      </c>
      <c r="W641" s="3" t="s">
        <v>2799</v>
      </c>
      <c r="X641" s="3"/>
      <c r="Y641" s="5">
        <v>479000</v>
      </c>
      <c r="Z641" s="5">
        <v>1</v>
      </c>
    </row>
    <row r="642" spans="1:26" ht="15.75" customHeight="1" x14ac:dyDescent="0.35">
      <c r="A642" s="2"/>
      <c r="B642" s="3" t="s">
        <v>2241</v>
      </c>
      <c r="C642" s="3" t="s">
        <v>64</v>
      </c>
      <c r="D642" s="3" t="s">
        <v>89</v>
      </c>
      <c r="E642" s="3" t="s">
        <v>2800</v>
      </c>
      <c r="F642" s="4" t="s">
        <v>2801</v>
      </c>
      <c r="G642" s="4" t="s">
        <v>2802</v>
      </c>
      <c r="H642" s="5">
        <v>2066000</v>
      </c>
      <c r="I642" s="5">
        <v>0</v>
      </c>
      <c r="J642" s="5">
        <v>2066000</v>
      </c>
      <c r="K642" s="5">
        <v>0</v>
      </c>
      <c r="L642" s="5">
        <v>0</v>
      </c>
      <c r="M642" s="5">
        <v>0</v>
      </c>
      <c r="N642" s="5">
        <v>2066000</v>
      </c>
      <c r="O642" s="5">
        <v>0</v>
      </c>
      <c r="P642" s="5">
        <v>0</v>
      </c>
      <c r="Q642" s="3" t="s">
        <v>2803</v>
      </c>
      <c r="R642" s="3" t="s">
        <v>2804</v>
      </c>
      <c r="S642" s="3" t="s">
        <v>34</v>
      </c>
      <c r="T642" s="3" t="s">
        <v>41</v>
      </c>
      <c r="U642" s="3" t="s">
        <v>34</v>
      </c>
      <c r="V642" s="3" t="s">
        <v>35</v>
      </c>
      <c r="W642" s="3" t="s">
        <v>2805</v>
      </c>
      <c r="X642" s="3" t="s">
        <v>2806</v>
      </c>
      <c r="Y642" s="5">
        <v>516500</v>
      </c>
      <c r="Z642" s="5">
        <v>4</v>
      </c>
    </row>
    <row r="643" spans="1:26" ht="15.75" customHeight="1" x14ac:dyDescent="0.35">
      <c r="A643" s="2"/>
      <c r="B643" s="3" t="s">
        <v>2303</v>
      </c>
      <c r="C643" s="3" t="s">
        <v>64</v>
      </c>
      <c r="D643" s="3" t="s">
        <v>83</v>
      </c>
      <c r="E643" s="3" t="s">
        <v>2807</v>
      </c>
      <c r="F643" s="4" t="s">
        <v>2808</v>
      </c>
      <c r="G643" s="4" t="s">
        <v>2809</v>
      </c>
      <c r="H643" s="5">
        <v>493850</v>
      </c>
      <c r="I643" s="5">
        <v>0</v>
      </c>
      <c r="J643" s="5">
        <v>493850</v>
      </c>
      <c r="K643" s="5">
        <v>0</v>
      </c>
      <c r="L643" s="5">
        <v>0</v>
      </c>
      <c r="M643" s="5">
        <v>0</v>
      </c>
      <c r="N643" s="5">
        <v>0</v>
      </c>
      <c r="O643" s="5">
        <v>493850</v>
      </c>
      <c r="P643" s="5">
        <v>0</v>
      </c>
      <c r="Q643" s="3" t="s">
        <v>2810</v>
      </c>
      <c r="R643" s="3" t="s">
        <v>34</v>
      </c>
      <c r="S643" s="3" t="s">
        <v>34</v>
      </c>
      <c r="T643" s="3" t="s">
        <v>48</v>
      </c>
      <c r="U643" s="3" t="s">
        <v>34</v>
      </c>
      <c r="V643" s="3" t="s">
        <v>35</v>
      </c>
      <c r="W643" s="3" t="s">
        <v>2811</v>
      </c>
      <c r="X643" s="3" t="s">
        <v>2812</v>
      </c>
      <c r="Y643" s="5">
        <v>493850</v>
      </c>
      <c r="Z643" s="5">
        <v>1</v>
      </c>
    </row>
    <row r="644" spans="1:26" ht="15.75" customHeight="1" x14ac:dyDescent="0.35">
      <c r="A644" s="2"/>
      <c r="B644" s="3" t="s">
        <v>2405</v>
      </c>
      <c r="C644" s="3" t="s">
        <v>64</v>
      </c>
      <c r="D644" s="3" t="s">
        <v>65</v>
      </c>
      <c r="E644" s="3" t="s">
        <v>1660</v>
      </c>
      <c r="F644" s="4" t="s">
        <v>2813</v>
      </c>
      <c r="G644" s="4" t="s">
        <v>2814</v>
      </c>
      <c r="H644" s="5">
        <v>455000</v>
      </c>
      <c r="I644" s="5">
        <v>0</v>
      </c>
      <c r="J644" s="5">
        <v>455000</v>
      </c>
      <c r="K644" s="5">
        <v>0</v>
      </c>
      <c r="L644" s="5">
        <v>0</v>
      </c>
      <c r="M644" s="5">
        <v>0</v>
      </c>
      <c r="N644" s="5">
        <v>455000</v>
      </c>
      <c r="O644" s="5">
        <v>0</v>
      </c>
      <c r="P644" s="5">
        <v>0</v>
      </c>
      <c r="Q644" s="3" t="s">
        <v>1663</v>
      </c>
      <c r="R644" s="3" t="s">
        <v>34</v>
      </c>
      <c r="S644" s="3" t="s">
        <v>1664</v>
      </c>
      <c r="T644" s="3" t="s">
        <v>41</v>
      </c>
      <c r="U644" s="3" t="s">
        <v>34</v>
      </c>
      <c r="V644" s="3" t="s">
        <v>35</v>
      </c>
      <c r="W644" s="3" t="s">
        <v>2815</v>
      </c>
      <c r="X644" s="3"/>
      <c r="Y644" s="5">
        <v>455000</v>
      </c>
      <c r="Z644" s="5">
        <v>1</v>
      </c>
    </row>
    <row r="645" spans="1:26" ht="15.75" customHeight="1" x14ac:dyDescent="0.35">
      <c r="A645" s="2"/>
      <c r="B645" s="3" t="s">
        <v>2354</v>
      </c>
      <c r="C645" s="3" t="s">
        <v>59</v>
      </c>
      <c r="D645" s="3" t="s">
        <v>182</v>
      </c>
      <c r="E645" s="3" t="s">
        <v>2816</v>
      </c>
      <c r="F645" s="4" t="s">
        <v>2817</v>
      </c>
      <c r="G645" s="4" t="s">
        <v>2818</v>
      </c>
      <c r="H645" s="5">
        <v>350000</v>
      </c>
      <c r="I645" s="5">
        <v>0</v>
      </c>
      <c r="J645" s="5">
        <v>350000</v>
      </c>
      <c r="K645" s="5">
        <v>0</v>
      </c>
      <c r="L645" s="5">
        <v>0</v>
      </c>
      <c r="M645" s="5">
        <v>0</v>
      </c>
      <c r="N645" s="5">
        <v>350000</v>
      </c>
      <c r="O645" s="5">
        <v>0</v>
      </c>
      <c r="P645" s="5">
        <v>0</v>
      </c>
      <c r="Q645" s="3"/>
      <c r="R645" s="3"/>
      <c r="S645" s="3"/>
      <c r="T645" s="3" t="s">
        <v>41</v>
      </c>
      <c r="U645" s="3" t="s">
        <v>34</v>
      </c>
      <c r="V645" s="3" t="s">
        <v>35</v>
      </c>
      <c r="W645" s="3" t="s">
        <v>2819</v>
      </c>
      <c r="X645" s="3"/>
      <c r="Y645" s="5">
        <v>350000</v>
      </c>
      <c r="Z645" s="5">
        <v>1</v>
      </c>
    </row>
    <row r="646" spans="1:26" ht="15.75" customHeight="1" x14ac:dyDescent="0.35">
      <c r="A646" s="2"/>
      <c r="B646" s="3" t="s">
        <v>2291</v>
      </c>
      <c r="C646" s="3" t="s">
        <v>59</v>
      </c>
      <c r="D646" s="3" t="s">
        <v>122</v>
      </c>
      <c r="E646" s="3" t="s">
        <v>2820</v>
      </c>
      <c r="F646" s="4" t="s">
        <v>2821</v>
      </c>
      <c r="G646" s="4" t="s">
        <v>2822</v>
      </c>
      <c r="H646" s="5">
        <v>539000</v>
      </c>
      <c r="I646" s="5">
        <v>0</v>
      </c>
      <c r="J646" s="5">
        <v>539000</v>
      </c>
      <c r="K646" s="5">
        <v>0</v>
      </c>
      <c r="L646" s="5">
        <v>0</v>
      </c>
      <c r="M646" s="5">
        <v>0</v>
      </c>
      <c r="N646" s="5">
        <v>539000</v>
      </c>
      <c r="O646" s="5">
        <v>0</v>
      </c>
      <c r="P646" s="5">
        <v>0</v>
      </c>
      <c r="Q646" s="3"/>
      <c r="R646" s="3"/>
      <c r="S646" s="3"/>
      <c r="T646" s="3" t="s">
        <v>41</v>
      </c>
      <c r="U646" s="3" t="s">
        <v>34</v>
      </c>
      <c r="V646" s="3" t="s">
        <v>35</v>
      </c>
      <c r="W646" s="3" t="s">
        <v>2823</v>
      </c>
      <c r="X646" s="3"/>
      <c r="Y646" s="5">
        <v>539000</v>
      </c>
      <c r="Z646" s="5">
        <v>1</v>
      </c>
    </row>
    <row r="647" spans="1:26" ht="15.75" customHeight="1" x14ac:dyDescent="0.35">
      <c r="A647" s="2"/>
      <c r="B647" s="3" t="s">
        <v>2372</v>
      </c>
      <c r="C647" s="3" t="s">
        <v>29</v>
      </c>
      <c r="D647" s="3" t="s">
        <v>413</v>
      </c>
      <c r="E647" s="3" t="s">
        <v>2824</v>
      </c>
      <c r="F647" s="4" t="s">
        <v>2825</v>
      </c>
      <c r="G647" s="4" t="s">
        <v>2826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3"/>
      <c r="R647" s="3"/>
      <c r="S647" s="3"/>
      <c r="T647" s="3" t="s">
        <v>34</v>
      </c>
      <c r="U647" s="3" t="s">
        <v>34</v>
      </c>
      <c r="V647" s="3" t="s">
        <v>35</v>
      </c>
      <c r="W647" s="3" t="s">
        <v>2827</v>
      </c>
      <c r="X647" s="3"/>
      <c r="Y647" s="5">
        <v>0</v>
      </c>
      <c r="Z647" s="5">
        <v>2</v>
      </c>
    </row>
    <row r="648" spans="1:26" ht="15.75" customHeight="1" x14ac:dyDescent="0.35">
      <c r="A648" s="2"/>
      <c r="B648" s="3" t="s">
        <v>2360</v>
      </c>
      <c r="C648" s="3" t="s">
        <v>64</v>
      </c>
      <c r="D648" s="3" t="s">
        <v>65</v>
      </c>
      <c r="E648" s="3" t="s">
        <v>2828</v>
      </c>
      <c r="F648" s="4" t="s">
        <v>2829</v>
      </c>
      <c r="G648" s="4" t="s">
        <v>2830</v>
      </c>
      <c r="H648" s="5">
        <v>500000</v>
      </c>
      <c r="I648" s="5">
        <v>0</v>
      </c>
      <c r="J648" s="5">
        <v>500000</v>
      </c>
      <c r="K648" s="5">
        <v>0</v>
      </c>
      <c r="L648" s="5">
        <v>0</v>
      </c>
      <c r="M648" s="5">
        <v>0</v>
      </c>
      <c r="N648" s="5">
        <v>500000</v>
      </c>
      <c r="O648" s="5">
        <v>0</v>
      </c>
      <c r="P648" s="5">
        <v>0</v>
      </c>
      <c r="Q648" s="3" t="s">
        <v>2831</v>
      </c>
      <c r="R648" s="3" t="s">
        <v>34</v>
      </c>
      <c r="S648" s="3" t="s">
        <v>2832</v>
      </c>
      <c r="T648" s="3" t="s">
        <v>41</v>
      </c>
      <c r="U648" s="3" t="s">
        <v>34</v>
      </c>
      <c r="V648" s="3" t="s">
        <v>35</v>
      </c>
      <c r="W648" s="3" t="s">
        <v>2833</v>
      </c>
      <c r="X648" s="3"/>
      <c r="Y648" s="5">
        <v>500000</v>
      </c>
      <c r="Z648" s="5">
        <v>1</v>
      </c>
    </row>
    <row r="649" spans="1:26" ht="15.75" customHeight="1" x14ac:dyDescent="0.35">
      <c r="A649" s="2"/>
      <c r="B649" s="3" t="s">
        <v>2834</v>
      </c>
      <c r="C649" s="3" t="s">
        <v>64</v>
      </c>
      <c r="D649" s="3" t="s">
        <v>99</v>
      </c>
      <c r="E649" s="3" t="s">
        <v>2835</v>
      </c>
      <c r="F649" s="4" t="s">
        <v>2836</v>
      </c>
      <c r="G649" s="4" t="s">
        <v>2837</v>
      </c>
      <c r="H649" s="5">
        <v>899200</v>
      </c>
      <c r="I649" s="5">
        <v>0</v>
      </c>
      <c r="J649" s="5">
        <v>899200</v>
      </c>
      <c r="K649" s="5">
        <v>0</v>
      </c>
      <c r="L649" s="5">
        <v>0</v>
      </c>
      <c r="M649" s="5">
        <v>0</v>
      </c>
      <c r="N649" s="5">
        <v>899200</v>
      </c>
      <c r="O649" s="5">
        <v>0</v>
      </c>
      <c r="P649" s="5">
        <v>0</v>
      </c>
      <c r="Q649" s="3"/>
      <c r="R649" s="3"/>
      <c r="S649" s="3"/>
      <c r="T649" s="3" t="s">
        <v>41</v>
      </c>
      <c r="U649" s="3" t="s">
        <v>34</v>
      </c>
      <c r="V649" s="3" t="s">
        <v>35</v>
      </c>
      <c r="W649" s="3" t="s">
        <v>2838</v>
      </c>
      <c r="X649" s="3"/>
      <c r="Y649" s="5">
        <v>449600</v>
      </c>
      <c r="Z649" s="5">
        <v>2</v>
      </c>
    </row>
    <row r="650" spans="1:26" ht="15.75" customHeight="1" x14ac:dyDescent="0.35">
      <c r="A650" s="2"/>
      <c r="B650" s="3" t="s">
        <v>2376</v>
      </c>
      <c r="C650" s="3" t="s">
        <v>71</v>
      </c>
      <c r="D650" s="3" t="s">
        <v>95</v>
      </c>
      <c r="E650" s="3" t="s">
        <v>2839</v>
      </c>
      <c r="F650" s="4" t="s">
        <v>2840</v>
      </c>
      <c r="G650" s="4" t="s">
        <v>2841</v>
      </c>
      <c r="H650" s="5">
        <v>560000</v>
      </c>
      <c r="I650" s="5">
        <v>0</v>
      </c>
      <c r="J650" s="5">
        <v>560000</v>
      </c>
      <c r="K650" s="5">
        <v>0</v>
      </c>
      <c r="L650" s="5">
        <v>0</v>
      </c>
      <c r="M650" s="5">
        <v>0</v>
      </c>
      <c r="N650" s="5">
        <v>560000</v>
      </c>
      <c r="O650" s="5">
        <v>0</v>
      </c>
      <c r="P650" s="5">
        <v>0</v>
      </c>
      <c r="Q650" s="3" t="s">
        <v>2842</v>
      </c>
      <c r="R650" s="3"/>
      <c r="S650" s="3"/>
      <c r="T650" s="3" t="s">
        <v>41</v>
      </c>
      <c r="U650" s="3" t="s">
        <v>34</v>
      </c>
      <c r="V650" s="3" t="s">
        <v>35</v>
      </c>
      <c r="W650" s="3" t="s">
        <v>2843</v>
      </c>
      <c r="X650" s="3"/>
      <c r="Y650" s="5">
        <v>560000</v>
      </c>
      <c r="Z650" s="5">
        <v>1</v>
      </c>
    </row>
    <row r="651" spans="1:26" ht="15.75" customHeight="1" x14ac:dyDescent="0.35">
      <c r="A651" s="2"/>
      <c r="B651" s="3" t="s">
        <v>2429</v>
      </c>
      <c r="C651" s="3" t="s">
        <v>59</v>
      </c>
      <c r="D651" s="3" t="s">
        <v>182</v>
      </c>
      <c r="E651" s="3" t="s">
        <v>2844</v>
      </c>
      <c r="F651" s="4" t="s">
        <v>2845</v>
      </c>
      <c r="G651" s="4" t="s">
        <v>2846</v>
      </c>
      <c r="H651" s="5">
        <v>579786</v>
      </c>
      <c r="I651" s="5">
        <v>0</v>
      </c>
      <c r="J651" s="5">
        <v>579786</v>
      </c>
      <c r="K651" s="5">
        <v>0</v>
      </c>
      <c r="L651" s="5">
        <v>0</v>
      </c>
      <c r="M651" s="5">
        <v>0</v>
      </c>
      <c r="N651" s="5">
        <v>0</v>
      </c>
      <c r="O651" s="5">
        <v>579786</v>
      </c>
      <c r="P651" s="5">
        <v>0</v>
      </c>
      <c r="Q651" s="3" t="s">
        <v>2352</v>
      </c>
      <c r="R651" s="3" t="s">
        <v>2847</v>
      </c>
      <c r="S651" s="3" t="s">
        <v>34</v>
      </c>
      <c r="T651" s="3" t="s">
        <v>48</v>
      </c>
      <c r="U651" s="3" t="s">
        <v>34</v>
      </c>
      <c r="V651" s="3" t="s">
        <v>35</v>
      </c>
      <c r="W651" s="3" t="s">
        <v>2848</v>
      </c>
      <c r="X651" s="3" t="s">
        <v>2849</v>
      </c>
      <c r="Y651" s="5">
        <v>579786</v>
      </c>
      <c r="Z651" s="5">
        <v>1</v>
      </c>
    </row>
    <row r="652" spans="1:26" ht="15.75" customHeight="1" x14ac:dyDescent="0.35">
      <c r="A652" s="2"/>
      <c r="B652" s="3" t="s">
        <v>2413</v>
      </c>
      <c r="C652" s="3" t="s">
        <v>71</v>
      </c>
      <c r="D652" s="3" t="s">
        <v>72</v>
      </c>
      <c r="E652" s="3" t="s">
        <v>2850</v>
      </c>
      <c r="F652" s="4" t="s">
        <v>2851</v>
      </c>
      <c r="G652" s="4" t="s">
        <v>2852</v>
      </c>
      <c r="H652" s="5">
        <v>1267227</v>
      </c>
      <c r="I652" s="5">
        <v>0</v>
      </c>
      <c r="J652" s="5">
        <v>1267227</v>
      </c>
      <c r="K652" s="5">
        <v>0</v>
      </c>
      <c r="L652" s="5">
        <v>0</v>
      </c>
      <c r="M652" s="5">
        <v>0</v>
      </c>
      <c r="N652" s="5">
        <v>0</v>
      </c>
      <c r="O652" s="5">
        <v>1267227</v>
      </c>
      <c r="P652" s="5">
        <v>0</v>
      </c>
      <c r="Q652" s="3" t="s">
        <v>2853</v>
      </c>
      <c r="R652" s="3" t="s">
        <v>2854</v>
      </c>
      <c r="S652" s="3" t="s">
        <v>34</v>
      </c>
      <c r="T652" s="3" t="s">
        <v>48</v>
      </c>
      <c r="U652" s="3" t="s">
        <v>34</v>
      </c>
      <c r="V652" s="3" t="s">
        <v>35</v>
      </c>
      <c r="W652" s="3" t="s">
        <v>2855</v>
      </c>
      <c r="X652" s="3" t="s">
        <v>2856</v>
      </c>
      <c r="Y652" s="5">
        <v>422409</v>
      </c>
      <c r="Z652" s="5">
        <v>3</v>
      </c>
    </row>
    <row r="653" spans="1:26" ht="15.75" customHeight="1" x14ac:dyDescent="0.35">
      <c r="A653" s="2"/>
      <c r="B653" s="3" t="s">
        <v>2393</v>
      </c>
      <c r="C653" s="3" t="s">
        <v>64</v>
      </c>
      <c r="D653" s="3" t="s">
        <v>76</v>
      </c>
      <c r="E653" s="3" t="s">
        <v>2857</v>
      </c>
      <c r="F653" s="4" t="s">
        <v>2851</v>
      </c>
      <c r="G653" s="4" t="s">
        <v>2852</v>
      </c>
      <c r="H653" s="5">
        <v>1267227</v>
      </c>
      <c r="I653" s="5">
        <v>0</v>
      </c>
      <c r="J653" s="5">
        <v>1267227</v>
      </c>
      <c r="K653" s="5">
        <v>0</v>
      </c>
      <c r="L653" s="5">
        <v>0</v>
      </c>
      <c r="M653" s="5">
        <v>0</v>
      </c>
      <c r="N653" s="5">
        <v>0</v>
      </c>
      <c r="O653" s="5">
        <v>1267227</v>
      </c>
      <c r="P653" s="5">
        <v>0</v>
      </c>
      <c r="Q653" s="3" t="s">
        <v>2853</v>
      </c>
      <c r="R653" s="3" t="s">
        <v>2858</v>
      </c>
      <c r="S653" s="3" t="s">
        <v>34</v>
      </c>
      <c r="T653" s="3" t="s">
        <v>48</v>
      </c>
      <c r="U653" s="3" t="s">
        <v>34</v>
      </c>
      <c r="V653" s="3" t="s">
        <v>35</v>
      </c>
      <c r="W653" s="3" t="s">
        <v>2859</v>
      </c>
      <c r="X653" s="3" t="s">
        <v>2860</v>
      </c>
      <c r="Y653" s="5">
        <v>422409</v>
      </c>
      <c r="Z653" s="5">
        <v>3</v>
      </c>
    </row>
    <row r="654" spans="1:26" ht="15.75" customHeight="1" x14ac:dyDescent="0.35">
      <c r="A654" s="2"/>
      <c r="B654" s="3" t="s">
        <v>2338</v>
      </c>
      <c r="C654" s="3" t="s">
        <v>29</v>
      </c>
      <c r="D654" s="3" t="s">
        <v>385</v>
      </c>
      <c r="E654" s="3" t="s">
        <v>1817</v>
      </c>
      <c r="F654" s="4" t="s">
        <v>2861</v>
      </c>
      <c r="G654" s="4" t="s">
        <v>2852</v>
      </c>
      <c r="H654" s="5">
        <v>1360000</v>
      </c>
      <c r="I654" s="5">
        <v>0</v>
      </c>
      <c r="J654" s="5">
        <v>1360000</v>
      </c>
      <c r="K654" s="5">
        <v>0</v>
      </c>
      <c r="L654" s="5">
        <v>720000</v>
      </c>
      <c r="M654" s="5">
        <v>0</v>
      </c>
      <c r="N654" s="5">
        <v>640000</v>
      </c>
      <c r="O654" s="5">
        <v>0</v>
      </c>
      <c r="P654" s="5">
        <v>0</v>
      </c>
      <c r="Q654" s="3"/>
      <c r="R654" s="3"/>
      <c r="S654" s="3"/>
      <c r="T654" s="3" t="s">
        <v>41</v>
      </c>
      <c r="U654" s="3" t="s">
        <v>34</v>
      </c>
      <c r="V654" s="3" t="s">
        <v>35</v>
      </c>
      <c r="W654" s="3" t="s">
        <v>2862</v>
      </c>
      <c r="X654" s="3"/>
      <c r="Y654" s="5">
        <v>680000</v>
      </c>
      <c r="Z654" s="5">
        <v>2</v>
      </c>
    </row>
    <row r="655" spans="1:26" ht="15.75" customHeight="1" x14ac:dyDescent="0.35">
      <c r="A655" s="2"/>
      <c r="B655" s="3" t="s">
        <v>2338</v>
      </c>
      <c r="C655" s="3" t="s">
        <v>59</v>
      </c>
      <c r="D655" s="3" t="s">
        <v>193</v>
      </c>
      <c r="E655" s="3" t="s">
        <v>226</v>
      </c>
      <c r="F655" s="4" t="s">
        <v>2861</v>
      </c>
      <c r="G655" s="4" t="s">
        <v>2852</v>
      </c>
      <c r="H655" s="5">
        <v>1100000</v>
      </c>
      <c r="I655" s="5">
        <v>0</v>
      </c>
      <c r="J655" s="5">
        <v>1100000</v>
      </c>
      <c r="K655" s="5">
        <v>0</v>
      </c>
      <c r="L655" s="5">
        <v>600000</v>
      </c>
      <c r="M655" s="5">
        <v>0</v>
      </c>
      <c r="N655" s="5">
        <v>500000</v>
      </c>
      <c r="O655" s="5">
        <v>0</v>
      </c>
      <c r="P655" s="5">
        <v>0</v>
      </c>
      <c r="Q655" s="3"/>
      <c r="R655" s="3"/>
      <c r="S655" s="3"/>
      <c r="T655" s="3" t="s">
        <v>41</v>
      </c>
      <c r="U655" s="3" t="s">
        <v>34</v>
      </c>
      <c r="V655" s="3" t="s">
        <v>35</v>
      </c>
      <c r="W655" s="3" t="s">
        <v>2863</v>
      </c>
      <c r="X655" s="3"/>
      <c r="Y655" s="5">
        <v>550000</v>
      </c>
      <c r="Z655" s="5">
        <v>2</v>
      </c>
    </row>
    <row r="656" spans="1:26" ht="15.75" customHeight="1" x14ac:dyDescent="0.35">
      <c r="A656" s="2"/>
      <c r="B656" s="3" t="s">
        <v>2864</v>
      </c>
      <c r="C656" s="3" t="s">
        <v>71</v>
      </c>
      <c r="D656" s="3" t="s">
        <v>95</v>
      </c>
      <c r="E656" s="3" t="s">
        <v>2865</v>
      </c>
      <c r="F656" s="4" t="s">
        <v>2866</v>
      </c>
      <c r="G656" s="4" t="s">
        <v>2867</v>
      </c>
      <c r="H656" s="5">
        <v>299000</v>
      </c>
      <c r="I656" s="5">
        <v>0</v>
      </c>
      <c r="J656" s="5">
        <v>299000</v>
      </c>
      <c r="K656" s="5">
        <v>0</v>
      </c>
      <c r="L656" s="5">
        <v>0</v>
      </c>
      <c r="M656" s="5">
        <v>0</v>
      </c>
      <c r="N656" s="5">
        <v>299000</v>
      </c>
      <c r="O656" s="5">
        <v>0</v>
      </c>
      <c r="P656" s="5">
        <v>0</v>
      </c>
      <c r="Q656" s="3" t="s">
        <v>34</v>
      </c>
      <c r="R656" s="3" t="s">
        <v>34</v>
      </c>
      <c r="S656" s="3" t="s">
        <v>34</v>
      </c>
      <c r="T656" s="3" t="s">
        <v>41</v>
      </c>
      <c r="U656" s="3" t="s">
        <v>34</v>
      </c>
      <c r="V656" s="3" t="s">
        <v>35</v>
      </c>
      <c r="W656" s="3" t="s">
        <v>2868</v>
      </c>
      <c r="X656" s="3"/>
      <c r="Y656" s="5">
        <v>299000</v>
      </c>
      <c r="Z656" s="5">
        <v>1</v>
      </c>
    </row>
    <row r="657" spans="1:26" ht="15.75" customHeight="1" x14ac:dyDescent="0.35">
      <c r="A657" s="2"/>
      <c r="B657" s="3" t="s">
        <v>2250</v>
      </c>
      <c r="C657" s="3" t="s">
        <v>64</v>
      </c>
      <c r="D657" s="3" t="s">
        <v>65</v>
      </c>
      <c r="E657" s="3" t="s">
        <v>2869</v>
      </c>
      <c r="F657" s="4" t="s">
        <v>2870</v>
      </c>
      <c r="G657" s="4" t="s">
        <v>2871</v>
      </c>
      <c r="H657" s="5">
        <v>534000</v>
      </c>
      <c r="I657" s="5">
        <v>0</v>
      </c>
      <c r="J657" s="5">
        <v>534000</v>
      </c>
      <c r="K657" s="5">
        <v>0</v>
      </c>
      <c r="L657" s="5">
        <v>0</v>
      </c>
      <c r="M657" s="5">
        <v>0</v>
      </c>
      <c r="N657" s="5">
        <v>534000</v>
      </c>
      <c r="O657" s="5">
        <v>0</v>
      </c>
      <c r="P657" s="5">
        <v>0</v>
      </c>
      <c r="Q657" s="3"/>
      <c r="R657" s="3"/>
      <c r="S657" s="3"/>
      <c r="T657" s="3" t="s">
        <v>41</v>
      </c>
      <c r="U657" s="3" t="s">
        <v>34</v>
      </c>
      <c r="V657" s="3" t="s">
        <v>35</v>
      </c>
      <c r="W657" s="3" t="s">
        <v>2872</v>
      </c>
      <c r="X657" s="3"/>
      <c r="Y657" s="5">
        <v>534000</v>
      </c>
      <c r="Z657" s="5">
        <v>1</v>
      </c>
    </row>
    <row r="658" spans="1:26" ht="15.75" customHeight="1" x14ac:dyDescent="0.35">
      <c r="A658" s="2"/>
      <c r="B658" s="3" t="s">
        <v>2326</v>
      </c>
      <c r="C658" s="3" t="s">
        <v>64</v>
      </c>
      <c r="D658" s="3" t="s">
        <v>83</v>
      </c>
      <c r="E658" s="3" t="s">
        <v>2873</v>
      </c>
      <c r="F658" s="4" t="s">
        <v>2874</v>
      </c>
      <c r="G658" s="4" t="s">
        <v>2871</v>
      </c>
      <c r="H658" s="5">
        <v>525528</v>
      </c>
      <c r="I658" s="5">
        <v>0</v>
      </c>
      <c r="J658" s="5">
        <v>525528</v>
      </c>
      <c r="K658" s="5">
        <v>0</v>
      </c>
      <c r="L658" s="5">
        <v>0</v>
      </c>
      <c r="M658" s="5">
        <v>0</v>
      </c>
      <c r="N658" s="5">
        <v>0</v>
      </c>
      <c r="O658" s="5">
        <v>525528</v>
      </c>
      <c r="P658" s="5">
        <v>0</v>
      </c>
      <c r="Q658" s="3" t="s">
        <v>2875</v>
      </c>
      <c r="R658" s="3" t="s">
        <v>34</v>
      </c>
      <c r="S658" s="3" t="s">
        <v>34</v>
      </c>
      <c r="T658" s="3" t="s">
        <v>48</v>
      </c>
      <c r="U658" s="3" t="s">
        <v>34</v>
      </c>
      <c r="V658" s="3" t="s">
        <v>35</v>
      </c>
      <c r="W658" s="3" t="s">
        <v>2876</v>
      </c>
      <c r="X658" s="3" t="s">
        <v>2877</v>
      </c>
      <c r="Y658" s="5">
        <v>525528</v>
      </c>
      <c r="Z658" s="5">
        <v>1</v>
      </c>
    </row>
    <row r="659" spans="1:26" ht="15.75" customHeight="1" x14ac:dyDescent="0.35">
      <c r="A659" s="2"/>
      <c r="B659" s="3" t="s">
        <v>2385</v>
      </c>
      <c r="C659" s="3" t="s">
        <v>29</v>
      </c>
      <c r="D659" s="3" t="s">
        <v>43</v>
      </c>
      <c r="E659" s="3" t="s">
        <v>226</v>
      </c>
      <c r="F659" s="4" t="s">
        <v>2878</v>
      </c>
      <c r="G659" s="4" t="s">
        <v>2871</v>
      </c>
      <c r="H659" s="5">
        <v>1450000</v>
      </c>
      <c r="I659" s="5">
        <v>0</v>
      </c>
      <c r="J659" s="5">
        <v>1450000</v>
      </c>
      <c r="K659" s="5">
        <v>0</v>
      </c>
      <c r="L659" s="5">
        <v>0</v>
      </c>
      <c r="M659" s="5">
        <v>0</v>
      </c>
      <c r="N659" s="5">
        <v>1450000</v>
      </c>
      <c r="O659" s="5">
        <v>0</v>
      </c>
      <c r="P659" s="5">
        <v>0</v>
      </c>
      <c r="Q659" s="3"/>
      <c r="R659" s="3"/>
      <c r="S659" s="3"/>
      <c r="T659" s="3" t="s">
        <v>41</v>
      </c>
      <c r="U659" s="3" t="s">
        <v>34</v>
      </c>
      <c r="V659" s="3" t="s">
        <v>35</v>
      </c>
      <c r="W659" s="3" t="s">
        <v>2879</v>
      </c>
      <c r="X659" s="3"/>
      <c r="Y659" s="5">
        <v>725000</v>
      </c>
      <c r="Z659" s="5">
        <v>2</v>
      </c>
    </row>
    <row r="660" spans="1:26" ht="15.75" customHeight="1" x14ac:dyDescent="0.35">
      <c r="A660" s="2"/>
      <c r="B660" s="3" t="s">
        <v>2385</v>
      </c>
      <c r="C660" s="3" t="s">
        <v>59</v>
      </c>
      <c r="D660" s="3" t="s">
        <v>122</v>
      </c>
      <c r="E660" s="3" t="s">
        <v>2880</v>
      </c>
      <c r="F660" s="4" t="s">
        <v>2878</v>
      </c>
      <c r="G660" s="4" t="s">
        <v>2871</v>
      </c>
      <c r="H660" s="5">
        <v>1200000</v>
      </c>
      <c r="I660" s="5">
        <v>0</v>
      </c>
      <c r="J660" s="5">
        <v>1200000</v>
      </c>
      <c r="K660" s="5">
        <v>0</v>
      </c>
      <c r="L660" s="5">
        <v>0</v>
      </c>
      <c r="M660" s="5">
        <v>0</v>
      </c>
      <c r="N660" s="5">
        <v>1200000</v>
      </c>
      <c r="O660" s="5">
        <v>0</v>
      </c>
      <c r="P660" s="5">
        <v>0</v>
      </c>
      <c r="Q660" s="3"/>
      <c r="R660" s="3"/>
      <c r="S660" s="3"/>
      <c r="T660" s="3" t="s">
        <v>41</v>
      </c>
      <c r="U660" s="3" t="s">
        <v>34</v>
      </c>
      <c r="V660" s="3" t="s">
        <v>35</v>
      </c>
      <c r="W660" s="3" t="s">
        <v>2881</v>
      </c>
      <c r="X660" s="3"/>
      <c r="Y660" s="5">
        <v>600000</v>
      </c>
      <c r="Z660" s="5">
        <v>2</v>
      </c>
    </row>
    <row r="661" spans="1:26" ht="15.75" customHeight="1" x14ac:dyDescent="0.35">
      <c r="A661" s="2"/>
      <c r="B661" s="3" t="s">
        <v>2349</v>
      </c>
      <c r="C661" s="3" t="s">
        <v>59</v>
      </c>
      <c r="D661" s="3" t="s">
        <v>60</v>
      </c>
      <c r="E661" s="3" t="s">
        <v>2882</v>
      </c>
      <c r="F661" s="4" t="s">
        <v>2870</v>
      </c>
      <c r="G661" s="4" t="s">
        <v>2871</v>
      </c>
      <c r="H661" s="5">
        <v>600000</v>
      </c>
      <c r="I661" s="5">
        <v>0</v>
      </c>
      <c r="J661" s="5">
        <v>600000</v>
      </c>
      <c r="K661" s="5">
        <v>0</v>
      </c>
      <c r="L661" s="5">
        <v>0</v>
      </c>
      <c r="M661" s="5">
        <v>0</v>
      </c>
      <c r="N661" s="5">
        <v>600000</v>
      </c>
      <c r="O661" s="5">
        <v>0</v>
      </c>
      <c r="P661" s="5">
        <v>0</v>
      </c>
      <c r="Q661" s="3"/>
      <c r="R661" s="3"/>
      <c r="S661" s="3"/>
      <c r="T661" s="3" t="s">
        <v>41</v>
      </c>
      <c r="U661" s="3" t="s">
        <v>34</v>
      </c>
      <c r="V661" s="3" t="s">
        <v>35</v>
      </c>
      <c r="W661" s="3" t="s">
        <v>2883</v>
      </c>
      <c r="X661" s="3"/>
      <c r="Y661" s="5">
        <v>600000</v>
      </c>
      <c r="Z661" s="5">
        <v>1</v>
      </c>
    </row>
    <row r="662" spans="1:26" ht="15.75" customHeight="1" x14ac:dyDescent="0.35">
      <c r="A662" s="2"/>
      <c r="B662" s="3" t="s">
        <v>2594</v>
      </c>
      <c r="C662" s="3" t="s">
        <v>29</v>
      </c>
      <c r="D662" s="3" t="s">
        <v>110</v>
      </c>
      <c r="E662" s="3" t="s">
        <v>2884</v>
      </c>
      <c r="F662" s="4" t="s">
        <v>2885</v>
      </c>
      <c r="G662" s="4" t="s">
        <v>2886</v>
      </c>
      <c r="H662" s="5">
        <v>618809</v>
      </c>
      <c r="I662" s="5">
        <v>0</v>
      </c>
      <c r="J662" s="5">
        <v>618809</v>
      </c>
      <c r="K662" s="5">
        <v>0</v>
      </c>
      <c r="L662" s="5">
        <v>0</v>
      </c>
      <c r="M662" s="5">
        <v>0</v>
      </c>
      <c r="N662" s="5">
        <v>0</v>
      </c>
      <c r="O662" s="5">
        <v>618809</v>
      </c>
      <c r="P662" s="5">
        <v>0</v>
      </c>
      <c r="Q662" s="3" t="s">
        <v>2132</v>
      </c>
      <c r="R662" s="3" t="s">
        <v>2887</v>
      </c>
      <c r="S662" s="3" t="s">
        <v>34</v>
      </c>
      <c r="T662" s="3" t="s">
        <v>48</v>
      </c>
      <c r="U662" s="3" t="s">
        <v>34</v>
      </c>
      <c r="V662" s="3" t="s">
        <v>35</v>
      </c>
      <c r="W662" s="3" t="s">
        <v>2888</v>
      </c>
      <c r="X662" s="3" t="s">
        <v>2889</v>
      </c>
      <c r="Y662" s="5">
        <v>618809</v>
      </c>
      <c r="Z662" s="5">
        <v>1</v>
      </c>
    </row>
    <row r="663" spans="1:26" ht="15.75" customHeight="1" x14ac:dyDescent="0.35">
      <c r="A663" s="2"/>
      <c r="B663" s="3" t="s">
        <v>2410</v>
      </c>
      <c r="C663" s="3" t="s">
        <v>29</v>
      </c>
      <c r="D663" s="3" t="s">
        <v>413</v>
      </c>
      <c r="E663" s="3" t="s">
        <v>2890</v>
      </c>
      <c r="F663" s="4" t="s">
        <v>2870</v>
      </c>
      <c r="G663" s="4" t="s">
        <v>2891</v>
      </c>
      <c r="H663" s="5">
        <v>728280</v>
      </c>
      <c r="I663" s="5">
        <v>0</v>
      </c>
      <c r="J663" s="5">
        <v>728280</v>
      </c>
      <c r="K663" s="5">
        <v>0</v>
      </c>
      <c r="L663" s="5">
        <v>0</v>
      </c>
      <c r="M663" s="5">
        <v>0</v>
      </c>
      <c r="N663" s="5">
        <v>0</v>
      </c>
      <c r="O663" s="5">
        <v>728280</v>
      </c>
      <c r="P663" s="5">
        <v>0</v>
      </c>
      <c r="Q663" s="3" t="s">
        <v>2892</v>
      </c>
      <c r="R663" s="3" t="s">
        <v>34</v>
      </c>
      <c r="S663" s="3" t="s">
        <v>34</v>
      </c>
      <c r="T663" s="3" t="s">
        <v>48</v>
      </c>
      <c r="U663" s="3" t="s">
        <v>34</v>
      </c>
      <c r="V663" s="3" t="s">
        <v>35</v>
      </c>
      <c r="W663" s="3" t="s">
        <v>2893</v>
      </c>
      <c r="X663" s="3" t="s">
        <v>2894</v>
      </c>
      <c r="Y663" s="5">
        <v>728280</v>
      </c>
      <c r="Z663" s="5">
        <v>1</v>
      </c>
    </row>
    <row r="664" spans="1:26" ht="15.75" customHeight="1" x14ac:dyDescent="0.35">
      <c r="A664" s="2"/>
      <c r="B664" s="3" t="s">
        <v>2484</v>
      </c>
      <c r="C664" s="3" t="s">
        <v>64</v>
      </c>
      <c r="D664" s="3" t="s">
        <v>83</v>
      </c>
      <c r="E664" s="3" t="s">
        <v>2895</v>
      </c>
      <c r="F664" s="4" t="s">
        <v>2896</v>
      </c>
      <c r="G664" s="4" t="s">
        <v>2897</v>
      </c>
      <c r="H664" s="5">
        <v>350000</v>
      </c>
      <c r="I664" s="5">
        <v>0</v>
      </c>
      <c r="J664" s="5">
        <v>350000</v>
      </c>
      <c r="K664" s="5">
        <v>0</v>
      </c>
      <c r="L664" s="5">
        <v>0</v>
      </c>
      <c r="M664" s="5">
        <v>0</v>
      </c>
      <c r="N664" s="5">
        <v>350000</v>
      </c>
      <c r="O664" s="5">
        <v>0</v>
      </c>
      <c r="P664" s="5">
        <v>0</v>
      </c>
      <c r="Q664" s="3" t="s">
        <v>34</v>
      </c>
      <c r="R664" s="3" t="s">
        <v>34</v>
      </c>
      <c r="S664" s="3" t="s">
        <v>2898</v>
      </c>
      <c r="T664" s="3" t="s">
        <v>41</v>
      </c>
      <c r="U664" s="3" t="s">
        <v>34</v>
      </c>
      <c r="V664" s="3" t="s">
        <v>35</v>
      </c>
      <c r="W664" s="3" t="s">
        <v>2899</v>
      </c>
      <c r="X664" s="3"/>
      <c r="Y664" s="5">
        <v>350000</v>
      </c>
      <c r="Z664" s="5">
        <v>1</v>
      </c>
    </row>
    <row r="665" spans="1:26" ht="15.75" customHeight="1" x14ac:dyDescent="0.35">
      <c r="A665" s="2"/>
      <c r="B665" s="3" t="s">
        <v>2417</v>
      </c>
      <c r="C665" s="3" t="s">
        <v>59</v>
      </c>
      <c r="D665" s="3" t="s">
        <v>182</v>
      </c>
      <c r="E665" s="3" t="s">
        <v>2900</v>
      </c>
      <c r="F665" s="4" t="s">
        <v>2901</v>
      </c>
      <c r="G665" s="4" t="s">
        <v>2902</v>
      </c>
      <c r="H665" s="5">
        <v>1135000</v>
      </c>
      <c r="I665" s="5">
        <v>0</v>
      </c>
      <c r="J665" s="5">
        <v>1135000</v>
      </c>
      <c r="K665" s="5">
        <v>0</v>
      </c>
      <c r="L665" s="5">
        <v>0</v>
      </c>
      <c r="M665" s="5">
        <v>0</v>
      </c>
      <c r="N665" s="5">
        <v>1135000</v>
      </c>
      <c r="O665" s="5">
        <v>0</v>
      </c>
      <c r="P665" s="5">
        <v>0</v>
      </c>
      <c r="Q665" s="3" t="s">
        <v>2903</v>
      </c>
      <c r="R665" s="3" t="s">
        <v>2904</v>
      </c>
      <c r="S665" s="3" t="s">
        <v>34</v>
      </c>
      <c r="T665" s="3" t="s">
        <v>41</v>
      </c>
      <c r="U665" s="3" t="s">
        <v>34</v>
      </c>
      <c r="V665" s="3" t="s">
        <v>35</v>
      </c>
      <c r="W665" s="3" t="s">
        <v>2905</v>
      </c>
      <c r="X665" s="3"/>
      <c r="Y665" s="5">
        <v>567500</v>
      </c>
      <c r="Z665" s="5">
        <v>2</v>
      </c>
    </row>
    <row r="666" spans="1:26" ht="15.75" customHeight="1" x14ac:dyDescent="0.35">
      <c r="A666" s="2"/>
      <c r="B666" s="3" t="s">
        <v>2457</v>
      </c>
      <c r="C666" s="3" t="s">
        <v>29</v>
      </c>
      <c r="D666" s="3" t="s">
        <v>385</v>
      </c>
      <c r="E666" s="3" t="s">
        <v>2906</v>
      </c>
      <c r="F666" s="4" t="s">
        <v>2907</v>
      </c>
      <c r="G666" s="4" t="s">
        <v>2908</v>
      </c>
      <c r="H666" s="5">
        <v>1041264</v>
      </c>
      <c r="I666" s="5">
        <v>0</v>
      </c>
      <c r="J666" s="5">
        <v>1041264</v>
      </c>
      <c r="K666" s="5">
        <v>0</v>
      </c>
      <c r="L666" s="5">
        <v>0</v>
      </c>
      <c r="M666" s="5">
        <v>0</v>
      </c>
      <c r="N666" s="5">
        <v>0</v>
      </c>
      <c r="O666" s="5">
        <v>1041264</v>
      </c>
      <c r="P666" s="5">
        <v>0</v>
      </c>
      <c r="Q666" s="3" t="s">
        <v>2909</v>
      </c>
      <c r="R666" s="3" t="s">
        <v>2910</v>
      </c>
      <c r="S666" s="3" t="s">
        <v>34</v>
      </c>
      <c r="T666" s="3" t="s">
        <v>48</v>
      </c>
      <c r="U666" s="3" t="s">
        <v>34</v>
      </c>
      <c r="V666" s="3" t="s">
        <v>35</v>
      </c>
      <c r="W666" s="3" t="s">
        <v>2911</v>
      </c>
      <c r="X666" s="3" t="s">
        <v>2912</v>
      </c>
      <c r="Y666" s="5">
        <v>1041264</v>
      </c>
      <c r="Z666" s="5">
        <v>1</v>
      </c>
    </row>
    <row r="667" spans="1:26" ht="15.75" customHeight="1" x14ac:dyDescent="0.35">
      <c r="A667" s="2"/>
      <c r="B667" s="3" t="s">
        <v>2368</v>
      </c>
      <c r="C667" s="3" t="s">
        <v>29</v>
      </c>
      <c r="D667" s="3" t="s">
        <v>37</v>
      </c>
      <c r="E667" s="3" t="s">
        <v>2913</v>
      </c>
      <c r="F667" s="4" t="s">
        <v>2914</v>
      </c>
      <c r="G667" s="4" t="s">
        <v>2915</v>
      </c>
      <c r="H667" s="5">
        <v>3275122</v>
      </c>
      <c r="I667" s="5">
        <v>0</v>
      </c>
      <c r="J667" s="5">
        <v>3275122</v>
      </c>
      <c r="K667" s="5">
        <v>0</v>
      </c>
      <c r="L667" s="5">
        <v>0</v>
      </c>
      <c r="M667" s="5">
        <v>0</v>
      </c>
      <c r="N667" s="5">
        <v>0</v>
      </c>
      <c r="O667" s="5">
        <v>3275122</v>
      </c>
      <c r="P667" s="5">
        <v>0</v>
      </c>
      <c r="Q667" s="3" t="s">
        <v>2523</v>
      </c>
      <c r="R667" s="3" t="s">
        <v>2916</v>
      </c>
      <c r="S667" s="3" t="s">
        <v>34</v>
      </c>
      <c r="T667" s="3" t="s">
        <v>48</v>
      </c>
      <c r="U667" s="3" t="s">
        <v>34</v>
      </c>
      <c r="V667" s="3" t="s">
        <v>35</v>
      </c>
      <c r="W667" s="3" t="s">
        <v>2917</v>
      </c>
      <c r="X667" s="3" t="s">
        <v>2918</v>
      </c>
      <c r="Y667" s="5">
        <v>818780.5</v>
      </c>
      <c r="Z667" s="5">
        <v>4</v>
      </c>
    </row>
    <row r="668" spans="1:26" ht="15.75" customHeight="1" x14ac:dyDescent="0.35">
      <c r="A668" s="2"/>
      <c r="B668" s="3" t="s">
        <v>2422</v>
      </c>
      <c r="C668" s="3" t="s">
        <v>59</v>
      </c>
      <c r="D668" s="3" t="s">
        <v>193</v>
      </c>
      <c r="E668" s="3" t="s">
        <v>226</v>
      </c>
      <c r="F668" s="4" t="s">
        <v>2870</v>
      </c>
      <c r="G668" s="4" t="s">
        <v>2915</v>
      </c>
      <c r="H668" s="5">
        <v>1130000</v>
      </c>
      <c r="I668" s="5">
        <v>240000</v>
      </c>
      <c r="J668" s="5">
        <v>1370000</v>
      </c>
      <c r="K668" s="5">
        <v>0</v>
      </c>
      <c r="L668" s="5">
        <v>1370000</v>
      </c>
      <c r="M668" s="5">
        <v>0</v>
      </c>
      <c r="N668" s="5">
        <v>0</v>
      </c>
      <c r="O668" s="5">
        <v>0</v>
      </c>
      <c r="P668" s="5">
        <v>0</v>
      </c>
      <c r="Q668" s="3"/>
      <c r="R668" s="3"/>
      <c r="S668" s="3"/>
      <c r="T668" s="3" t="s">
        <v>41</v>
      </c>
      <c r="U668" s="3" t="s">
        <v>34</v>
      </c>
      <c r="V668" s="3" t="s">
        <v>35</v>
      </c>
      <c r="W668" s="3" t="s">
        <v>2919</v>
      </c>
      <c r="X668" s="3"/>
      <c r="Y668" s="5">
        <v>565000</v>
      </c>
      <c r="Z668" s="5">
        <v>2</v>
      </c>
    </row>
    <row r="669" spans="1:26" ht="15.75" customHeight="1" x14ac:dyDescent="0.35">
      <c r="A669" s="2"/>
      <c r="B669" s="3" t="s">
        <v>2422</v>
      </c>
      <c r="C669" s="3" t="s">
        <v>71</v>
      </c>
      <c r="D669" s="3" t="s">
        <v>72</v>
      </c>
      <c r="E669" s="3" t="s">
        <v>2850</v>
      </c>
      <c r="F669" s="4" t="s">
        <v>2870</v>
      </c>
      <c r="G669" s="4" t="s">
        <v>2915</v>
      </c>
      <c r="H669" s="5">
        <v>1220000</v>
      </c>
      <c r="I669" s="5">
        <v>0</v>
      </c>
      <c r="J669" s="5">
        <v>1220000</v>
      </c>
      <c r="K669" s="5">
        <v>0</v>
      </c>
      <c r="L669" s="5">
        <v>1220000</v>
      </c>
      <c r="M669" s="5">
        <v>0</v>
      </c>
      <c r="N669" s="5">
        <v>0</v>
      </c>
      <c r="O669" s="5">
        <v>0</v>
      </c>
      <c r="P669" s="5">
        <v>0</v>
      </c>
      <c r="Q669" s="3" t="s">
        <v>34</v>
      </c>
      <c r="R669" s="3" t="s">
        <v>34</v>
      </c>
      <c r="S669" s="3" t="s">
        <v>34</v>
      </c>
      <c r="T669" s="3" t="s">
        <v>41</v>
      </c>
      <c r="U669" s="3" t="s">
        <v>34</v>
      </c>
      <c r="V669" s="3" t="s">
        <v>35</v>
      </c>
      <c r="W669" s="3" t="s">
        <v>2920</v>
      </c>
      <c r="X669" s="3"/>
      <c r="Y669" s="5">
        <v>610000</v>
      </c>
      <c r="Z669" s="5">
        <v>2</v>
      </c>
    </row>
    <row r="670" spans="1:26" ht="15.75" customHeight="1" x14ac:dyDescent="0.35">
      <c r="A670" s="2"/>
      <c r="B670" s="3" t="s">
        <v>2245</v>
      </c>
      <c r="C670" s="3" t="s">
        <v>64</v>
      </c>
      <c r="D670" s="3" t="s">
        <v>173</v>
      </c>
      <c r="E670" s="3" t="s">
        <v>2921</v>
      </c>
      <c r="F670" s="4" t="s">
        <v>2922</v>
      </c>
      <c r="G670" s="4" t="s">
        <v>2923</v>
      </c>
      <c r="H670" s="5">
        <v>2629440</v>
      </c>
      <c r="I670" s="5">
        <v>0</v>
      </c>
      <c r="J670" s="5">
        <v>2629440</v>
      </c>
      <c r="K670" s="5">
        <v>0</v>
      </c>
      <c r="L670" s="5">
        <v>0</v>
      </c>
      <c r="M670" s="5">
        <v>0</v>
      </c>
      <c r="N670" s="5">
        <v>0</v>
      </c>
      <c r="O670" s="5">
        <v>2629440</v>
      </c>
      <c r="P670" s="5">
        <v>0</v>
      </c>
      <c r="Q670" s="3" t="s">
        <v>2924</v>
      </c>
      <c r="R670" s="3" t="s">
        <v>2925</v>
      </c>
      <c r="S670" s="3" t="s">
        <v>34</v>
      </c>
      <c r="T670" s="3" t="s">
        <v>48</v>
      </c>
      <c r="U670" s="3" t="s">
        <v>34</v>
      </c>
      <c r="V670" s="3" t="s">
        <v>35</v>
      </c>
      <c r="W670" s="3" t="s">
        <v>2926</v>
      </c>
      <c r="X670" s="3" t="s">
        <v>2927</v>
      </c>
      <c r="Y670" s="5">
        <v>657360</v>
      </c>
      <c r="Z670" s="5">
        <v>4</v>
      </c>
    </row>
    <row r="671" spans="1:26" ht="15.75" customHeight="1" x14ac:dyDescent="0.35">
      <c r="A671" s="2"/>
      <c r="B671" s="3" t="s">
        <v>2245</v>
      </c>
      <c r="C671" s="3" t="s">
        <v>64</v>
      </c>
      <c r="D671" s="3" t="s">
        <v>99</v>
      </c>
      <c r="E671" s="3" t="s">
        <v>2928</v>
      </c>
      <c r="F671" s="4" t="s">
        <v>2922</v>
      </c>
      <c r="G671" s="4" t="s">
        <v>2923</v>
      </c>
      <c r="H671" s="5">
        <v>2629440</v>
      </c>
      <c r="I671" s="5">
        <v>0</v>
      </c>
      <c r="J671" s="5">
        <v>2629440</v>
      </c>
      <c r="K671" s="5">
        <v>0</v>
      </c>
      <c r="L671" s="5">
        <v>0</v>
      </c>
      <c r="M671" s="5">
        <v>0</v>
      </c>
      <c r="N671" s="5">
        <v>0</v>
      </c>
      <c r="O671" s="5">
        <v>2629440</v>
      </c>
      <c r="P671" s="5">
        <v>0</v>
      </c>
      <c r="Q671" s="3"/>
      <c r="R671" s="3"/>
      <c r="S671" s="3"/>
      <c r="T671" s="3" t="s">
        <v>48</v>
      </c>
      <c r="U671" s="3" t="s">
        <v>34</v>
      </c>
      <c r="V671" s="3" t="s">
        <v>35</v>
      </c>
      <c r="W671" s="3" t="s">
        <v>2929</v>
      </c>
      <c r="X671" s="3" t="s">
        <v>2927</v>
      </c>
      <c r="Y671" s="5">
        <v>657360</v>
      </c>
      <c r="Z671" s="5">
        <v>4</v>
      </c>
    </row>
    <row r="672" spans="1:26" ht="15.75" customHeight="1" x14ac:dyDescent="0.35">
      <c r="A672" s="2"/>
      <c r="B672" s="3" t="s">
        <v>2447</v>
      </c>
      <c r="C672" s="3" t="s">
        <v>64</v>
      </c>
      <c r="D672" s="3" t="s">
        <v>89</v>
      </c>
      <c r="E672" s="3" t="s">
        <v>2930</v>
      </c>
      <c r="F672" s="4" t="s">
        <v>2931</v>
      </c>
      <c r="G672" s="4" t="s">
        <v>2923</v>
      </c>
      <c r="H672" s="5">
        <v>493920</v>
      </c>
      <c r="I672" s="5">
        <v>0</v>
      </c>
      <c r="J672" s="5">
        <v>493920</v>
      </c>
      <c r="K672" s="5">
        <v>0</v>
      </c>
      <c r="L672" s="5">
        <v>0</v>
      </c>
      <c r="M672" s="5">
        <v>0</v>
      </c>
      <c r="N672" s="5">
        <v>0</v>
      </c>
      <c r="O672" s="5">
        <v>493920</v>
      </c>
      <c r="P672" s="5">
        <v>0</v>
      </c>
      <c r="Q672" s="3" t="s">
        <v>34</v>
      </c>
      <c r="R672" s="3" t="s">
        <v>34</v>
      </c>
      <c r="S672" s="3" t="s">
        <v>34</v>
      </c>
      <c r="T672" s="3" t="s">
        <v>48</v>
      </c>
      <c r="U672" s="3" t="s">
        <v>34</v>
      </c>
      <c r="V672" s="3" t="s">
        <v>35</v>
      </c>
      <c r="W672" s="3" t="s">
        <v>2932</v>
      </c>
      <c r="X672" s="3" t="s">
        <v>2933</v>
      </c>
      <c r="Y672" s="5">
        <v>493920</v>
      </c>
      <c r="Z672" s="5">
        <v>1</v>
      </c>
    </row>
    <row r="673" spans="1:26" ht="15.75" customHeight="1" x14ac:dyDescent="0.35">
      <c r="A673" s="2"/>
      <c r="B673" s="3" t="s">
        <v>2433</v>
      </c>
      <c r="C673" s="3" t="s">
        <v>59</v>
      </c>
      <c r="D673" s="3" t="s">
        <v>60</v>
      </c>
      <c r="E673" s="3" t="s">
        <v>2934</v>
      </c>
      <c r="F673" s="4" t="s">
        <v>2935</v>
      </c>
      <c r="G673" s="4" t="s">
        <v>2936</v>
      </c>
      <c r="H673" s="5">
        <v>1178000</v>
      </c>
      <c r="I673" s="5">
        <v>0</v>
      </c>
      <c r="J673" s="5">
        <v>1178000</v>
      </c>
      <c r="K673" s="5">
        <v>0</v>
      </c>
      <c r="L673" s="5">
        <v>0</v>
      </c>
      <c r="M673" s="5">
        <v>0</v>
      </c>
      <c r="N673" s="5">
        <v>1178000</v>
      </c>
      <c r="O673" s="5">
        <v>0</v>
      </c>
      <c r="P673" s="5">
        <v>0</v>
      </c>
      <c r="Q673" s="3" t="s">
        <v>2937</v>
      </c>
      <c r="R673" s="3" t="s">
        <v>2938</v>
      </c>
      <c r="S673" s="3" t="s">
        <v>34</v>
      </c>
      <c r="T673" s="3" t="s">
        <v>41</v>
      </c>
      <c r="U673" s="3" t="s">
        <v>34</v>
      </c>
      <c r="V673" s="3" t="s">
        <v>35</v>
      </c>
      <c r="W673" s="3" t="s">
        <v>2939</v>
      </c>
      <c r="X673" s="3"/>
      <c r="Y673" s="5">
        <v>589000</v>
      </c>
      <c r="Z673" s="5">
        <v>2</v>
      </c>
    </row>
    <row r="674" spans="1:26" ht="15.75" customHeight="1" x14ac:dyDescent="0.35">
      <c r="A674" s="2"/>
      <c r="B674" s="3" t="s">
        <v>2341</v>
      </c>
      <c r="C674" s="3" t="s">
        <v>64</v>
      </c>
      <c r="D674" s="3" t="s">
        <v>76</v>
      </c>
      <c r="E674" s="3" t="s">
        <v>2940</v>
      </c>
      <c r="F674" s="4" t="s">
        <v>2941</v>
      </c>
      <c r="G674" s="4" t="s">
        <v>2942</v>
      </c>
      <c r="H674" s="5">
        <v>2650000</v>
      </c>
      <c r="I674" s="5">
        <v>0</v>
      </c>
      <c r="J674" s="5">
        <v>2650000</v>
      </c>
      <c r="K674" s="5">
        <v>0</v>
      </c>
      <c r="L674" s="5">
        <v>0</v>
      </c>
      <c r="M674" s="5">
        <v>0</v>
      </c>
      <c r="N674" s="5">
        <v>2650000</v>
      </c>
      <c r="O674" s="5">
        <v>0</v>
      </c>
      <c r="P674" s="5">
        <v>0</v>
      </c>
      <c r="Q674" s="3" t="s">
        <v>2943</v>
      </c>
      <c r="R674" s="3" t="s">
        <v>2944</v>
      </c>
      <c r="S674" s="3" t="s">
        <v>2945</v>
      </c>
      <c r="T674" s="3" t="s">
        <v>48</v>
      </c>
      <c r="U674" s="3" t="s">
        <v>34</v>
      </c>
      <c r="V674" s="3" t="s">
        <v>35</v>
      </c>
      <c r="W674" s="3" t="s">
        <v>2946</v>
      </c>
      <c r="X674" s="3" t="s">
        <v>2947</v>
      </c>
      <c r="Y674" s="5">
        <v>530000</v>
      </c>
      <c r="Z674" s="5">
        <v>5</v>
      </c>
    </row>
    <row r="675" spans="1:26" ht="15.75" customHeight="1" x14ac:dyDescent="0.35">
      <c r="A675" s="2"/>
      <c r="B675" s="3" t="s">
        <v>2948</v>
      </c>
      <c r="C675" s="3" t="s">
        <v>64</v>
      </c>
      <c r="D675" s="3" t="s">
        <v>83</v>
      </c>
      <c r="E675" s="3" t="s">
        <v>2949</v>
      </c>
      <c r="F675" s="4" t="s">
        <v>2950</v>
      </c>
      <c r="G675" s="4" t="s">
        <v>2942</v>
      </c>
      <c r="H675" s="5">
        <v>494000</v>
      </c>
      <c r="I675" s="5">
        <v>0</v>
      </c>
      <c r="J675" s="5">
        <v>494000</v>
      </c>
      <c r="K675" s="5">
        <v>0</v>
      </c>
      <c r="L675" s="5">
        <v>0</v>
      </c>
      <c r="M675" s="5">
        <v>0</v>
      </c>
      <c r="N675" s="5">
        <v>494000</v>
      </c>
      <c r="O675" s="5">
        <v>0</v>
      </c>
      <c r="P675" s="5">
        <v>0</v>
      </c>
      <c r="Q675" s="3" t="s">
        <v>2951</v>
      </c>
      <c r="R675" s="3" t="s">
        <v>2952</v>
      </c>
      <c r="S675" s="3" t="s">
        <v>2953</v>
      </c>
      <c r="T675" s="3" t="s">
        <v>48</v>
      </c>
      <c r="U675" s="3" t="s">
        <v>34</v>
      </c>
      <c r="V675" s="3" t="s">
        <v>35</v>
      </c>
      <c r="W675" s="3" t="s">
        <v>2954</v>
      </c>
      <c r="X675" s="3" t="s">
        <v>2955</v>
      </c>
      <c r="Y675" s="5">
        <v>494000</v>
      </c>
      <c r="Z675" s="5">
        <v>1</v>
      </c>
    </row>
    <row r="676" spans="1:26" ht="15.75" customHeight="1" x14ac:dyDescent="0.35">
      <c r="A676" s="2"/>
      <c r="B676" s="3" t="s">
        <v>2487</v>
      </c>
      <c r="C676" s="3" t="s">
        <v>29</v>
      </c>
      <c r="D676" s="3" t="s">
        <v>43</v>
      </c>
      <c r="E676" s="3" t="s">
        <v>2956</v>
      </c>
      <c r="F676" s="4" t="s">
        <v>2950</v>
      </c>
      <c r="G676" s="4" t="s">
        <v>2957</v>
      </c>
      <c r="H676" s="5">
        <v>760000</v>
      </c>
      <c r="I676" s="5">
        <v>0</v>
      </c>
      <c r="J676" s="5">
        <v>760000</v>
      </c>
      <c r="K676" s="5">
        <v>0</v>
      </c>
      <c r="L676" s="5">
        <v>0</v>
      </c>
      <c r="M676" s="5">
        <v>0</v>
      </c>
      <c r="N676" s="5">
        <v>760000</v>
      </c>
      <c r="O676" s="5">
        <v>0</v>
      </c>
      <c r="P676" s="5">
        <v>0</v>
      </c>
      <c r="Q676" s="3" t="s">
        <v>2958</v>
      </c>
      <c r="R676" s="3" t="s">
        <v>34</v>
      </c>
      <c r="S676" s="3" t="s">
        <v>34</v>
      </c>
      <c r="T676" s="3" t="s">
        <v>41</v>
      </c>
      <c r="U676" s="3" t="s">
        <v>34</v>
      </c>
      <c r="V676" s="3" t="s">
        <v>35</v>
      </c>
      <c r="W676" s="3" t="s">
        <v>2959</v>
      </c>
      <c r="X676" s="3"/>
      <c r="Y676" s="5">
        <v>760000</v>
      </c>
      <c r="Z676" s="5">
        <v>1</v>
      </c>
    </row>
    <row r="677" spans="1:26" ht="15.75" customHeight="1" x14ac:dyDescent="0.35">
      <c r="A677" s="2"/>
      <c r="B677" s="3" t="s">
        <v>2479</v>
      </c>
      <c r="C677" s="3" t="s">
        <v>64</v>
      </c>
      <c r="D677" s="3" t="s">
        <v>173</v>
      </c>
      <c r="E677" s="3" t="s">
        <v>2921</v>
      </c>
      <c r="F677" s="4" t="s">
        <v>2960</v>
      </c>
      <c r="G677" s="4" t="s">
        <v>2957</v>
      </c>
      <c r="H677" s="5">
        <v>500000</v>
      </c>
      <c r="I677" s="5">
        <v>0</v>
      </c>
      <c r="J677" s="5">
        <v>500000</v>
      </c>
      <c r="K677" s="5">
        <v>0</v>
      </c>
      <c r="L677" s="5">
        <v>500000</v>
      </c>
      <c r="M677" s="5">
        <v>0</v>
      </c>
      <c r="N677" s="5">
        <v>0</v>
      </c>
      <c r="O677" s="5">
        <v>0</v>
      </c>
      <c r="P677" s="5">
        <v>0</v>
      </c>
      <c r="Q677" s="3" t="s">
        <v>34</v>
      </c>
      <c r="R677" s="3" t="s">
        <v>34</v>
      </c>
      <c r="S677" s="3" t="s">
        <v>34</v>
      </c>
      <c r="T677" s="3" t="s">
        <v>34</v>
      </c>
      <c r="U677" s="3" t="s">
        <v>34</v>
      </c>
      <c r="V677" s="3" t="s">
        <v>35</v>
      </c>
      <c r="W677" s="3" t="s">
        <v>2961</v>
      </c>
      <c r="X677" s="3"/>
      <c r="Y677" s="5">
        <v>500000</v>
      </c>
      <c r="Z677" s="5">
        <v>1</v>
      </c>
    </row>
    <row r="678" spans="1:26" ht="15.75" customHeight="1" x14ac:dyDescent="0.35">
      <c r="A678" s="2"/>
      <c r="B678" s="3" t="s">
        <v>2453</v>
      </c>
      <c r="C678" s="3" t="s">
        <v>29</v>
      </c>
      <c r="D678" s="3" t="s">
        <v>413</v>
      </c>
      <c r="E678" s="3" t="s">
        <v>2962</v>
      </c>
      <c r="F678" s="4" t="s">
        <v>2935</v>
      </c>
      <c r="G678" s="4" t="s">
        <v>2963</v>
      </c>
      <c r="H678" s="5">
        <v>2157000</v>
      </c>
      <c r="I678" s="5">
        <v>0</v>
      </c>
      <c r="J678" s="5">
        <v>2157000</v>
      </c>
      <c r="K678" s="5">
        <v>0</v>
      </c>
      <c r="L678" s="5">
        <v>0</v>
      </c>
      <c r="M678" s="5">
        <v>0</v>
      </c>
      <c r="N678" s="5">
        <v>2157000</v>
      </c>
      <c r="O678" s="5">
        <v>0</v>
      </c>
      <c r="P678" s="5">
        <v>0</v>
      </c>
      <c r="Q678" s="3" t="s">
        <v>34</v>
      </c>
      <c r="R678" s="3" t="s">
        <v>2904</v>
      </c>
      <c r="S678" s="3" t="s">
        <v>34</v>
      </c>
      <c r="T678" s="3" t="s">
        <v>41</v>
      </c>
      <c r="U678" s="3" t="s">
        <v>34</v>
      </c>
      <c r="V678" s="3" t="s">
        <v>35</v>
      </c>
      <c r="W678" s="3" t="s">
        <v>2964</v>
      </c>
      <c r="X678" s="3"/>
      <c r="Y678" s="5">
        <v>719000</v>
      </c>
      <c r="Z678" s="5">
        <v>3</v>
      </c>
    </row>
    <row r="679" spans="1:26" ht="15.75" customHeight="1" x14ac:dyDescent="0.35">
      <c r="A679" s="2"/>
      <c r="B679" s="3" t="s">
        <v>2479</v>
      </c>
      <c r="C679" s="3" t="s">
        <v>64</v>
      </c>
      <c r="D679" s="3" t="s">
        <v>99</v>
      </c>
      <c r="E679" s="3" t="s">
        <v>2921</v>
      </c>
      <c r="F679" s="4" t="s">
        <v>2960</v>
      </c>
      <c r="G679" s="4" t="s">
        <v>2963</v>
      </c>
      <c r="H679" s="5">
        <v>500000</v>
      </c>
      <c r="I679" s="5">
        <v>0</v>
      </c>
      <c r="J679" s="5">
        <v>500000</v>
      </c>
      <c r="K679" s="5">
        <v>0</v>
      </c>
      <c r="L679" s="5">
        <v>500000</v>
      </c>
      <c r="M679" s="5">
        <v>0</v>
      </c>
      <c r="N679" s="5">
        <v>0</v>
      </c>
      <c r="O679" s="5">
        <v>0</v>
      </c>
      <c r="P679" s="5">
        <v>0</v>
      </c>
      <c r="Q679" s="3" t="s">
        <v>34</v>
      </c>
      <c r="R679" s="3" t="s">
        <v>34</v>
      </c>
      <c r="S679" s="3" t="s">
        <v>34</v>
      </c>
      <c r="T679" s="3" t="s">
        <v>34</v>
      </c>
      <c r="U679" s="3" t="s">
        <v>34</v>
      </c>
      <c r="V679" s="3" t="s">
        <v>35</v>
      </c>
      <c r="W679" s="3" t="s">
        <v>2965</v>
      </c>
      <c r="X679" s="3"/>
      <c r="Y679" s="5">
        <v>500000</v>
      </c>
      <c r="Z679" s="5">
        <v>1</v>
      </c>
    </row>
    <row r="680" spans="1:26" ht="15.75" customHeight="1" x14ac:dyDescent="0.35">
      <c r="A680" s="2"/>
      <c r="B680" s="3" t="s">
        <v>2469</v>
      </c>
      <c r="C680" s="3" t="s">
        <v>64</v>
      </c>
      <c r="D680" s="3" t="s">
        <v>65</v>
      </c>
      <c r="E680" s="3" t="s">
        <v>2966</v>
      </c>
      <c r="F680" s="4" t="s">
        <v>2967</v>
      </c>
      <c r="G680" s="4" t="s">
        <v>2968</v>
      </c>
      <c r="H680" s="5">
        <v>350000</v>
      </c>
      <c r="I680" s="5">
        <v>0</v>
      </c>
      <c r="J680" s="5">
        <v>350000</v>
      </c>
      <c r="K680" s="5">
        <v>0</v>
      </c>
      <c r="L680" s="5">
        <v>0</v>
      </c>
      <c r="M680" s="5">
        <v>0</v>
      </c>
      <c r="N680" s="5">
        <v>350000</v>
      </c>
      <c r="O680" s="5">
        <v>0</v>
      </c>
      <c r="P680" s="5">
        <v>0</v>
      </c>
      <c r="Q680" s="3"/>
      <c r="R680" s="3"/>
      <c r="S680" s="3"/>
      <c r="T680" s="3" t="s">
        <v>41</v>
      </c>
      <c r="U680" s="3" t="s">
        <v>34</v>
      </c>
      <c r="V680" s="3" t="s">
        <v>35</v>
      </c>
      <c r="W680" s="3" t="s">
        <v>2969</v>
      </c>
      <c r="X680" s="3"/>
      <c r="Y680" s="5">
        <v>350000</v>
      </c>
      <c r="Z680" s="5">
        <v>1</v>
      </c>
    </row>
    <row r="681" spans="1:26" ht="15.75" customHeight="1" x14ac:dyDescent="0.35">
      <c r="A681" s="2"/>
      <c r="B681" s="3" t="s">
        <v>2526</v>
      </c>
      <c r="C681" s="3" t="s">
        <v>64</v>
      </c>
      <c r="D681" s="3" t="s">
        <v>173</v>
      </c>
      <c r="E681" s="3" t="s">
        <v>2970</v>
      </c>
      <c r="F681" s="4" t="s">
        <v>2971</v>
      </c>
      <c r="G681" s="4" t="s">
        <v>2972</v>
      </c>
      <c r="H681" s="5">
        <v>350000</v>
      </c>
      <c r="I681" s="5">
        <v>0</v>
      </c>
      <c r="J681" s="5">
        <v>350000</v>
      </c>
      <c r="K681" s="5">
        <v>0</v>
      </c>
      <c r="L681" s="5">
        <v>0</v>
      </c>
      <c r="M681" s="5">
        <v>0</v>
      </c>
      <c r="N681" s="5">
        <v>350000</v>
      </c>
      <c r="O681" s="5">
        <v>0</v>
      </c>
      <c r="P681" s="5">
        <v>0</v>
      </c>
      <c r="Q681" s="3" t="s">
        <v>34</v>
      </c>
      <c r="R681" s="3" t="s">
        <v>34</v>
      </c>
      <c r="S681" s="3" t="s">
        <v>34</v>
      </c>
      <c r="T681" s="3" t="s">
        <v>41</v>
      </c>
      <c r="U681" s="3" t="s">
        <v>34</v>
      </c>
      <c r="V681" s="3" t="s">
        <v>35</v>
      </c>
      <c r="W681" s="3" t="s">
        <v>2973</v>
      </c>
      <c r="X681" s="3"/>
      <c r="Y681" s="5">
        <v>350000</v>
      </c>
      <c r="Z681" s="5">
        <v>1</v>
      </c>
    </row>
    <row r="682" spans="1:26" ht="15.75" customHeight="1" x14ac:dyDescent="0.35">
      <c r="A682" s="2"/>
      <c r="B682" s="3" t="s">
        <v>2507</v>
      </c>
      <c r="C682" s="3" t="s">
        <v>64</v>
      </c>
      <c r="D682" s="3" t="s">
        <v>99</v>
      </c>
      <c r="E682" s="3" t="s">
        <v>2974</v>
      </c>
      <c r="F682" s="4" t="s">
        <v>2975</v>
      </c>
      <c r="G682" s="4" t="s">
        <v>2976</v>
      </c>
      <c r="H682" s="5">
        <v>350000</v>
      </c>
      <c r="I682" s="5">
        <v>0</v>
      </c>
      <c r="J682" s="5">
        <v>350000</v>
      </c>
      <c r="K682" s="5">
        <v>0</v>
      </c>
      <c r="L682" s="5">
        <v>350000</v>
      </c>
      <c r="M682" s="5">
        <v>0</v>
      </c>
      <c r="N682" s="5">
        <v>0</v>
      </c>
      <c r="O682" s="5">
        <v>0</v>
      </c>
      <c r="P682" s="5">
        <v>0</v>
      </c>
      <c r="Q682" s="3" t="s">
        <v>2977</v>
      </c>
      <c r="R682" s="3"/>
      <c r="S682" s="3"/>
      <c r="T682" s="3" t="s">
        <v>41</v>
      </c>
      <c r="U682" s="3" t="s">
        <v>34</v>
      </c>
      <c r="V682" s="3" t="s">
        <v>35</v>
      </c>
      <c r="W682" s="3" t="s">
        <v>2978</v>
      </c>
      <c r="X682" s="3"/>
      <c r="Y682" s="5">
        <v>350000</v>
      </c>
      <c r="Z682" s="5">
        <v>1</v>
      </c>
    </row>
    <row r="683" spans="1:26" ht="15.75" customHeight="1" x14ac:dyDescent="0.35">
      <c r="A683" s="2"/>
      <c r="B683" s="3" t="s">
        <v>2559</v>
      </c>
      <c r="C683" s="3" t="s">
        <v>64</v>
      </c>
      <c r="D683" s="3" t="s">
        <v>83</v>
      </c>
      <c r="E683" s="3" t="s">
        <v>2979</v>
      </c>
      <c r="F683" s="4" t="s">
        <v>2980</v>
      </c>
      <c r="G683" s="4" t="s">
        <v>2981</v>
      </c>
      <c r="H683" s="5">
        <v>494000</v>
      </c>
      <c r="I683" s="5">
        <v>0</v>
      </c>
      <c r="J683" s="5">
        <v>494000</v>
      </c>
      <c r="K683" s="5">
        <v>0</v>
      </c>
      <c r="L683" s="5">
        <v>0</v>
      </c>
      <c r="M683" s="5">
        <v>0</v>
      </c>
      <c r="N683" s="5">
        <v>494000</v>
      </c>
      <c r="O683" s="5">
        <v>0</v>
      </c>
      <c r="P683" s="5">
        <v>0</v>
      </c>
      <c r="Q683" s="3" t="s">
        <v>2982</v>
      </c>
      <c r="R683" s="3" t="s">
        <v>34</v>
      </c>
      <c r="S683" s="3" t="s">
        <v>34</v>
      </c>
      <c r="T683" s="3" t="s">
        <v>41</v>
      </c>
      <c r="U683" s="3" t="s">
        <v>34</v>
      </c>
      <c r="V683" s="3" t="s">
        <v>35</v>
      </c>
      <c r="W683" s="3" t="s">
        <v>2983</v>
      </c>
      <c r="X683" s="3"/>
      <c r="Y683" s="5">
        <v>494000</v>
      </c>
      <c r="Z683" s="5">
        <v>1</v>
      </c>
    </row>
    <row r="684" spans="1:26" ht="15.75" customHeight="1" x14ac:dyDescent="0.35">
      <c r="A684" s="2"/>
      <c r="B684" s="3" t="s">
        <v>2541</v>
      </c>
      <c r="C684" s="3" t="s">
        <v>29</v>
      </c>
      <c r="D684" s="3" t="s">
        <v>413</v>
      </c>
      <c r="E684" s="3" t="s">
        <v>2984</v>
      </c>
      <c r="F684" s="4" t="s">
        <v>2985</v>
      </c>
      <c r="G684" s="4" t="s">
        <v>2986</v>
      </c>
      <c r="H684" s="5">
        <v>719000</v>
      </c>
      <c r="I684" s="5">
        <v>0</v>
      </c>
      <c r="J684" s="5">
        <v>719000</v>
      </c>
      <c r="K684" s="5">
        <v>0</v>
      </c>
      <c r="L684" s="5">
        <v>0</v>
      </c>
      <c r="M684" s="5">
        <v>0</v>
      </c>
      <c r="N684" s="5">
        <v>719000</v>
      </c>
      <c r="O684" s="5">
        <v>0</v>
      </c>
      <c r="P684" s="5">
        <v>0</v>
      </c>
      <c r="Q684" s="3" t="s">
        <v>34</v>
      </c>
      <c r="R684" s="3" t="s">
        <v>34</v>
      </c>
      <c r="S684" s="3" t="s">
        <v>34</v>
      </c>
      <c r="T684" s="3" t="s">
        <v>41</v>
      </c>
      <c r="U684" s="3" t="s">
        <v>34</v>
      </c>
      <c r="V684" s="3" t="s">
        <v>35</v>
      </c>
      <c r="W684" s="3" t="s">
        <v>2987</v>
      </c>
      <c r="X684" s="3"/>
      <c r="Y684" s="5">
        <v>719000</v>
      </c>
      <c r="Z684" s="5">
        <v>1</v>
      </c>
    </row>
    <row r="685" spans="1:26" ht="15.75" customHeight="1" x14ac:dyDescent="0.35">
      <c r="A685" s="2"/>
      <c r="B685" s="3" t="s">
        <v>2541</v>
      </c>
      <c r="C685" s="3" t="s">
        <v>59</v>
      </c>
      <c r="D685" s="3" t="s">
        <v>182</v>
      </c>
      <c r="E685" s="3" t="s">
        <v>2988</v>
      </c>
      <c r="F685" s="4" t="s">
        <v>2989</v>
      </c>
      <c r="G685" s="4" t="s">
        <v>2990</v>
      </c>
      <c r="H685" s="5">
        <v>584000</v>
      </c>
      <c r="I685" s="5">
        <v>0</v>
      </c>
      <c r="J685" s="5">
        <v>584000</v>
      </c>
      <c r="K685" s="5">
        <v>0</v>
      </c>
      <c r="L685" s="5">
        <v>0</v>
      </c>
      <c r="M685" s="5">
        <v>0</v>
      </c>
      <c r="N685" s="5">
        <v>584000</v>
      </c>
      <c r="O685" s="5">
        <v>0</v>
      </c>
      <c r="P685" s="5">
        <v>0</v>
      </c>
      <c r="Q685" s="3" t="s">
        <v>2991</v>
      </c>
      <c r="R685" s="3" t="s">
        <v>34</v>
      </c>
      <c r="S685" s="3" t="s">
        <v>34</v>
      </c>
      <c r="T685" s="3" t="s">
        <v>41</v>
      </c>
      <c r="U685" s="3" t="s">
        <v>34</v>
      </c>
      <c r="V685" s="3" t="s">
        <v>35</v>
      </c>
      <c r="W685" s="3" t="s">
        <v>2992</v>
      </c>
      <c r="X685" s="3"/>
      <c r="Y685" s="5">
        <v>584000</v>
      </c>
      <c r="Z685" s="5">
        <v>1</v>
      </c>
    </row>
    <row r="686" spans="1:26" ht="15.75" customHeight="1" x14ac:dyDescent="0.35">
      <c r="A686" s="2"/>
      <c r="B686" s="3" t="s">
        <v>2474</v>
      </c>
      <c r="C686" s="3" t="s">
        <v>59</v>
      </c>
      <c r="D686" s="3" t="s">
        <v>122</v>
      </c>
      <c r="E686" s="3" t="s">
        <v>2993</v>
      </c>
      <c r="F686" s="4" t="s">
        <v>2994</v>
      </c>
      <c r="G686" s="4" t="s">
        <v>2995</v>
      </c>
      <c r="H686" s="5">
        <v>600000</v>
      </c>
      <c r="I686" s="5">
        <v>0</v>
      </c>
      <c r="J686" s="5">
        <v>600000</v>
      </c>
      <c r="K686" s="5">
        <v>0</v>
      </c>
      <c r="L686" s="5">
        <v>600000</v>
      </c>
      <c r="M686" s="5">
        <v>0</v>
      </c>
      <c r="N686" s="5">
        <v>0</v>
      </c>
      <c r="O686" s="5">
        <v>0</v>
      </c>
      <c r="P686" s="5">
        <v>0</v>
      </c>
      <c r="Q686" s="3" t="s">
        <v>2996</v>
      </c>
      <c r="R686" s="3" t="s">
        <v>34</v>
      </c>
      <c r="S686" s="3" t="s">
        <v>34</v>
      </c>
      <c r="T686" s="3" t="s">
        <v>41</v>
      </c>
      <c r="U686" s="3" t="s">
        <v>34</v>
      </c>
      <c r="V686" s="3" t="s">
        <v>35</v>
      </c>
      <c r="W686" s="3" t="s">
        <v>2997</v>
      </c>
      <c r="X686" s="3"/>
      <c r="Y686" s="5">
        <v>600000</v>
      </c>
      <c r="Z686" s="5">
        <v>1</v>
      </c>
    </row>
    <row r="687" spans="1:26" ht="15.75" customHeight="1" x14ac:dyDescent="0.35">
      <c r="A687" s="2"/>
      <c r="B687" s="3" t="s">
        <v>2572</v>
      </c>
      <c r="C687" s="3" t="s">
        <v>64</v>
      </c>
      <c r="D687" s="3" t="s">
        <v>173</v>
      </c>
      <c r="E687" s="3" t="s">
        <v>2998</v>
      </c>
      <c r="F687" s="4" t="s">
        <v>2999</v>
      </c>
      <c r="G687" s="4" t="s">
        <v>3000</v>
      </c>
      <c r="H687" s="5">
        <v>500000</v>
      </c>
      <c r="I687" s="5">
        <v>0</v>
      </c>
      <c r="J687" s="5">
        <v>500000</v>
      </c>
      <c r="K687" s="5">
        <v>0</v>
      </c>
      <c r="L687" s="5">
        <v>500000</v>
      </c>
      <c r="M687" s="5">
        <v>0</v>
      </c>
      <c r="N687" s="5">
        <v>0</v>
      </c>
      <c r="O687" s="5">
        <v>0</v>
      </c>
      <c r="P687" s="5">
        <v>0</v>
      </c>
      <c r="Q687" s="3" t="s">
        <v>3001</v>
      </c>
      <c r="R687" s="3" t="s">
        <v>34</v>
      </c>
      <c r="S687" s="3" t="s">
        <v>34</v>
      </c>
      <c r="T687" s="3" t="s">
        <v>41</v>
      </c>
      <c r="U687" s="3" t="s">
        <v>34</v>
      </c>
      <c r="V687" s="3" t="s">
        <v>35</v>
      </c>
      <c r="W687" s="3" t="s">
        <v>3002</v>
      </c>
      <c r="X687" s="3"/>
      <c r="Y687" s="5">
        <v>500000</v>
      </c>
      <c r="Z687" s="5">
        <v>1</v>
      </c>
    </row>
    <row r="688" spans="1:26" ht="15.75" customHeight="1" x14ac:dyDescent="0.35">
      <c r="A688" s="2"/>
      <c r="B688" s="3" t="s">
        <v>2600</v>
      </c>
      <c r="C688" s="3" t="s">
        <v>64</v>
      </c>
      <c r="D688" s="3" t="s">
        <v>99</v>
      </c>
      <c r="E688" s="3" t="s">
        <v>3003</v>
      </c>
      <c r="F688" s="4" t="s">
        <v>3004</v>
      </c>
      <c r="G688" s="4" t="s">
        <v>3005</v>
      </c>
      <c r="H688" s="5">
        <v>542376</v>
      </c>
      <c r="I688" s="5">
        <v>0</v>
      </c>
      <c r="J688" s="5">
        <v>542376</v>
      </c>
      <c r="K688" s="5">
        <v>0</v>
      </c>
      <c r="L688" s="5">
        <v>542376</v>
      </c>
      <c r="M688" s="5">
        <v>0</v>
      </c>
      <c r="N688" s="5">
        <v>0</v>
      </c>
      <c r="O688" s="5">
        <v>0</v>
      </c>
      <c r="P688" s="5">
        <v>0</v>
      </c>
      <c r="Q688" s="3" t="s">
        <v>2523</v>
      </c>
      <c r="R688" s="3" t="s">
        <v>3006</v>
      </c>
      <c r="S688" s="3" t="s">
        <v>34</v>
      </c>
      <c r="T688" s="3" t="s">
        <v>48</v>
      </c>
      <c r="U688" s="3" t="s">
        <v>34</v>
      </c>
      <c r="V688" s="3" t="s">
        <v>35</v>
      </c>
      <c r="W688" s="3" t="s">
        <v>3007</v>
      </c>
      <c r="X688" s="3" t="s">
        <v>3008</v>
      </c>
      <c r="Y688" s="5">
        <v>542376</v>
      </c>
      <c r="Z688" s="5">
        <v>1</v>
      </c>
    </row>
    <row r="689" spans="1:26" ht="15.75" customHeight="1" x14ac:dyDescent="0.35">
      <c r="A689" s="2"/>
      <c r="B689" s="3" t="s">
        <v>2575</v>
      </c>
      <c r="C689" s="3" t="s">
        <v>64</v>
      </c>
      <c r="D689" s="3" t="s">
        <v>89</v>
      </c>
      <c r="E689" s="3" t="s">
        <v>2246</v>
      </c>
      <c r="F689" s="4" t="s">
        <v>3009</v>
      </c>
      <c r="G689" s="4" t="s">
        <v>3010</v>
      </c>
      <c r="H689" s="5">
        <v>350000</v>
      </c>
      <c r="I689" s="5">
        <v>0</v>
      </c>
      <c r="J689" s="5">
        <v>350000</v>
      </c>
      <c r="K689" s="5">
        <v>0</v>
      </c>
      <c r="L689" s="5">
        <v>350000</v>
      </c>
      <c r="M689" s="5">
        <v>0</v>
      </c>
      <c r="N689" s="5">
        <v>0</v>
      </c>
      <c r="O689" s="5">
        <v>0</v>
      </c>
      <c r="P689" s="5">
        <v>0</v>
      </c>
      <c r="Q689" s="3" t="s">
        <v>34</v>
      </c>
      <c r="R689" s="3" t="s">
        <v>34</v>
      </c>
      <c r="S689" s="3" t="s">
        <v>2249</v>
      </c>
      <c r="T689" s="3" t="s">
        <v>34</v>
      </c>
      <c r="U689" s="3" t="s">
        <v>34</v>
      </c>
      <c r="V689" s="3" t="s">
        <v>35</v>
      </c>
      <c r="W689" s="3" t="s">
        <v>3011</v>
      </c>
      <c r="X689" s="3"/>
      <c r="Y689" s="5">
        <v>350000</v>
      </c>
      <c r="Z689" s="5">
        <v>1</v>
      </c>
    </row>
    <row r="690" spans="1:26" ht="15.75" customHeight="1" x14ac:dyDescent="0.35">
      <c r="A690" s="2"/>
      <c r="B690" s="3" t="s">
        <v>3012</v>
      </c>
      <c r="C690" s="3" t="s">
        <v>71</v>
      </c>
      <c r="D690" s="3" t="s">
        <v>95</v>
      </c>
      <c r="E690" s="3" t="s">
        <v>3013</v>
      </c>
      <c r="F690" s="4" t="s">
        <v>3014</v>
      </c>
      <c r="G690" s="4" t="s">
        <v>3015</v>
      </c>
      <c r="H690" s="5">
        <v>608828</v>
      </c>
      <c r="I690" s="5">
        <v>0</v>
      </c>
      <c r="J690" s="5">
        <v>608828</v>
      </c>
      <c r="K690" s="5">
        <v>0</v>
      </c>
      <c r="L690" s="5">
        <v>608828</v>
      </c>
      <c r="M690" s="5">
        <v>0</v>
      </c>
      <c r="N690" s="5">
        <v>0</v>
      </c>
      <c r="O690" s="5">
        <v>0</v>
      </c>
      <c r="P690" s="5">
        <v>0</v>
      </c>
      <c r="Q690" s="3" t="s">
        <v>3016</v>
      </c>
      <c r="R690" s="3" t="s">
        <v>3017</v>
      </c>
      <c r="S690" s="3" t="s">
        <v>34</v>
      </c>
      <c r="T690" s="3" t="s">
        <v>48</v>
      </c>
      <c r="U690" s="3" t="s">
        <v>34</v>
      </c>
      <c r="V690" s="3" t="s">
        <v>35</v>
      </c>
      <c r="W690" s="3" t="s">
        <v>3018</v>
      </c>
      <c r="X690" s="3" t="s">
        <v>3019</v>
      </c>
      <c r="Y690" s="5">
        <v>608828</v>
      </c>
      <c r="Z690" s="5">
        <v>1</v>
      </c>
    </row>
    <row r="691" spans="1:26" ht="15.75" customHeight="1" x14ac:dyDescent="0.35">
      <c r="A691" s="2"/>
      <c r="B691" s="3" t="s">
        <v>2644</v>
      </c>
      <c r="C691" s="3" t="s">
        <v>64</v>
      </c>
      <c r="D691" s="3" t="s">
        <v>89</v>
      </c>
      <c r="E691" s="3" t="s">
        <v>3020</v>
      </c>
      <c r="F691" s="4" t="s">
        <v>3021</v>
      </c>
      <c r="G691" s="4" t="s">
        <v>3022</v>
      </c>
      <c r="H691" s="5">
        <v>494000</v>
      </c>
      <c r="I691" s="5">
        <v>0</v>
      </c>
      <c r="J691" s="5">
        <v>494000</v>
      </c>
      <c r="K691" s="5">
        <v>0</v>
      </c>
      <c r="L691" s="5">
        <v>0</v>
      </c>
      <c r="M691" s="5">
        <v>0</v>
      </c>
      <c r="N691" s="5">
        <v>494000</v>
      </c>
      <c r="O691" s="5">
        <v>0</v>
      </c>
      <c r="P691" s="5">
        <v>0</v>
      </c>
      <c r="Q691" s="3" t="s">
        <v>3023</v>
      </c>
      <c r="R691" s="3" t="s">
        <v>34</v>
      </c>
      <c r="S691" s="3" t="s">
        <v>34</v>
      </c>
      <c r="T691" s="3" t="s">
        <v>34</v>
      </c>
      <c r="U691" s="3" t="s">
        <v>34</v>
      </c>
      <c r="V691" s="3" t="s">
        <v>35</v>
      </c>
      <c r="W691" s="3" t="s">
        <v>3024</v>
      </c>
      <c r="X691" s="3"/>
      <c r="Y691" s="5">
        <v>494000</v>
      </c>
      <c r="Z691" s="5">
        <v>1</v>
      </c>
    </row>
    <row r="692" spans="1:26" ht="15.75" customHeight="1" x14ac:dyDescent="0.35">
      <c r="A692" s="2"/>
      <c r="B692" s="3" t="s">
        <v>3025</v>
      </c>
      <c r="C692" s="3" t="s">
        <v>64</v>
      </c>
      <c r="D692" s="3" t="s">
        <v>173</v>
      </c>
      <c r="E692" s="3" t="s">
        <v>3026</v>
      </c>
      <c r="F692" s="4" t="s">
        <v>3027</v>
      </c>
      <c r="G692" s="4" t="s">
        <v>3028</v>
      </c>
      <c r="H692" s="5">
        <v>712080</v>
      </c>
      <c r="I692" s="5">
        <v>0</v>
      </c>
      <c r="J692" s="5">
        <v>712080</v>
      </c>
      <c r="K692" s="5">
        <v>0</v>
      </c>
      <c r="L692" s="5">
        <v>0</v>
      </c>
      <c r="M692" s="5">
        <v>0</v>
      </c>
      <c r="N692" s="5">
        <v>712080</v>
      </c>
      <c r="O692" s="5">
        <v>0</v>
      </c>
      <c r="P692" s="5">
        <v>0</v>
      </c>
      <c r="Q692" s="3" t="s">
        <v>2642</v>
      </c>
      <c r="R692" s="3" t="s">
        <v>3029</v>
      </c>
      <c r="S692" s="3" t="s">
        <v>34</v>
      </c>
      <c r="T692" s="3" t="s">
        <v>48</v>
      </c>
      <c r="U692" s="3" t="s">
        <v>34</v>
      </c>
      <c r="V692" s="3" t="s">
        <v>35</v>
      </c>
      <c r="W692" s="3" t="s">
        <v>3030</v>
      </c>
      <c r="X692" s="3" t="s">
        <v>3031</v>
      </c>
      <c r="Y692" s="5">
        <v>712080</v>
      </c>
      <c r="Z692" s="5">
        <v>1</v>
      </c>
    </row>
    <row r="693" spans="1:26" ht="15.75" customHeight="1" x14ac:dyDescent="0.35">
      <c r="A693" s="2"/>
      <c r="B693" s="3" t="s">
        <v>2517</v>
      </c>
      <c r="C693" s="3" t="s">
        <v>59</v>
      </c>
      <c r="D693" s="3" t="s">
        <v>60</v>
      </c>
      <c r="E693" s="3" t="s">
        <v>3032</v>
      </c>
      <c r="F693" s="4" t="s">
        <v>3033</v>
      </c>
      <c r="G693" s="4" t="s">
        <v>3028</v>
      </c>
      <c r="H693" s="5">
        <v>712080</v>
      </c>
      <c r="I693" s="5">
        <v>0</v>
      </c>
      <c r="J693" s="5">
        <v>712080</v>
      </c>
      <c r="K693" s="5">
        <v>0</v>
      </c>
      <c r="L693" s="5">
        <v>0</v>
      </c>
      <c r="M693" s="5">
        <v>0</v>
      </c>
      <c r="N693" s="5">
        <v>0</v>
      </c>
      <c r="O693" s="5">
        <v>712080</v>
      </c>
      <c r="P693" s="5">
        <v>0</v>
      </c>
      <c r="Q693" s="3" t="s">
        <v>3034</v>
      </c>
      <c r="R693" s="3" t="s">
        <v>3035</v>
      </c>
      <c r="S693" s="3" t="s">
        <v>34</v>
      </c>
      <c r="T693" s="3" t="s">
        <v>48</v>
      </c>
      <c r="U693" s="3" t="s">
        <v>34</v>
      </c>
      <c r="V693" s="3" t="s">
        <v>35</v>
      </c>
      <c r="W693" s="3" t="s">
        <v>3036</v>
      </c>
      <c r="X693" s="3" t="s">
        <v>3037</v>
      </c>
      <c r="Y693" s="5">
        <v>712080</v>
      </c>
      <c r="Z693" s="5">
        <v>1</v>
      </c>
    </row>
    <row r="694" spans="1:26" ht="15.75" customHeight="1" x14ac:dyDescent="0.35">
      <c r="A694" s="2"/>
      <c r="B694" s="3" t="s">
        <v>2517</v>
      </c>
      <c r="C694" s="3" t="s">
        <v>59</v>
      </c>
      <c r="D694" s="3" t="s">
        <v>182</v>
      </c>
      <c r="E694" s="3" t="s">
        <v>3038</v>
      </c>
      <c r="F694" s="4" t="s">
        <v>3033</v>
      </c>
      <c r="G694" s="4" t="s">
        <v>3028</v>
      </c>
      <c r="H694" s="5">
        <v>712080</v>
      </c>
      <c r="I694" s="5">
        <v>0</v>
      </c>
      <c r="J694" s="5">
        <v>712080</v>
      </c>
      <c r="K694" s="5">
        <v>0</v>
      </c>
      <c r="L694" s="5">
        <v>0</v>
      </c>
      <c r="M694" s="5">
        <v>0</v>
      </c>
      <c r="N694" s="5">
        <v>0</v>
      </c>
      <c r="O694" s="5">
        <v>712080</v>
      </c>
      <c r="P694" s="5">
        <v>0</v>
      </c>
      <c r="Q694" s="3"/>
      <c r="R694" s="3"/>
      <c r="S694" s="3"/>
      <c r="T694" s="3" t="s">
        <v>48</v>
      </c>
      <c r="U694" s="3" t="s">
        <v>34</v>
      </c>
      <c r="V694" s="3" t="s">
        <v>35</v>
      </c>
      <c r="W694" s="3" t="s">
        <v>3039</v>
      </c>
      <c r="X694" s="3" t="s">
        <v>3037</v>
      </c>
      <c r="Y694" s="5">
        <v>712080</v>
      </c>
      <c r="Z694" s="5">
        <v>1</v>
      </c>
    </row>
    <row r="695" spans="1:26" ht="15.75" customHeight="1" x14ac:dyDescent="0.35">
      <c r="A695" s="2"/>
      <c r="B695" s="3" t="s">
        <v>2546</v>
      </c>
      <c r="C695" s="3" t="s">
        <v>59</v>
      </c>
      <c r="D695" s="3" t="s">
        <v>122</v>
      </c>
      <c r="E695" s="3" t="s">
        <v>3040</v>
      </c>
      <c r="F695" s="4" t="s">
        <v>3041</v>
      </c>
      <c r="G695" s="4" t="s">
        <v>3028</v>
      </c>
      <c r="H695" s="5">
        <v>1082142</v>
      </c>
      <c r="I695" s="5">
        <v>56000</v>
      </c>
      <c r="J695" s="5">
        <v>1138142</v>
      </c>
      <c r="K695" s="5">
        <v>0</v>
      </c>
      <c r="L695" s="5">
        <v>0</v>
      </c>
      <c r="M695" s="5">
        <v>0</v>
      </c>
      <c r="N695" s="5">
        <v>0</v>
      </c>
      <c r="O695" s="5">
        <v>1138142</v>
      </c>
      <c r="P695" s="5">
        <v>0</v>
      </c>
      <c r="Q695" s="3" t="s">
        <v>3042</v>
      </c>
      <c r="R695" s="3" t="s">
        <v>3043</v>
      </c>
      <c r="S695" s="3" t="s">
        <v>34</v>
      </c>
      <c r="T695" s="3" t="s">
        <v>48</v>
      </c>
      <c r="U695" s="3" t="s">
        <v>34</v>
      </c>
      <c r="V695" s="3" t="s">
        <v>35</v>
      </c>
      <c r="W695" s="3" t="s">
        <v>3044</v>
      </c>
      <c r="X695" s="3" t="s">
        <v>3045</v>
      </c>
      <c r="Y695" s="5">
        <v>541071</v>
      </c>
      <c r="Z695" s="5">
        <v>2</v>
      </c>
    </row>
    <row r="696" spans="1:26" ht="15.75" customHeight="1" x14ac:dyDescent="0.35">
      <c r="A696" s="2"/>
      <c r="B696" s="3" t="s">
        <v>2609</v>
      </c>
      <c r="C696" s="3" t="s">
        <v>64</v>
      </c>
      <c r="D696" s="3" t="s">
        <v>83</v>
      </c>
      <c r="E696" s="3" t="s">
        <v>3046</v>
      </c>
      <c r="F696" s="4" t="s">
        <v>3047</v>
      </c>
      <c r="G696" s="4" t="s">
        <v>3028</v>
      </c>
      <c r="H696" s="5">
        <v>608828</v>
      </c>
      <c r="I696" s="5">
        <v>0</v>
      </c>
      <c r="J696" s="5">
        <v>608828</v>
      </c>
      <c r="K696" s="5">
        <v>0</v>
      </c>
      <c r="L696" s="5">
        <v>0</v>
      </c>
      <c r="M696" s="5">
        <v>0</v>
      </c>
      <c r="N696" s="5">
        <v>0</v>
      </c>
      <c r="O696" s="5">
        <v>608828</v>
      </c>
      <c r="P696" s="5">
        <v>0</v>
      </c>
      <c r="Q696" s="3" t="s">
        <v>3048</v>
      </c>
      <c r="R696" s="3" t="s">
        <v>3049</v>
      </c>
      <c r="S696" s="3" t="s">
        <v>34</v>
      </c>
      <c r="T696" s="3" t="s">
        <v>48</v>
      </c>
      <c r="U696" s="3" t="s">
        <v>34</v>
      </c>
      <c r="V696" s="3" t="s">
        <v>35</v>
      </c>
      <c r="W696" s="3" t="s">
        <v>3050</v>
      </c>
      <c r="X696" s="3" t="s">
        <v>3051</v>
      </c>
      <c r="Y696" s="5">
        <v>608828</v>
      </c>
      <c r="Z696" s="5">
        <v>1</v>
      </c>
    </row>
    <row r="697" spans="1:26" ht="15.75" customHeight="1" x14ac:dyDescent="0.35">
      <c r="A697" s="2"/>
      <c r="B697" s="3" t="s">
        <v>2590</v>
      </c>
      <c r="C697" s="3" t="s">
        <v>29</v>
      </c>
      <c r="D697" s="3" t="s">
        <v>37</v>
      </c>
      <c r="E697" s="3" t="s">
        <v>3052</v>
      </c>
      <c r="F697" s="4" t="s">
        <v>3053</v>
      </c>
      <c r="G697" s="4" t="s">
        <v>3028</v>
      </c>
      <c r="H697" s="5">
        <v>630000</v>
      </c>
      <c r="I697" s="5">
        <v>0</v>
      </c>
      <c r="J697" s="5">
        <v>630000</v>
      </c>
      <c r="K697" s="5">
        <v>0</v>
      </c>
      <c r="L697" s="5">
        <v>0</v>
      </c>
      <c r="M697" s="5">
        <v>0</v>
      </c>
      <c r="N697" s="5">
        <v>630000</v>
      </c>
      <c r="O697" s="5">
        <v>0</v>
      </c>
      <c r="P697" s="5">
        <v>0</v>
      </c>
      <c r="Q697" s="3"/>
      <c r="R697" s="3"/>
      <c r="S697" s="3"/>
      <c r="T697" s="3" t="s">
        <v>41</v>
      </c>
      <c r="U697" s="3" t="s">
        <v>34</v>
      </c>
      <c r="V697" s="3" t="s">
        <v>35</v>
      </c>
      <c r="W697" s="3" t="s">
        <v>3054</v>
      </c>
      <c r="X697" s="3"/>
      <c r="Y697" s="5">
        <v>630000</v>
      </c>
      <c r="Z697" s="5">
        <v>1</v>
      </c>
    </row>
    <row r="698" spans="1:26" ht="15.75" customHeight="1" x14ac:dyDescent="0.35">
      <c r="A698" s="2"/>
      <c r="B698" s="3" t="s">
        <v>2530</v>
      </c>
      <c r="C698" s="3" t="s">
        <v>64</v>
      </c>
      <c r="D698" s="3" t="s">
        <v>89</v>
      </c>
      <c r="E698" s="3" t="s">
        <v>3055</v>
      </c>
      <c r="F698" s="4" t="s">
        <v>3056</v>
      </c>
      <c r="G698" s="4" t="s">
        <v>3057</v>
      </c>
      <c r="H698" s="5">
        <v>584000</v>
      </c>
      <c r="I698" s="5">
        <v>0</v>
      </c>
      <c r="J698" s="5">
        <v>525600</v>
      </c>
      <c r="K698" s="5">
        <v>0</v>
      </c>
      <c r="L698" s="5">
        <v>0</v>
      </c>
      <c r="M698" s="5">
        <v>0</v>
      </c>
      <c r="N698" s="5">
        <v>525600</v>
      </c>
      <c r="O698" s="5">
        <v>0</v>
      </c>
      <c r="P698" s="5">
        <v>0</v>
      </c>
      <c r="Q698" s="3" t="s">
        <v>3058</v>
      </c>
      <c r="R698" s="3" t="s">
        <v>3059</v>
      </c>
      <c r="S698" s="3" t="s">
        <v>3060</v>
      </c>
      <c r="T698" s="3" t="s">
        <v>41</v>
      </c>
      <c r="U698" s="3" t="s">
        <v>34</v>
      </c>
      <c r="V698" s="3" t="s">
        <v>35</v>
      </c>
      <c r="W698" s="3" t="s">
        <v>3061</v>
      </c>
      <c r="X698" s="3" t="s">
        <v>3062</v>
      </c>
      <c r="Y698" s="5">
        <v>584000</v>
      </c>
      <c r="Z698" s="5">
        <v>1</v>
      </c>
    </row>
    <row r="699" spans="1:26" ht="15.75" customHeight="1" x14ac:dyDescent="0.35">
      <c r="A699" s="2"/>
      <c r="B699" s="3" t="s">
        <v>2568</v>
      </c>
      <c r="C699" s="3" t="s">
        <v>64</v>
      </c>
      <c r="D699" s="3" t="s">
        <v>65</v>
      </c>
      <c r="E699" s="3" t="s">
        <v>3063</v>
      </c>
      <c r="F699" s="4" t="s">
        <v>3064</v>
      </c>
      <c r="G699" s="4" t="s">
        <v>3057</v>
      </c>
      <c r="H699" s="5">
        <v>1160000</v>
      </c>
      <c r="I699" s="5">
        <v>0</v>
      </c>
      <c r="J699" s="5">
        <v>1160000</v>
      </c>
      <c r="K699" s="5">
        <v>0</v>
      </c>
      <c r="L699" s="5">
        <v>1160000</v>
      </c>
      <c r="M699" s="5">
        <v>0</v>
      </c>
      <c r="N699" s="5">
        <v>0</v>
      </c>
      <c r="O699" s="5">
        <v>0</v>
      </c>
      <c r="P699" s="5">
        <v>0</v>
      </c>
      <c r="Q699" s="3" t="s">
        <v>3065</v>
      </c>
      <c r="R699" s="3" t="s">
        <v>34</v>
      </c>
      <c r="S699" s="3" t="s">
        <v>34</v>
      </c>
      <c r="T699" s="3" t="s">
        <v>41</v>
      </c>
      <c r="U699" s="3" t="s">
        <v>34</v>
      </c>
      <c r="V699" s="3" t="s">
        <v>35</v>
      </c>
      <c r="W699" s="3" t="s">
        <v>3066</v>
      </c>
      <c r="X699" s="3"/>
      <c r="Y699" s="5">
        <v>580000</v>
      </c>
      <c r="Z699" s="5">
        <v>2</v>
      </c>
    </row>
    <row r="700" spans="1:26" ht="15.75" customHeight="1" x14ac:dyDescent="0.35">
      <c r="A700" s="2"/>
      <c r="B700" s="3" t="s">
        <v>2638</v>
      </c>
      <c r="C700" s="3" t="s">
        <v>29</v>
      </c>
      <c r="D700" s="3" t="s">
        <v>37</v>
      </c>
      <c r="E700" s="3" t="s">
        <v>3067</v>
      </c>
      <c r="F700" s="4" t="s">
        <v>3068</v>
      </c>
      <c r="G700" s="4" t="s">
        <v>3057</v>
      </c>
      <c r="H700" s="5">
        <v>1139760</v>
      </c>
      <c r="I700" s="5">
        <v>0</v>
      </c>
      <c r="J700" s="5">
        <v>1139760</v>
      </c>
      <c r="K700" s="5">
        <v>0</v>
      </c>
      <c r="L700" s="5">
        <v>0</v>
      </c>
      <c r="M700" s="5">
        <v>0</v>
      </c>
      <c r="N700" s="5">
        <v>1139760</v>
      </c>
      <c r="O700" s="5">
        <v>0</v>
      </c>
      <c r="P700" s="5">
        <v>0</v>
      </c>
      <c r="Q700" s="3" t="s">
        <v>3069</v>
      </c>
      <c r="R700" s="3" t="s">
        <v>3070</v>
      </c>
      <c r="S700" s="3" t="s">
        <v>34</v>
      </c>
      <c r="T700" s="3" t="s">
        <v>48</v>
      </c>
      <c r="U700" s="3" t="s">
        <v>34</v>
      </c>
      <c r="V700" s="3" t="s">
        <v>35</v>
      </c>
      <c r="W700" s="3" t="s">
        <v>3071</v>
      </c>
      <c r="X700" s="3" t="s">
        <v>3072</v>
      </c>
      <c r="Y700" s="5">
        <v>1139760</v>
      </c>
      <c r="Z700" s="5">
        <v>1</v>
      </c>
    </row>
    <row r="701" spans="1:26" ht="15.75" customHeight="1" x14ac:dyDescent="0.35">
      <c r="A701" s="2"/>
      <c r="B701" s="3" t="s">
        <v>2689</v>
      </c>
      <c r="C701" s="3" t="s">
        <v>64</v>
      </c>
      <c r="D701" s="3" t="s">
        <v>99</v>
      </c>
      <c r="E701" s="3" t="s">
        <v>3073</v>
      </c>
      <c r="F701" s="4" t="s">
        <v>3074</v>
      </c>
      <c r="G701" s="4" t="s">
        <v>3075</v>
      </c>
      <c r="H701" s="5">
        <v>1217656</v>
      </c>
      <c r="I701" s="5">
        <v>0</v>
      </c>
      <c r="J701" s="5">
        <v>1217656</v>
      </c>
      <c r="K701" s="5">
        <v>0</v>
      </c>
      <c r="L701" s="5">
        <v>1217656</v>
      </c>
      <c r="M701" s="5">
        <v>0</v>
      </c>
      <c r="N701" s="5">
        <v>0</v>
      </c>
      <c r="O701" s="5">
        <v>0</v>
      </c>
      <c r="P701" s="5">
        <v>0</v>
      </c>
      <c r="Q701" s="3" t="s">
        <v>3076</v>
      </c>
      <c r="R701" s="3" t="s">
        <v>3077</v>
      </c>
      <c r="S701" s="3" t="s">
        <v>34</v>
      </c>
      <c r="T701" s="3" t="s">
        <v>48</v>
      </c>
      <c r="U701" s="3" t="s">
        <v>34</v>
      </c>
      <c r="V701" s="3" t="s">
        <v>35</v>
      </c>
      <c r="W701" s="3" t="s">
        <v>3078</v>
      </c>
      <c r="X701" s="3" t="s">
        <v>3079</v>
      </c>
      <c r="Y701" s="5">
        <v>608828</v>
      </c>
      <c r="Z701" s="5">
        <v>2</v>
      </c>
    </row>
    <row r="702" spans="1:26" ht="15.75" customHeight="1" x14ac:dyDescent="0.35">
      <c r="A702" s="2"/>
      <c r="B702" s="3" t="s">
        <v>2621</v>
      </c>
      <c r="C702" s="3" t="s">
        <v>29</v>
      </c>
      <c r="D702" s="3" t="s">
        <v>30</v>
      </c>
      <c r="E702" s="3" t="s">
        <v>3080</v>
      </c>
      <c r="F702" s="4" t="s">
        <v>3068</v>
      </c>
      <c r="G702" s="4" t="s">
        <v>3081</v>
      </c>
      <c r="H702" s="5">
        <v>720000</v>
      </c>
      <c r="I702" s="5">
        <v>0</v>
      </c>
      <c r="J702" s="5">
        <v>720000</v>
      </c>
      <c r="K702" s="5">
        <v>0</v>
      </c>
      <c r="L702" s="5">
        <v>0</v>
      </c>
      <c r="M702" s="5">
        <v>0</v>
      </c>
      <c r="N702" s="5">
        <v>720000</v>
      </c>
      <c r="O702" s="5">
        <v>0</v>
      </c>
      <c r="P702" s="5">
        <v>0</v>
      </c>
      <c r="Q702" s="3" t="s">
        <v>34</v>
      </c>
      <c r="R702" s="3" t="s">
        <v>34</v>
      </c>
      <c r="S702" s="3" t="s">
        <v>34</v>
      </c>
      <c r="T702" s="3" t="s">
        <v>41</v>
      </c>
      <c r="U702" s="3" t="s">
        <v>34</v>
      </c>
      <c r="V702" s="3" t="s">
        <v>35</v>
      </c>
      <c r="W702" s="3" t="s">
        <v>3082</v>
      </c>
      <c r="X702" s="3"/>
      <c r="Y702" s="5">
        <v>720000</v>
      </c>
      <c r="Z702" s="5">
        <v>1</v>
      </c>
    </row>
    <row r="703" spans="1:26" ht="15.75" customHeight="1" x14ac:dyDescent="0.35">
      <c r="A703" s="2"/>
      <c r="B703" s="3" t="s">
        <v>2711</v>
      </c>
      <c r="C703" s="3" t="s">
        <v>29</v>
      </c>
      <c r="D703" s="3" t="s">
        <v>110</v>
      </c>
      <c r="E703" s="3" t="s">
        <v>3083</v>
      </c>
      <c r="F703" s="4" t="s">
        <v>3084</v>
      </c>
      <c r="G703" s="4" t="s">
        <v>3085</v>
      </c>
      <c r="H703" s="5">
        <v>1600000</v>
      </c>
      <c r="I703" s="5">
        <v>0</v>
      </c>
      <c r="J703" s="5">
        <v>1600000</v>
      </c>
      <c r="K703" s="5">
        <v>0</v>
      </c>
      <c r="L703" s="5">
        <v>1600000</v>
      </c>
      <c r="M703" s="5">
        <v>0</v>
      </c>
      <c r="N703" s="5">
        <v>0</v>
      </c>
      <c r="O703" s="5">
        <v>0</v>
      </c>
      <c r="P703" s="5">
        <v>0</v>
      </c>
      <c r="Q703" s="3" t="s">
        <v>34</v>
      </c>
      <c r="R703" s="3" t="s">
        <v>34</v>
      </c>
      <c r="S703" s="3" t="s">
        <v>34</v>
      </c>
      <c r="T703" s="3" t="s">
        <v>41</v>
      </c>
      <c r="U703" s="3" t="s">
        <v>34</v>
      </c>
      <c r="V703" s="3" t="s">
        <v>35</v>
      </c>
      <c r="W703" s="3" t="s">
        <v>3086</v>
      </c>
      <c r="X703" s="3"/>
      <c r="Y703" s="5">
        <v>800000</v>
      </c>
      <c r="Z703" s="5">
        <v>2</v>
      </c>
    </row>
    <row r="704" spans="1:26" ht="15.75" customHeight="1" x14ac:dyDescent="0.35">
      <c r="A704" s="2"/>
      <c r="B704" s="3" t="s">
        <v>2627</v>
      </c>
      <c r="C704" s="3" t="s">
        <v>59</v>
      </c>
      <c r="D704" s="3" t="s">
        <v>193</v>
      </c>
      <c r="E704" s="3" t="s">
        <v>3087</v>
      </c>
      <c r="F704" s="4" t="s">
        <v>3088</v>
      </c>
      <c r="G704" s="4" t="s">
        <v>3085</v>
      </c>
      <c r="H704" s="5">
        <v>1168000</v>
      </c>
      <c r="I704" s="5">
        <v>0</v>
      </c>
      <c r="J704" s="5">
        <v>1168000</v>
      </c>
      <c r="K704" s="5">
        <v>0</v>
      </c>
      <c r="L704" s="5">
        <v>0</v>
      </c>
      <c r="M704" s="5">
        <v>0</v>
      </c>
      <c r="N704" s="5">
        <v>1168000</v>
      </c>
      <c r="O704" s="5">
        <v>0</v>
      </c>
      <c r="P704" s="5">
        <v>0</v>
      </c>
      <c r="Q704" s="3"/>
      <c r="R704" s="3"/>
      <c r="S704" s="3"/>
      <c r="T704" s="3" t="s">
        <v>41</v>
      </c>
      <c r="U704" s="3" t="s">
        <v>34</v>
      </c>
      <c r="V704" s="3" t="s">
        <v>35</v>
      </c>
      <c r="W704" s="3" t="s">
        <v>3089</v>
      </c>
      <c r="X704" s="3"/>
      <c r="Y704" s="5">
        <v>584000</v>
      </c>
      <c r="Z704" s="5">
        <v>2</v>
      </c>
    </row>
    <row r="705" spans="1:26" ht="15.75" customHeight="1" x14ac:dyDescent="0.35">
      <c r="A705" s="2"/>
      <c r="B705" s="3" t="s">
        <v>2586</v>
      </c>
      <c r="C705" s="3" t="s">
        <v>64</v>
      </c>
      <c r="D705" s="3" t="s">
        <v>83</v>
      </c>
      <c r="E705" s="3" t="s">
        <v>3090</v>
      </c>
      <c r="F705" s="4" t="s">
        <v>3091</v>
      </c>
      <c r="G705" s="4" t="s">
        <v>3085</v>
      </c>
      <c r="H705" s="5">
        <v>502357</v>
      </c>
      <c r="I705" s="5">
        <v>0</v>
      </c>
      <c r="J705" s="5">
        <v>502357</v>
      </c>
      <c r="K705" s="5">
        <v>0</v>
      </c>
      <c r="L705" s="5">
        <v>0</v>
      </c>
      <c r="M705" s="5">
        <v>0</v>
      </c>
      <c r="N705" s="5">
        <v>0</v>
      </c>
      <c r="O705" s="5">
        <v>502357</v>
      </c>
      <c r="P705" s="5">
        <v>0</v>
      </c>
      <c r="Q705" s="3" t="s">
        <v>243</v>
      </c>
      <c r="R705" s="3" t="s">
        <v>3092</v>
      </c>
      <c r="S705" s="3" t="s">
        <v>34</v>
      </c>
      <c r="T705" s="3" t="s">
        <v>48</v>
      </c>
      <c r="U705" s="3" t="s">
        <v>34</v>
      </c>
      <c r="V705" s="3" t="s">
        <v>35</v>
      </c>
      <c r="W705" s="3" t="s">
        <v>3093</v>
      </c>
      <c r="X705" s="3" t="s">
        <v>3094</v>
      </c>
      <c r="Y705" s="5">
        <v>502357</v>
      </c>
      <c r="Z705" s="5">
        <v>1</v>
      </c>
    </row>
    <row r="706" spans="1:26" ht="15.75" customHeight="1" x14ac:dyDescent="0.35">
      <c r="A706" s="2"/>
      <c r="B706" s="3" t="s">
        <v>3095</v>
      </c>
      <c r="C706" s="3" t="s">
        <v>59</v>
      </c>
      <c r="D706" s="3" t="s">
        <v>182</v>
      </c>
      <c r="E706" s="3" t="s">
        <v>3096</v>
      </c>
      <c r="F706" s="4" t="s">
        <v>3097</v>
      </c>
      <c r="G706" s="4" t="s">
        <v>3085</v>
      </c>
      <c r="H706" s="5">
        <v>606528</v>
      </c>
      <c r="I706" s="5">
        <v>0</v>
      </c>
      <c r="J706" s="5">
        <v>606528</v>
      </c>
      <c r="K706" s="5">
        <v>0</v>
      </c>
      <c r="L706" s="5">
        <v>0</v>
      </c>
      <c r="M706" s="5">
        <v>0</v>
      </c>
      <c r="N706" s="5">
        <v>0</v>
      </c>
      <c r="O706" s="5">
        <v>606528</v>
      </c>
      <c r="P706" s="5">
        <v>0</v>
      </c>
      <c r="Q706" s="3" t="s">
        <v>34</v>
      </c>
      <c r="R706" s="3" t="s">
        <v>34</v>
      </c>
      <c r="S706" s="3" t="s">
        <v>34</v>
      </c>
      <c r="T706" s="3" t="s">
        <v>48</v>
      </c>
      <c r="U706" s="3" t="s">
        <v>34</v>
      </c>
      <c r="V706" s="3" t="s">
        <v>35</v>
      </c>
      <c r="W706" s="3" t="s">
        <v>3098</v>
      </c>
      <c r="X706" s="3" t="s">
        <v>3099</v>
      </c>
      <c r="Y706" s="5">
        <v>606528</v>
      </c>
      <c r="Z706" s="5">
        <v>1</v>
      </c>
    </row>
    <row r="707" spans="1:26" ht="15.75" customHeight="1" x14ac:dyDescent="0.35">
      <c r="A707" s="2"/>
      <c r="B707" s="3" t="s">
        <v>2666</v>
      </c>
      <c r="C707" s="3" t="s">
        <v>71</v>
      </c>
      <c r="D707" s="3" t="s">
        <v>95</v>
      </c>
      <c r="E707" s="3" t="s">
        <v>3100</v>
      </c>
      <c r="F707" s="4" t="s">
        <v>3101</v>
      </c>
      <c r="G707" s="4" t="s">
        <v>3085</v>
      </c>
      <c r="H707" s="5">
        <v>659308</v>
      </c>
      <c r="I707" s="5">
        <v>0</v>
      </c>
      <c r="J707" s="5">
        <v>659308</v>
      </c>
      <c r="K707" s="5">
        <v>0</v>
      </c>
      <c r="L707" s="5">
        <v>0</v>
      </c>
      <c r="M707" s="5">
        <v>0</v>
      </c>
      <c r="N707" s="5">
        <v>0</v>
      </c>
      <c r="O707" s="5">
        <v>659308</v>
      </c>
      <c r="P707" s="5">
        <v>0</v>
      </c>
      <c r="Q707" s="3" t="s">
        <v>3102</v>
      </c>
      <c r="R707" s="3" t="s">
        <v>34</v>
      </c>
      <c r="S707" s="3" t="s">
        <v>34</v>
      </c>
      <c r="T707" s="3" t="s">
        <v>245</v>
      </c>
      <c r="U707" s="3" t="s">
        <v>34</v>
      </c>
      <c r="V707" s="3" t="s">
        <v>35</v>
      </c>
      <c r="W707" s="3" t="s">
        <v>3103</v>
      </c>
      <c r="X707" s="3"/>
      <c r="Y707" s="5">
        <v>659308</v>
      </c>
      <c r="Z707" s="5">
        <v>1</v>
      </c>
    </row>
    <row r="708" spans="1:26" ht="15.75" customHeight="1" x14ac:dyDescent="0.35">
      <c r="A708" s="2"/>
      <c r="B708" s="3" t="s">
        <v>2533</v>
      </c>
      <c r="C708" s="3" t="s">
        <v>71</v>
      </c>
      <c r="D708" s="3" t="s">
        <v>72</v>
      </c>
      <c r="E708" s="3" t="s">
        <v>3104</v>
      </c>
      <c r="F708" s="4" t="s">
        <v>3105</v>
      </c>
      <c r="G708" s="4" t="s">
        <v>3106</v>
      </c>
      <c r="H708" s="5">
        <v>1578528</v>
      </c>
      <c r="I708" s="5">
        <v>0</v>
      </c>
      <c r="J708" s="5">
        <v>1578528</v>
      </c>
      <c r="K708" s="5">
        <v>0</v>
      </c>
      <c r="L708" s="5">
        <v>1578528</v>
      </c>
      <c r="M708" s="5">
        <v>0</v>
      </c>
      <c r="N708" s="5">
        <v>0</v>
      </c>
      <c r="O708" s="5">
        <v>0</v>
      </c>
      <c r="P708" s="5">
        <v>0</v>
      </c>
      <c r="Q708" s="3" t="s">
        <v>3107</v>
      </c>
      <c r="R708" s="3" t="s">
        <v>3108</v>
      </c>
      <c r="S708" s="3" t="s">
        <v>34</v>
      </c>
      <c r="T708" s="3" t="s">
        <v>48</v>
      </c>
      <c r="U708" s="3" t="s">
        <v>34</v>
      </c>
      <c r="V708" s="3" t="s">
        <v>35</v>
      </c>
      <c r="W708" s="3" t="s">
        <v>3109</v>
      </c>
      <c r="X708" s="3" t="s">
        <v>3110</v>
      </c>
      <c r="Y708" s="5">
        <v>789264</v>
      </c>
      <c r="Z708" s="5">
        <v>2</v>
      </c>
    </row>
    <row r="709" spans="1:26" ht="15.75" customHeight="1" x14ac:dyDescent="0.35">
      <c r="A709" s="2"/>
      <c r="B709" s="3" t="s">
        <v>2579</v>
      </c>
      <c r="C709" s="3" t="s">
        <v>29</v>
      </c>
      <c r="D709" s="3" t="s">
        <v>413</v>
      </c>
      <c r="E709" s="3" t="s">
        <v>3111</v>
      </c>
      <c r="F709" s="4" t="s">
        <v>3112</v>
      </c>
      <c r="G709" s="4" t="s">
        <v>3113</v>
      </c>
      <c r="H709" s="5">
        <v>2037390</v>
      </c>
      <c r="I709" s="5">
        <v>0</v>
      </c>
      <c r="J709" s="5">
        <v>2037390</v>
      </c>
      <c r="K709" s="5">
        <v>0</v>
      </c>
      <c r="L709" s="5">
        <v>300000</v>
      </c>
      <c r="M709" s="5">
        <v>0</v>
      </c>
      <c r="N709" s="5">
        <v>1737390</v>
      </c>
      <c r="O709" s="5">
        <v>0</v>
      </c>
      <c r="P709" s="5">
        <v>0</v>
      </c>
      <c r="Q709" s="3" t="s">
        <v>3114</v>
      </c>
      <c r="R709" s="3" t="s">
        <v>34</v>
      </c>
      <c r="S709" s="3" t="s">
        <v>34</v>
      </c>
      <c r="T709" s="3" t="s">
        <v>41</v>
      </c>
      <c r="U709" s="3" t="s">
        <v>34</v>
      </c>
      <c r="V709" s="3" t="s">
        <v>35</v>
      </c>
      <c r="W709" s="3" t="s">
        <v>3115</v>
      </c>
      <c r="X709" s="3"/>
      <c r="Y709" s="5">
        <v>679130</v>
      </c>
      <c r="Z709" s="5">
        <v>3</v>
      </c>
    </row>
    <row r="710" spans="1:26" ht="15.75" customHeight="1" x14ac:dyDescent="0.35">
      <c r="A710" s="2"/>
      <c r="B710" s="3" t="s">
        <v>2553</v>
      </c>
      <c r="C710" s="3" t="s">
        <v>59</v>
      </c>
      <c r="D710" s="3" t="s">
        <v>122</v>
      </c>
      <c r="E710" s="3" t="s">
        <v>3116</v>
      </c>
      <c r="F710" s="4" t="s">
        <v>3117</v>
      </c>
      <c r="G710" s="4" t="s">
        <v>3118</v>
      </c>
      <c r="H710" s="5">
        <v>1183248</v>
      </c>
      <c r="I710" s="5">
        <v>0</v>
      </c>
      <c r="J710" s="5">
        <v>1183248</v>
      </c>
      <c r="K710" s="5">
        <v>0</v>
      </c>
      <c r="L710" s="5">
        <v>0</v>
      </c>
      <c r="M710" s="5">
        <v>0</v>
      </c>
      <c r="N710" s="5">
        <v>0</v>
      </c>
      <c r="O710" s="5">
        <v>1183248</v>
      </c>
      <c r="P710" s="5">
        <v>0</v>
      </c>
      <c r="Q710" s="3" t="s">
        <v>3119</v>
      </c>
      <c r="R710" s="3" t="s">
        <v>3120</v>
      </c>
      <c r="S710" s="3" t="s">
        <v>34</v>
      </c>
      <c r="T710" s="3" t="s">
        <v>48</v>
      </c>
      <c r="U710" s="3" t="s">
        <v>34</v>
      </c>
      <c r="V710" s="3" t="s">
        <v>35</v>
      </c>
      <c r="W710" s="3" t="s">
        <v>3121</v>
      </c>
      <c r="X710" s="3" t="s">
        <v>3122</v>
      </c>
      <c r="Y710" s="5">
        <v>591624</v>
      </c>
      <c r="Z710" s="5">
        <v>2</v>
      </c>
    </row>
    <row r="711" spans="1:26" ht="15.75" customHeight="1" x14ac:dyDescent="0.35">
      <c r="A711" s="2"/>
      <c r="B711" s="3" t="s">
        <v>2519</v>
      </c>
      <c r="C711" s="3" t="s">
        <v>64</v>
      </c>
      <c r="D711" s="3" t="s">
        <v>76</v>
      </c>
      <c r="E711" s="3" t="s">
        <v>3123</v>
      </c>
      <c r="F711" s="4" t="s">
        <v>3124</v>
      </c>
      <c r="G711" s="4" t="s">
        <v>3125</v>
      </c>
      <c r="H711" s="5">
        <v>2248170</v>
      </c>
      <c r="I711" s="5">
        <v>0</v>
      </c>
      <c r="J711" s="5">
        <v>2248170</v>
      </c>
      <c r="K711" s="5">
        <v>0</v>
      </c>
      <c r="L711" s="5">
        <v>0</v>
      </c>
      <c r="M711" s="5">
        <v>0</v>
      </c>
      <c r="N711" s="5">
        <v>0</v>
      </c>
      <c r="O711" s="5">
        <v>2248170</v>
      </c>
      <c r="P711" s="5">
        <v>0</v>
      </c>
      <c r="Q711" s="3" t="s">
        <v>2523</v>
      </c>
      <c r="R711" s="3" t="s">
        <v>3126</v>
      </c>
      <c r="S711" s="3" t="s">
        <v>34</v>
      </c>
      <c r="T711" s="3" t="s">
        <v>48</v>
      </c>
      <c r="U711" s="3" t="s">
        <v>34</v>
      </c>
      <c r="V711" s="3" t="s">
        <v>35</v>
      </c>
      <c r="W711" s="3" t="s">
        <v>3127</v>
      </c>
      <c r="X711" s="3" t="s">
        <v>3128</v>
      </c>
      <c r="Y711" s="5">
        <v>562042.5</v>
      </c>
      <c r="Z711" s="5">
        <v>4</v>
      </c>
    </row>
    <row r="712" spans="1:26" ht="15.75" customHeight="1" x14ac:dyDescent="0.35">
      <c r="A712" s="2"/>
      <c r="B712" s="3" t="s">
        <v>2648</v>
      </c>
      <c r="C712" s="3" t="s">
        <v>59</v>
      </c>
      <c r="D712" s="3" t="s">
        <v>60</v>
      </c>
      <c r="E712" s="3" t="s">
        <v>3129</v>
      </c>
      <c r="F712" s="4" t="s">
        <v>3068</v>
      </c>
      <c r="G712" s="4" t="s">
        <v>3130</v>
      </c>
      <c r="H712" s="5">
        <v>1132000</v>
      </c>
      <c r="I712" s="5">
        <v>0</v>
      </c>
      <c r="J712" s="5">
        <v>1132000</v>
      </c>
      <c r="K712" s="5">
        <v>0</v>
      </c>
      <c r="L712" s="5">
        <v>0</v>
      </c>
      <c r="M712" s="5">
        <v>0</v>
      </c>
      <c r="N712" s="5">
        <v>1132000</v>
      </c>
      <c r="O712" s="5">
        <v>0</v>
      </c>
      <c r="P712" s="5">
        <v>0</v>
      </c>
      <c r="Q712" s="3" t="s">
        <v>3131</v>
      </c>
      <c r="R712" s="3" t="s">
        <v>34</v>
      </c>
      <c r="S712" s="3" t="s">
        <v>34</v>
      </c>
      <c r="T712" s="3" t="s">
        <v>41</v>
      </c>
      <c r="U712" s="3" t="s">
        <v>34</v>
      </c>
      <c r="V712" s="3" t="s">
        <v>35</v>
      </c>
      <c r="W712" s="3" t="s">
        <v>3132</v>
      </c>
      <c r="X712" s="3"/>
      <c r="Y712" s="5">
        <v>566000</v>
      </c>
      <c r="Z712" s="5">
        <v>2</v>
      </c>
    </row>
    <row r="713" spans="1:26" ht="15.75" customHeight="1" x14ac:dyDescent="0.35">
      <c r="A713" s="2"/>
      <c r="B713" s="3" t="s">
        <v>2598</v>
      </c>
      <c r="C713" s="3" t="s">
        <v>29</v>
      </c>
      <c r="D713" s="3" t="s">
        <v>385</v>
      </c>
      <c r="E713" s="3" t="s">
        <v>3133</v>
      </c>
      <c r="F713" s="4" t="s">
        <v>3134</v>
      </c>
      <c r="G713" s="4" t="s">
        <v>3135</v>
      </c>
      <c r="H713" s="5">
        <v>1738845</v>
      </c>
      <c r="I713" s="5">
        <v>0</v>
      </c>
      <c r="J713" s="5">
        <v>1738845</v>
      </c>
      <c r="K713" s="5">
        <v>0</v>
      </c>
      <c r="L713" s="5">
        <v>0</v>
      </c>
      <c r="M713" s="5">
        <v>0</v>
      </c>
      <c r="N713" s="5">
        <v>0</v>
      </c>
      <c r="O713" s="5">
        <v>1738845</v>
      </c>
      <c r="P713" s="5">
        <v>0</v>
      </c>
      <c r="Q713" s="3" t="s">
        <v>3136</v>
      </c>
      <c r="R713" s="3" t="s">
        <v>34</v>
      </c>
      <c r="S713" s="3" t="s">
        <v>34</v>
      </c>
      <c r="T713" s="3" t="s">
        <v>48</v>
      </c>
      <c r="U713" s="3" t="s">
        <v>34</v>
      </c>
      <c r="V713" s="3" t="s">
        <v>35</v>
      </c>
      <c r="W713" s="3" t="s">
        <v>3137</v>
      </c>
      <c r="X713" s="3" t="s">
        <v>3138</v>
      </c>
      <c r="Y713" s="5">
        <v>579615</v>
      </c>
      <c r="Z713" s="5">
        <v>3</v>
      </c>
    </row>
    <row r="714" spans="1:26" ht="15.75" customHeight="1" x14ac:dyDescent="0.35">
      <c r="A714" s="2"/>
      <c r="B714" s="3" t="s">
        <v>1979</v>
      </c>
      <c r="C714" s="3" t="s">
        <v>29</v>
      </c>
      <c r="D714" s="3" t="s">
        <v>43</v>
      </c>
      <c r="E714" s="3" t="s">
        <v>3139</v>
      </c>
      <c r="F714" s="4" t="s">
        <v>3140</v>
      </c>
      <c r="G714" s="4" t="s">
        <v>3141</v>
      </c>
      <c r="H714" s="5">
        <v>3658066</v>
      </c>
      <c r="I714" s="5">
        <v>0</v>
      </c>
      <c r="J714" s="5">
        <v>3658066</v>
      </c>
      <c r="K714" s="5">
        <v>0</v>
      </c>
      <c r="L714" s="5">
        <v>0</v>
      </c>
      <c r="M714" s="5">
        <v>0</v>
      </c>
      <c r="N714" s="5">
        <v>0</v>
      </c>
      <c r="O714" s="5">
        <v>3658066</v>
      </c>
      <c r="P714" s="5">
        <v>0</v>
      </c>
      <c r="Q714" s="3" t="s">
        <v>2132</v>
      </c>
      <c r="R714" s="3" t="s">
        <v>3142</v>
      </c>
      <c r="S714" s="3" t="s">
        <v>34</v>
      </c>
      <c r="T714" s="3" t="s">
        <v>48</v>
      </c>
      <c r="U714" s="3" t="s">
        <v>34</v>
      </c>
      <c r="V714" s="3" t="s">
        <v>35</v>
      </c>
      <c r="W714" s="3" t="s">
        <v>2691</v>
      </c>
      <c r="X714" s="3" t="s">
        <v>3143</v>
      </c>
      <c r="Y714" s="5">
        <v>731613.2</v>
      </c>
      <c r="Z714" s="5">
        <v>5</v>
      </c>
    </row>
    <row r="715" spans="1:26" ht="15.75" customHeight="1" x14ac:dyDescent="0.35">
      <c r="A715" s="2"/>
      <c r="B715" s="3" t="s">
        <v>2704</v>
      </c>
      <c r="C715" s="3" t="s">
        <v>71</v>
      </c>
      <c r="D715" s="3" t="s">
        <v>95</v>
      </c>
      <c r="E715" s="3" t="s">
        <v>3144</v>
      </c>
      <c r="F715" s="4" t="s">
        <v>3145</v>
      </c>
      <c r="G715" s="4" t="s">
        <v>3146</v>
      </c>
      <c r="H715" s="5">
        <v>988000</v>
      </c>
      <c r="I715" s="5">
        <v>0</v>
      </c>
      <c r="J715" s="5">
        <v>988000</v>
      </c>
      <c r="K715" s="5">
        <v>0</v>
      </c>
      <c r="L715" s="5">
        <v>0</v>
      </c>
      <c r="M715" s="5">
        <v>0</v>
      </c>
      <c r="N715" s="5">
        <v>988000</v>
      </c>
      <c r="O715" s="5">
        <v>0</v>
      </c>
      <c r="P715" s="5">
        <v>0</v>
      </c>
      <c r="Q715" s="3"/>
      <c r="R715" s="3"/>
      <c r="S715" s="3"/>
      <c r="T715" s="3" t="s">
        <v>41</v>
      </c>
      <c r="U715" s="3" t="s">
        <v>34</v>
      </c>
      <c r="V715" s="3" t="s">
        <v>35</v>
      </c>
      <c r="W715" s="3" t="s">
        <v>3147</v>
      </c>
      <c r="X715" s="3"/>
      <c r="Y715" s="5">
        <v>494000</v>
      </c>
      <c r="Z715" s="5">
        <v>2</v>
      </c>
    </row>
    <row r="716" spans="1:26" ht="15.75" customHeight="1" x14ac:dyDescent="0.35">
      <c r="A716" s="2"/>
      <c r="B716" s="3" t="s">
        <v>2717</v>
      </c>
      <c r="C716" s="3" t="s">
        <v>29</v>
      </c>
      <c r="D716" s="3" t="s">
        <v>385</v>
      </c>
      <c r="E716" s="3" t="s">
        <v>3133</v>
      </c>
      <c r="F716" s="4" t="s">
        <v>3148</v>
      </c>
      <c r="G716" s="4" t="s">
        <v>3146</v>
      </c>
      <c r="H716" s="5">
        <v>650000</v>
      </c>
      <c r="I716" s="5">
        <v>0</v>
      </c>
      <c r="J716" s="5">
        <v>650000</v>
      </c>
      <c r="K716" s="5">
        <v>0</v>
      </c>
      <c r="L716" s="5">
        <v>650000</v>
      </c>
      <c r="M716" s="5">
        <v>0</v>
      </c>
      <c r="N716" s="5">
        <v>0</v>
      </c>
      <c r="O716" s="5">
        <v>0</v>
      </c>
      <c r="P716" s="5">
        <v>0</v>
      </c>
      <c r="Q716" s="3" t="s">
        <v>34</v>
      </c>
      <c r="R716" s="3" t="s">
        <v>34</v>
      </c>
      <c r="S716" s="3" t="s">
        <v>34</v>
      </c>
      <c r="T716" s="3" t="s">
        <v>41</v>
      </c>
      <c r="U716" s="3" t="s">
        <v>34</v>
      </c>
      <c r="V716" s="3" t="s">
        <v>35</v>
      </c>
      <c r="W716" s="3" t="s">
        <v>3149</v>
      </c>
      <c r="X716" s="3"/>
      <c r="Y716" s="5">
        <v>650000</v>
      </c>
      <c r="Z716" s="5">
        <v>1</v>
      </c>
    </row>
    <row r="717" spans="1:26" ht="15.75" customHeight="1" x14ac:dyDescent="0.35">
      <c r="A717" s="2"/>
      <c r="B717" s="3" t="s">
        <v>2792</v>
      </c>
      <c r="C717" s="3" t="s">
        <v>64</v>
      </c>
      <c r="D717" s="3" t="s">
        <v>173</v>
      </c>
      <c r="E717" s="3" t="s">
        <v>3150</v>
      </c>
      <c r="F717" s="4" t="s">
        <v>3151</v>
      </c>
      <c r="G717" s="4" t="s">
        <v>3152</v>
      </c>
      <c r="H717" s="5">
        <v>494000</v>
      </c>
      <c r="I717" s="5">
        <v>0</v>
      </c>
      <c r="J717" s="5">
        <v>494000</v>
      </c>
      <c r="K717" s="5">
        <v>0</v>
      </c>
      <c r="L717" s="5">
        <v>0</v>
      </c>
      <c r="M717" s="5">
        <v>0</v>
      </c>
      <c r="N717" s="5">
        <v>494000</v>
      </c>
      <c r="O717" s="5">
        <v>0</v>
      </c>
      <c r="P717" s="5">
        <v>0</v>
      </c>
      <c r="Q717" s="3" t="s">
        <v>34</v>
      </c>
      <c r="R717" s="3" t="s">
        <v>34</v>
      </c>
      <c r="S717" s="3" t="s">
        <v>3153</v>
      </c>
      <c r="T717" s="3" t="s">
        <v>41</v>
      </c>
      <c r="U717" s="3" t="s">
        <v>34</v>
      </c>
      <c r="V717" s="3" t="s">
        <v>35</v>
      </c>
      <c r="W717" s="3" t="s">
        <v>3154</v>
      </c>
      <c r="X717" s="3"/>
      <c r="Y717" s="5">
        <v>494000</v>
      </c>
      <c r="Z717" s="5">
        <v>1</v>
      </c>
    </row>
    <row r="718" spans="1:26" ht="15.75" customHeight="1" x14ac:dyDescent="0.35">
      <c r="A718" s="2"/>
      <c r="B718" s="3" t="s">
        <v>2760</v>
      </c>
      <c r="C718" s="3" t="s">
        <v>64</v>
      </c>
      <c r="D718" s="3" t="s">
        <v>83</v>
      </c>
      <c r="E718" s="3" t="s">
        <v>3155</v>
      </c>
      <c r="F718" s="4" t="s">
        <v>3156</v>
      </c>
      <c r="G718" s="4" t="s">
        <v>3152</v>
      </c>
      <c r="H718" s="5">
        <v>494000</v>
      </c>
      <c r="I718" s="5">
        <v>0</v>
      </c>
      <c r="J718" s="5">
        <v>494000</v>
      </c>
      <c r="K718" s="5">
        <v>0</v>
      </c>
      <c r="L718" s="5">
        <v>0</v>
      </c>
      <c r="M718" s="5">
        <v>0</v>
      </c>
      <c r="N718" s="5">
        <v>494000</v>
      </c>
      <c r="O718" s="5">
        <v>0</v>
      </c>
      <c r="P718" s="5">
        <v>0</v>
      </c>
      <c r="Q718" s="3" t="s">
        <v>34</v>
      </c>
      <c r="R718" s="3" t="s">
        <v>34</v>
      </c>
      <c r="S718" s="3" t="s">
        <v>34</v>
      </c>
      <c r="T718" s="3" t="s">
        <v>41</v>
      </c>
      <c r="U718" s="3" t="s">
        <v>34</v>
      </c>
      <c r="V718" s="3" t="s">
        <v>35</v>
      </c>
      <c r="W718" s="3" t="s">
        <v>3157</v>
      </c>
      <c r="X718" s="3"/>
      <c r="Y718" s="5">
        <v>494000</v>
      </c>
      <c r="Z718" s="5">
        <v>1</v>
      </c>
    </row>
    <row r="719" spans="1:26" ht="15.75" customHeight="1" x14ac:dyDescent="0.35">
      <c r="A719" s="2"/>
      <c r="B719" s="3" t="s">
        <v>2735</v>
      </c>
      <c r="C719" s="3" t="s">
        <v>29</v>
      </c>
      <c r="D719" s="3" t="s">
        <v>413</v>
      </c>
      <c r="E719" s="3" t="s">
        <v>3158</v>
      </c>
      <c r="F719" s="4" t="s">
        <v>3159</v>
      </c>
      <c r="G719" s="4" t="s">
        <v>3160</v>
      </c>
      <c r="H719" s="5">
        <v>760000</v>
      </c>
      <c r="I719" s="5">
        <v>0</v>
      </c>
      <c r="J719" s="5">
        <v>760000</v>
      </c>
      <c r="K719" s="5">
        <v>0</v>
      </c>
      <c r="L719" s="5">
        <v>0</v>
      </c>
      <c r="M719" s="5">
        <v>0</v>
      </c>
      <c r="N719" s="5">
        <v>760000</v>
      </c>
      <c r="O719" s="5">
        <v>0</v>
      </c>
      <c r="P719" s="5">
        <v>0</v>
      </c>
      <c r="Q719" s="3" t="s">
        <v>34</v>
      </c>
      <c r="R719" s="3" t="s">
        <v>34</v>
      </c>
      <c r="S719" s="3" t="s">
        <v>34</v>
      </c>
      <c r="T719" s="3" t="s">
        <v>41</v>
      </c>
      <c r="U719" s="3" t="s">
        <v>34</v>
      </c>
      <c r="V719" s="3" t="s">
        <v>35</v>
      </c>
      <c r="W719" s="3" t="s">
        <v>3161</v>
      </c>
      <c r="X719" s="3"/>
      <c r="Y719" s="5">
        <v>760000</v>
      </c>
      <c r="Z719" s="5">
        <v>1</v>
      </c>
    </row>
    <row r="720" spans="1:26" ht="15.75" customHeight="1" x14ac:dyDescent="0.35">
      <c r="A720" s="2"/>
      <c r="B720" s="3" t="s">
        <v>2715</v>
      </c>
      <c r="C720" s="3" t="s">
        <v>64</v>
      </c>
      <c r="D720" s="3" t="s">
        <v>65</v>
      </c>
      <c r="E720" s="3" t="s">
        <v>3162</v>
      </c>
      <c r="F720" s="4" t="s">
        <v>3163</v>
      </c>
      <c r="G720" s="4" t="s">
        <v>3164</v>
      </c>
      <c r="H720" s="5">
        <v>1437000</v>
      </c>
      <c r="I720" s="5">
        <v>0</v>
      </c>
      <c r="J720" s="5">
        <v>1437000</v>
      </c>
      <c r="K720" s="5">
        <v>0</v>
      </c>
      <c r="L720" s="5">
        <v>0</v>
      </c>
      <c r="M720" s="5">
        <v>0</v>
      </c>
      <c r="N720" s="5">
        <v>1437000</v>
      </c>
      <c r="O720" s="5">
        <v>0</v>
      </c>
      <c r="P720" s="5">
        <v>0</v>
      </c>
      <c r="Q720" s="3"/>
      <c r="R720" s="3"/>
      <c r="S720" s="3"/>
      <c r="T720" s="3" t="s">
        <v>41</v>
      </c>
      <c r="U720" s="3" t="s">
        <v>34</v>
      </c>
      <c r="V720" s="3" t="s">
        <v>35</v>
      </c>
      <c r="W720" s="3" t="s">
        <v>3165</v>
      </c>
      <c r="X720" s="3"/>
      <c r="Y720" s="5">
        <v>479000</v>
      </c>
      <c r="Z720" s="5">
        <v>3</v>
      </c>
    </row>
    <row r="721" spans="1:26" ht="15.75" customHeight="1" x14ac:dyDescent="0.35">
      <c r="A721" s="2"/>
      <c r="B721" s="3" t="s">
        <v>2795</v>
      </c>
      <c r="C721" s="3" t="s">
        <v>64</v>
      </c>
      <c r="D721" s="3" t="s">
        <v>83</v>
      </c>
      <c r="E721" s="3" t="s">
        <v>3166</v>
      </c>
      <c r="F721" s="4" t="s">
        <v>3167</v>
      </c>
      <c r="G721" s="4" t="s">
        <v>3168</v>
      </c>
      <c r="H721" s="5">
        <v>410000</v>
      </c>
      <c r="I721" s="5">
        <v>40000</v>
      </c>
      <c r="J721" s="5">
        <v>450000</v>
      </c>
      <c r="K721" s="5">
        <v>0</v>
      </c>
      <c r="L721" s="5">
        <v>450000</v>
      </c>
      <c r="M721" s="5">
        <v>0</v>
      </c>
      <c r="N721" s="5">
        <v>0</v>
      </c>
      <c r="O721" s="5">
        <v>0</v>
      </c>
      <c r="P721" s="5">
        <v>0</v>
      </c>
      <c r="Q721" s="3"/>
      <c r="R721" s="3"/>
      <c r="S721" s="3"/>
      <c r="T721" s="3" t="s">
        <v>41</v>
      </c>
      <c r="U721" s="3" t="s">
        <v>34</v>
      </c>
      <c r="V721" s="3" t="s">
        <v>35</v>
      </c>
      <c r="W721" s="3" t="s">
        <v>3169</v>
      </c>
      <c r="X721" s="3"/>
      <c r="Y721" s="5">
        <v>410000</v>
      </c>
      <c r="Z721" s="5">
        <v>1</v>
      </c>
    </row>
    <row r="722" spans="1:26" ht="15.75" customHeight="1" x14ac:dyDescent="0.35">
      <c r="A722" s="2"/>
      <c r="B722" s="3" t="s">
        <v>2763</v>
      </c>
      <c r="C722" s="3" t="s">
        <v>64</v>
      </c>
      <c r="D722" s="3" t="s">
        <v>76</v>
      </c>
      <c r="E722" s="3" t="s">
        <v>3170</v>
      </c>
      <c r="F722" s="4" t="s">
        <v>3171</v>
      </c>
      <c r="G722" s="4" t="s">
        <v>3172</v>
      </c>
      <c r="H722" s="5">
        <v>350000</v>
      </c>
      <c r="I722" s="5">
        <v>0</v>
      </c>
      <c r="J722" s="5">
        <v>350000</v>
      </c>
      <c r="K722" s="5">
        <v>0</v>
      </c>
      <c r="L722" s="5">
        <v>350000</v>
      </c>
      <c r="M722" s="5">
        <v>0</v>
      </c>
      <c r="N722" s="5">
        <v>0</v>
      </c>
      <c r="O722" s="5">
        <v>0</v>
      </c>
      <c r="P722" s="5">
        <v>0</v>
      </c>
      <c r="Q722" s="3" t="s">
        <v>34</v>
      </c>
      <c r="R722" s="3" t="s">
        <v>34</v>
      </c>
      <c r="S722" s="3" t="s">
        <v>34</v>
      </c>
      <c r="T722" s="3" t="s">
        <v>41</v>
      </c>
      <c r="U722" s="3" t="s">
        <v>34</v>
      </c>
      <c r="V722" s="3" t="s">
        <v>35</v>
      </c>
      <c r="W722" s="3" t="s">
        <v>3173</v>
      </c>
      <c r="X722" s="3"/>
      <c r="Y722" s="5">
        <v>350000</v>
      </c>
      <c r="Z722" s="5">
        <v>1</v>
      </c>
    </row>
    <row r="723" spans="1:26" ht="15.75" customHeight="1" x14ac:dyDescent="0.35">
      <c r="A723" s="2"/>
      <c r="B723" s="3" t="s">
        <v>2765</v>
      </c>
      <c r="C723" s="3" t="s">
        <v>59</v>
      </c>
      <c r="D723" s="3" t="s">
        <v>182</v>
      </c>
      <c r="E723" s="3" t="s">
        <v>3174</v>
      </c>
      <c r="F723" s="4" t="s">
        <v>3175</v>
      </c>
      <c r="G723" s="4" t="s">
        <v>3176</v>
      </c>
      <c r="H723" s="5">
        <v>525000</v>
      </c>
      <c r="I723" s="5">
        <v>0</v>
      </c>
      <c r="J723" s="5">
        <v>525000</v>
      </c>
      <c r="K723" s="5">
        <v>0</v>
      </c>
      <c r="L723" s="5">
        <v>525000</v>
      </c>
      <c r="M723" s="5">
        <v>0</v>
      </c>
      <c r="N723" s="5">
        <v>0</v>
      </c>
      <c r="O723" s="5">
        <v>0</v>
      </c>
      <c r="P723" s="5">
        <v>0</v>
      </c>
      <c r="Q723" s="3" t="s">
        <v>3177</v>
      </c>
      <c r="R723" s="3"/>
      <c r="S723" s="3"/>
      <c r="T723" s="3" t="s">
        <v>41</v>
      </c>
      <c r="U723" s="3" t="s">
        <v>34</v>
      </c>
      <c r="V723" s="3" t="s">
        <v>35</v>
      </c>
      <c r="W723" s="3" t="s">
        <v>3178</v>
      </c>
      <c r="X723" s="3"/>
      <c r="Y723" s="5">
        <v>525000</v>
      </c>
      <c r="Z723" s="5">
        <v>1</v>
      </c>
    </row>
    <row r="724" spans="1:26" ht="15.75" customHeight="1" x14ac:dyDescent="0.35">
      <c r="A724" s="2"/>
      <c r="B724" s="3" t="s">
        <v>2730</v>
      </c>
      <c r="C724" s="3" t="s">
        <v>59</v>
      </c>
      <c r="D724" s="3" t="s">
        <v>122</v>
      </c>
      <c r="E724" s="3" t="s">
        <v>3179</v>
      </c>
      <c r="F724" s="4" t="s">
        <v>3180</v>
      </c>
      <c r="G724" s="4" t="s">
        <v>3181</v>
      </c>
      <c r="H724" s="5">
        <v>1120000</v>
      </c>
      <c r="I724" s="5">
        <v>0</v>
      </c>
      <c r="J724" s="5">
        <v>1120000</v>
      </c>
      <c r="K724" s="5">
        <v>0</v>
      </c>
      <c r="L724" s="5">
        <v>1120000</v>
      </c>
      <c r="M724" s="5">
        <v>0</v>
      </c>
      <c r="N724" s="5">
        <v>0</v>
      </c>
      <c r="O724" s="5">
        <v>0</v>
      </c>
      <c r="P724" s="5">
        <v>0</v>
      </c>
      <c r="Q724" s="3" t="s">
        <v>34</v>
      </c>
      <c r="R724" s="3" t="s">
        <v>34</v>
      </c>
      <c r="S724" s="3" t="s">
        <v>3182</v>
      </c>
      <c r="T724" s="3" t="s">
        <v>41</v>
      </c>
      <c r="U724" s="3" t="s">
        <v>34</v>
      </c>
      <c r="V724" s="3" t="s">
        <v>35</v>
      </c>
      <c r="W724" s="3" t="s">
        <v>3183</v>
      </c>
      <c r="X724" s="3"/>
      <c r="Y724" s="5">
        <v>560000</v>
      </c>
      <c r="Z724" s="5">
        <v>2</v>
      </c>
    </row>
    <row r="725" spans="1:26" ht="15.75" customHeight="1" x14ac:dyDescent="0.35">
      <c r="A725" s="2"/>
      <c r="B725" s="3" t="s">
        <v>2926</v>
      </c>
      <c r="C725" s="3" t="s">
        <v>29</v>
      </c>
      <c r="D725" s="3" t="s">
        <v>385</v>
      </c>
      <c r="E725" s="3" t="s">
        <v>3184</v>
      </c>
      <c r="F725" s="4" t="s">
        <v>3185</v>
      </c>
      <c r="G725" s="4" t="s">
        <v>3186</v>
      </c>
      <c r="H725" s="5">
        <v>700000</v>
      </c>
      <c r="I725" s="5">
        <v>0</v>
      </c>
      <c r="J725" s="5">
        <v>700000</v>
      </c>
      <c r="K725" s="5">
        <v>0</v>
      </c>
      <c r="L725" s="5">
        <v>700000</v>
      </c>
      <c r="M725" s="5">
        <v>0</v>
      </c>
      <c r="N725" s="5">
        <v>0</v>
      </c>
      <c r="O725" s="5">
        <v>0</v>
      </c>
      <c r="P725" s="5">
        <v>0</v>
      </c>
      <c r="Q725" s="3"/>
      <c r="R725" s="3"/>
      <c r="S725" s="3"/>
      <c r="T725" s="3" t="s">
        <v>41</v>
      </c>
      <c r="U725" s="3" t="s">
        <v>34</v>
      </c>
      <c r="V725" s="3" t="s">
        <v>35</v>
      </c>
      <c r="W725" s="3" t="s">
        <v>3187</v>
      </c>
      <c r="X725" s="3"/>
      <c r="Y725" s="5">
        <v>700000</v>
      </c>
      <c r="Z725" s="5">
        <v>1</v>
      </c>
    </row>
    <row r="726" spans="1:26" ht="15.75" customHeight="1" x14ac:dyDescent="0.35">
      <c r="A726" s="2"/>
      <c r="B726" s="3" t="s">
        <v>2697</v>
      </c>
      <c r="C726" s="3" t="s">
        <v>64</v>
      </c>
      <c r="D726" s="3" t="s">
        <v>173</v>
      </c>
      <c r="E726" s="3" t="s">
        <v>3188</v>
      </c>
      <c r="F726" s="4" t="s">
        <v>3189</v>
      </c>
      <c r="G726" s="4" t="s">
        <v>3190</v>
      </c>
      <c r="H726" s="5">
        <v>470000</v>
      </c>
      <c r="I726" s="5">
        <v>0</v>
      </c>
      <c r="J726" s="5">
        <v>470000</v>
      </c>
      <c r="K726" s="5">
        <v>0</v>
      </c>
      <c r="L726" s="5">
        <v>0</v>
      </c>
      <c r="M726" s="5">
        <v>0</v>
      </c>
      <c r="N726" s="5">
        <v>470000</v>
      </c>
      <c r="O726" s="5">
        <v>0</v>
      </c>
      <c r="P726" s="5">
        <v>0</v>
      </c>
      <c r="Q726" s="3"/>
      <c r="R726" s="3"/>
      <c r="S726" s="3"/>
      <c r="T726" s="3" t="s">
        <v>41</v>
      </c>
      <c r="U726" s="3" t="s">
        <v>34</v>
      </c>
      <c r="V726" s="3" t="s">
        <v>35</v>
      </c>
      <c r="W726" s="3" t="s">
        <v>3191</v>
      </c>
      <c r="X726" s="3"/>
      <c r="Y726" s="5">
        <v>470000</v>
      </c>
      <c r="Z726" s="5">
        <v>1</v>
      </c>
    </row>
    <row r="727" spans="1:26" ht="15.75" customHeight="1" x14ac:dyDescent="0.35">
      <c r="A727" s="2"/>
      <c r="B727" s="3" t="s">
        <v>2771</v>
      </c>
      <c r="C727" s="3" t="s">
        <v>64</v>
      </c>
      <c r="D727" s="3" t="s">
        <v>76</v>
      </c>
      <c r="E727" s="3" t="s">
        <v>3192</v>
      </c>
      <c r="F727" s="4" t="s">
        <v>3193</v>
      </c>
      <c r="G727" s="4" t="s">
        <v>3194</v>
      </c>
      <c r="H727" s="5">
        <v>529000</v>
      </c>
      <c r="I727" s="5">
        <v>0</v>
      </c>
      <c r="J727" s="5">
        <v>529000</v>
      </c>
      <c r="K727" s="5">
        <v>0</v>
      </c>
      <c r="L727" s="5">
        <v>0</v>
      </c>
      <c r="M727" s="5">
        <v>0</v>
      </c>
      <c r="N727" s="5">
        <v>529000</v>
      </c>
      <c r="O727" s="5">
        <v>0</v>
      </c>
      <c r="P727" s="5">
        <v>0</v>
      </c>
      <c r="Q727" s="3" t="s">
        <v>3195</v>
      </c>
      <c r="R727" s="3" t="s">
        <v>3196</v>
      </c>
      <c r="S727" s="3" t="s">
        <v>34</v>
      </c>
      <c r="T727" s="3" t="s">
        <v>41</v>
      </c>
      <c r="U727" s="3" t="s">
        <v>34</v>
      </c>
      <c r="V727" s="3" t="s">
        <v>35</v>
      </c>
      <c r="W727" s="3" t="s">
        <v>3197</v>
      </c>
      <c r="X727" s="3"/>
      <c r="Y727" s="5">
        <v>529000</v>
      </c>
      <c r="Z727" s="5">
        <v>1</v>
      </c>
    </row>
    <row r="728" spans="1:26" ht="15.75" customHeight="1" x14ac:dyDescent="0.35">
      <c r="A728" s="2"/>
      <c r="B728" s="3" t="s">
        <v>2741</v>
      </c>
      <c r="C728" s="3" t="s">
        <v>59</v>
      </c>
      <c r="D728" s="3" t="s">
        <v>182</v>
      </c>
      <c r="E728" s="3" t="s">
        <v>3198</v>
      </c>
      <c r="F728" s="4" t="s">
        <v>3199</v>
      </c>
      <c r="G728" s="4" t="s">
        <v>3200</v>
      </c>
      <c r="H728" s="5">
        <v>1066000</v>
      </c>
      <c r="I728" s="5">
        <v>0</v>
      </c>
      <c r="J728" s="5">
        <v>1066000</v>
      </c>
      <c r="K728" s="5">
        <v>0</v>
      </c>
      <c r="L728" s="5">
        <v>532000</v>
      </c>
      <c r="M728" s="5">
        <v>0</v>
      </c>
      <c r="N728" s="5">
        <v>534000</v>
      </c>
      <c r="O728" s="5">
        <v>0</v>
      </c>
      <c r="P728" s="5">
        <v>0</v>
      </c>
      <c r="Q728" s="3" t="s">
        <v>3201</v>
      </c>
      <c r="R728" s="3" t="s">
        <v>3202</v>
      </c>
      <c r="S728" s="3" t="s">
        <v>34</v>
      </c>
      <c r="T728" s="3" t="s">
        <v>41</v>
      </c>
      <c r="U728" s="3" t="s">
        <v>34</v>
      </c>
      <c r="V728" s="3" t="s">
        <v>35</v>
      </c>
      <c r="W728" s="3" t="s">
        <v>3203</v>
      </c>
      <c r="X728" s="3"/>
      <c r="Y728" s="5">
        <v>533000</v>
      </c>
      <c r="Z728" s="5">
        <v>2</v>
      </c>
    </row>
    <row r="729" spans="1:26" ht="15.75" customHeight="1" x14ac:dyDescent="0.35">
      <c r="A729" s="2"/>
      <c r="B729" s="3" t="s">
        <v>2670</v>
      </c>
      <c r="C729" s="3" t="s">
        <v>64</v>
      </c>
      <c r="D729" s="3" t="s">
        <v>76</v>
      </c>
      <c r="E729" s="3" t="s">
        <v>3204</v>
      </c>
      <c r="F729" s="4" t="s">
        <v>3205</v>
      </c>
      <c r="G729" s="4" t="s">
        <v>3206</v>
      </c>
      <c r="H729" s="5">
        <v>640872</v>
      </c>
      <c r="I729" s="5">
        <v>0</v>
      </c>
      <c r="J729" s="5">
        <v>640872</v>
      </c>
      <c r="K729" s="5">
        <v>0</v>
      </c>
      <c r="L729" s="5">
        <v>0</v>
      </c>
      <c r="M729" s="5">
        <v>0</v>
      </c>
      <c r="N729" s="5">
        <v>0</v>
      </c>
      <c r="O729" s="5">
        <v>640872</v>
      </c>
      <c r="P729" s="5">
        <v>0</v>
      </c>
      <c r="Q729" s="3" t="s">
        <v>2523</v>
      </c>
      <c r="R729" s="3" t="s">
        <v>3207</v>
      </c>
      <c r="S729" s="3" t="s">
        <v>34</v>
      </c>
      <c r="T729" s="3" t="s">
        <v>48</v>
      </c>
      <c r="U729" s="3" t="s">
        <v>34</v>
      </c>
      <c r="V729" s="3" t="s">
        <v>35</v>
      </c>
      <c r="W729" s="3" t="s">
        <v>3208</v>
      </c>
      <c r="X729" s="3" t="s">
        <v>3209</v>
      </c>
      <c r="Y729" s="5">
        <v>640872</v>
      </c>
      <c r="Z729" s="5">
        <v>1</v>
      </c>
    </row>
    <row r="730" spans="1:26" ht="15.75" customHeight="1" x14ac:dyDescent="0.35">
      <c r="A730" s="2"/>
      <c r="B730" s="3" t="s">
        <v>3210</v>
      </c>
      <c r="C730" s="3" t="s">
        <v>64</v>
      </c>
      <c r="D730" s="3" t="s">
        <v>99</v>
      </c>
      <c r="E730" s="3" t="s">
        <v>3211</v>
      </c>
      <c r="F730" s="4" t="s">
        <v>3212</v>
      </c>
      <c r="G730" s="4" t="s">
        <v>3213</v>
      </c>
      <c r="H730" s="5">
        <v>1752000</v>
      </c>
      <c r="I730" s="5">
        <v>0</v>
      </c>
      <c r="J730" s="5">
        <v>1752000</v>
      </c>
      <c r="K730" s="5">
        <v>0</v>
      </c>
      <c r="L730" s="5">
        <v>0</v>
      </c>
      <c r="M730" s="5">
        <v>0</v>
      </c>
      <c r="N730" s="5">
        <v>1752000</v>
      </c>
      <c r="O730" s="5">
        <v>0</v>
      </c>
      <c r="P730" s="5">
        <v>0</v>
      </c>
      <c r="Q730" s="3" t="s">
        <v>3214</v>
      </c>
      <c r="R730" s="3" t="s">
        <v>34</v>
      </c>
      <c r="S730" s="3" t="s">
        <v>3215</v>
      </c>
      <c r="T730" s="3" t="s">
        <v>41</v>
      </c>
      <c r="U730" s="3" t="s">
        <v>34</v>
      </c>
      <c r="V730" s="3" t="s">
        <v>35</v>
      </c>
      <c r="W730" s="3" t="s">
        <v>3216</v>
      </c>
      <c r="X730" s="3"/>
      <c r="Y730" s="5">
        <v>584000</v>
      </c>
      <c r="Z730" s="5">
        <v>3</v>
      </c>
    </row>
    <row r="731" spans="1:26" ht="15.75" customHeight="1" x14ac:dyDescent="0.35">
      <c r="A731" s="2"/>
      <c r="B731" s="3" t="s">
        <v>2398</v>
      </c>
      <c r="C731" s="3" t="s">
        <v>29</v>
      </c>
      <c r="D731" s="3" t="s">
        <v>413</v>
      </c>
      <c r="E731" s="3" t="s">
        <v>3217</v>
      </c>
      <c r="F731" s="4" t="s">
        <v>3218</v>
      </c>
      <c r="G731" s="4" t="s">
        <v>3219</v>
      </c>
      <c r="H731" s="5">
        <v>1528300</v>
      </c>
      <c r="I731" s="5">
        <v>0</v>
      </c>
      <c r="J731" s="5">
        <v>1528300</v>
      </c>
      <c r="K731" s="5">
        <v>0</v>
      </c>
      <c r="L731" s="5">
        <v>0</v>
      </c>
      <c r="M731" s="5">
        <v>0</v>
      </c>
      <c r="N731" s="5">
        <v>0</v>
      </c>
      <c r="O731" s="5">
        <v>1528300</v>
      </c>
      <c r="P731" s="5">
        <v>0</v>
      </c>
      <c r="Q731" s="3" t="s">
        <v>3220</v>
      </c>
      <c r="R731" s="3" t="s">
        <v>34</v>
      </c>
      <c r="S731" s="3" t="s">
        <v>34</v>
      </c>
      <c r="T731" s="3" t="s">
        <v>48</v>
      </c>
      <c r="U731" s="3" t="s">
        <v>34</v>
      </c>
      <c r="V731" s="3" t="s">
        <v>35</v>
      </c>
      <c r="W731" s="3" t="s">
        <v>3221</v>
      </c>
      <c r="X731" s="3" t="s">
        <v>3222</v>
      </c>
      <c r="Y731" s="5">
        <v>764150</v>
      </c>
      <c r="Z731" s="5">
        <v>2</v>
      </c>
    </row>
    <row r="732" spans="1:26" ht="15.75" customHeight="1" x14ac:dyDescent="0.35">
      <c r="A732" s="2"/>
      <c r="B732" s="3" t="s">
        <v>2662</v>
      </c>
      <c r="C732" s="3" t="s">
        <v>64</v>
      </c>
      <c r="D732" s="3" t="s">
        <v>65</v>
      </c>
      <c r="E732" s="3" t="s">
        <v>3223</v>
      </c>
      <c r="F732" s="4" t="s">
        <v>3224</v>
      </c>
      <c r="G732" s="4" t="s">
        <v>3225</v>
      </c>
      <c r="H732" s="5">
        <v>503806</v>
      </c>
      <c r="I732" s="5">
        <v>120000</v>
      </c>
      <c r="J732" s="5">
        <v>623806</v>
      </c>
      <c r="K732" s="5">
        <v>0</v>
      </c>
      <c r="L732" s="5">
        <v>0</v>
      </c>
      <c r="M732" s="5">
        <v>0</v>
      </c>
      <c r="N732" s="5">
        <v>120000</v>
      </c>
      <c r="O732" s="5">
        <v>503806</v>
      </c>
      <c r="P732" s="5">
        <v>0</v>
      </c>
      <c r="Q732" s="3" t="s">
        <v>3226</v>
      </c>
      <c r="R732" s="3" t="s">
        <v>3227</v>
      </c>
      <c r="S732" s="3" t="s">
        <v>34</v>
      </c>
      <c r="T732" s="3" t="s">
        <v>48</v>
      </c>
      <c r="U732" s="3" t="s">
        <v>34</v>
      </c>
      <c r="V732" s="3" t="s">
        <v>35</v>
      </c>
      <c r="W732" s="3" t="s">
        <v>3228</v>
      </c>
      <c r="X732" s="3" t="s">
        <v>3229</v>
      </c>
      <c r="Y732" s="5">
        <v>503806</v>
      </c>
      <c r="Z732" s="5">
        <v>1</v>
      </c>
    </row>
    <row r="733" spans="1:26" ht="15.75" customHeight="1" x14ac:dyDescent="0.35">
      <c r="A733" s="2"/>
      <c r="B733" s="3" t="s">
        <v>1665</v>
      </c>
      <c r="C733" s="3" t="s">
        <v>59</v>
      </c>
      <c r="D733" s="3" t="s">
        <v>60</v>
      </c>
      <c r="E733" s="3" t="s">
        <v>3230</v>
      </c>
      <c r="F733" s="4" t="s">
        <v>3224</v>
      </c>
      <c r="G733" s="4" t="s">
        <v>3231</v>
      </c>
      <c r="H733" s="5">
        <v>1167840</v>
      </c>
      <c r="I733" s="5">
        <v>0</v>
      </c>
      <c r="J733" s="5">
        <v>1167840</v>
      </c>
      <c r="K733" s="5">
        <v>0</v>
      </c>
      <c r="L733" s="5">
        <v>0</v>
      </c>
      <c r="M733" s="5">
        <v>0</v>
      </c>
      <c r="N733" s="5">
        <v>0</v>
      </c>
      <c r="O733" s="5">
        <v>1167840</v>
      </c>
      <c r="P733" s="5">
        <v>0</v>
      </c>
      <c r="Q733" s="3" t="s">
        <v>3232</v>
      </c>
      <c r="R733" s="3" t="s">
        <v>3233</v>
      </c>
      <c r="S733" s="3" t="s">
        <v>34</v>
      </c>
      <c r="T733" s="3" t="s">
        <v>48</v>
      </c>
      <c r="U733" s="3" t="s">
        <v>34</v>
      </c>
      <c r="V733" s="3" t="s">
        <v>35</v>
      </c>
      <c r="W733" s="3" t="s">
        <v>3234</v>
      </c>
      <c r="X733" s="3" t="s">
        <v>3235</v>
      </c>
      <c r="Y733" s="5">
        <v>1167840</v>
      </c>
      <c r="Z733" s="5">
        <v>1</v>
      </c>
    </row>
    <row r="734" spans="1:26" ht="15.75" customHeight="1" x14ac:dyDescent="0.35">
      <c r="A734" s="2"/>
      <c r="B734" s="3" t="s">
        <v>2872</v>
      </c>
      <c r="C734" s="3" t="s">
        <v>64</v>
      </c>
      <c r="D734" s="3" t="s">
        <v>83</v>
      </c>
      <c r="E734" s="3" t="s">
        <v>3236</v>
      </c>
      <c r="F734" s="4" t="s">
        <v>3237</v>
      </c>
      <c r="G734" s="4" t="s">
        <v>3238</v>
      </c>
      <c r="H734" s="5">
        <v>1908000</v>
      </c>
      <c r="I734" s="5">
        <v>0</v>
      </c>
      <c r="J734" s="5">
        <v>1908000</v>
      </c>
      <c r="K734" s="5">
        <v>0</v>
      </c>
      <c r="L734" s="5">
        <v>0</v>
      </c>
      <c r="M734" s="5">
        <v>0</v>
      </c>
      <c r="N734" s="5">
        <v>1908000</v>
      </c>
      <c r="O734" s="5">
        <v>0</v>
      </c>
      <c r="P734" s="5">
        <v>0</v>
      </c>
      <c r="Q734" s="3" t="s">
        <v>3239</v>
      </c>
      <c r="R734" s="3" t="s">
        <v>3240</v>
      </c>
      <c r="S734" s="3" t="s">
        <v>34</v>
      </c>
      <c r="T734" s="3" t="s">
        <v>41</v>
      </c>
      <c r="U734" s="3" t="s">
        <v>34</v>
      </c>
      <c r="V734" s="3" t="s">
        <v>35</v>
      </c>
      <c r="W734" s="3" t="s">
        <v>3241</v>
      </c>
      <c r="X734" s="3"/>
      <c r="Y734" s="5">
        <v>477000</v>
      </c>
      <c r="Z734" s="5">
        <v>4</v>
      </c>
    </row>
    <row r="735" spans="1:26" ht="15.75" customHeight="1" x14ac:dyDescent="0.35">
      <c r="A735" s="2"/>
      <c r="B735" s="3" t="s">
        <v>3242</v>
      </c>
      <c r="C735" s="3" t="s">
        <v>64</v>
      </c>
      <c r="D735" s="3" t="s">
        <v>65</v>
      </c>
      <c r="E735" s="3" t="s">
        <v>3243</v>
      </c>
      <c r="F735" s="4" t="s">
        <v>3244</v>
      </c>
      <c r="G735" s="4" t="s">
        <v>3245</v>
      </c>
      <c r="H735" s="5">
        <v>398650</v>
      </c>
      <c r="I735" s="5">
        <v>0</v>
      </c>
      <c r="J735" s="5">
        <v>398650</v>
      </c>
      <c r="K735" s="5">
        <v>0</v>
      </c>
      <c r="L735" s="5">
        <v>0</v>
      </c>
      <c r="M735" s="5">
        <v>0</v>
      </c>
      <c r="N735" s="5">
        <v>0</v>
      </c>
      <c r="O735" s="5">
        <v>398650</v>
      </c>
      <c r="P735" s="5">
        <v>0</v>
      </c>
      <c r="Q735" s="3" t="s">
        <v>3246</v>
      </c>
      <c r="R735" s="3" t="s">
        <v>34</v>
      </c>
      <c r="S735" s="3" t="s">
        <v>34</v>
      </c>
      <c r="T735" s="3" t="s">
        <v>48</v>
      </c>
      <c r="U735" s="3" t="s">
        <v>34</v>
      </c>
      <c r="V735" s="3" t="s">
        <v>35</v>
      </c>
      <c r="W735" s="3" t="s">
        <v>3247</v>
      </c>
      <c r="X735" s="3" t="s">
        <v>3248</v>
      </c>
      <c r="Y735" s="5">
        <v>398650</v>
      </c>
      <c r="Z735" s="5">
        <v>1</v>
      </c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6">
        <v>921979535</v>
      </c>
      <c r="I736" s="6">
        <v>21588883</v>
      </c>
      <c r="J736" s="6">
        <v>941364118</v>
      </c>
      <c r="K736" s="6">
        <v>0</v>
      </c>
      <c r="L736" s="6">
        <v>208114748</v>
      </c>
      <c r="M736" s="6">
        <v>0</v>
      </c>
      <c r="N736" s="6">
        <v>471809031</v>
      </c>
      <c r="O736" s="6">
        <v>261440339</v>
      </c>
      <c r="P736" s="6">
        <v>0</v>
      </c>
      <c r="Q736" s="2"/>
      <c r="R736" s="2"/>
      <c r="S736" s="2"/>
      <c r="T736" s="2"/>
      <c r="U736" s="2"/>
      <c r="V736" s="2"/>
      <c r="W736" s="2"/>
      <c r="X736" s="2"/>
      <c r="Y736" s="6">
        <v>0</v>
      </c>
      <c r="Z736" s="6">
        <v>1535</v>
      </c>
    </row>
    <row r="737" spans="1:26" ht="15.75" customHeight="1" x14ac:dyDescent="0.35">
      <c r="A737" s="107" t="s">
        <v>3249</v>
      </c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spans="1:26" ht="15.75" customHeight="1" x14ac:dyDescent="0.35">
      <c r="Z738" s="7"/>
    </row>
    <row r="739" spans="1:26" ht="15.75" customHeight="1" x14ac:dyDescent="0.35">
      <c r="Z739" s="7">
        <f>SUM(Z51:Z283)</f>
        <v>450</v>
      </c>
    </row>
    <row r="740" spans="1:26" ht="15.75" customHeight="1" x14ac:dyDescent="0.35"/>
    <row r="741" spans="1:26" ht="15.75" customHeight="1" x14ac:dyDescent="0.35"/>
    <row r="742" spans="1:26" ht="15.75" customHeight="1" x14ac:dyDescent="0.35"/>
    <row r="743" spans="1:26" ht="15.75" customHeight="1" x14ac:dyDescent="0.35"/>
    <row r="744" spans="1:26" ht="15.75" customHeight="1" x14ac:dyDescent="0.35"/>
    <row r="745" spans="1:26" ht="15.75" customHeight="1" x14ac:dyDescent="0.35">
      <c r="Z745" s="7"/>
    </row>
    <row r="746" spans="1:26" ht="15.75" customHeight="1" x14ac:dyDescent="0.35"/>
    <row r="747" spans="1:26" ht="15.75" customHeight="1" x14ac:dyDescent="0.35"/>
    <row r="748" spans="1:26" ht="15.75" customHeight="1" x14ac:dyDescent="0.35"/>
    <row r="749" spans="1:26" ht="15.75" customHeight="1" x14ac:dyDescent="0.35"/>
    <row r="750" spans="1:26" ht="15.75" customHeight="1" x14ac:dyDescent="0.35"/>
    <row r="751" spans="1:26" ht="15.75" customHeight="1" x14ac:dyDescent="0.35"/>
    <row r="752" spans="1:26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</sheetData>
  <autoFilter ref="A6:Z739" xr:uid="{27BD8AD0-C1D6-4D2A-A09A-73F683488256}"/>
  <mergeCells count="6">
    <mergeCell ref="A737:Z737"/>
    <mergeCell ref="A1:Z1"/>
    <mergeCell ref="A2:Z2"/>
    <mergeCell ref="A3:Z3"/>
    <mergeCell ref="A4:Z4"/>
    <mergeCell ref="A5:Z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E264-8BC5-4ED2-A70C-6B0FF50DC3FC}">
  <dimension ref="A1:Y499"/>
  <sheetViews>
    <sheetView topLeftCell="A34" workbookViewId="0">
      <selection activeCell="A3" sqref="A3:Y499"/>
    </sheetView>
  </sheetViews>
  <sheetFormatPr defaultRowHeight="14.5" x14ac:dyDescent="0.35"/>
  <cols>
    <col min="1" max="1" width="14.90625" bestFit="1" customWidth="1"/>
    <col min="2" max="2" width="12.1796875" bestFit="1" customWidth="1"/>
    <col min="3" max="3" width="11.90625" bestFit="1" customWidth="1"/>
    <col min="4" max="4" width="31.81640625" bestFit="1" customWidth="1"/>
    <col min="5" max="6" width="13.54296875" bestFit="1" customWidth="1"/>
    <col min="7" max="7" width="12.36328125" bestFit="1" customWidth="1"/>
    <col min="8" max="8" width="9.1796875" bestFit="1" customWidth="1"/>
    <col min="9" max="9" width="16.453125" bestFit="1" customWidth="1"/>
    <col min="10" max="10" width="10.90625" bestFit="1" customWidth="1"/>
    <col min="11" max="11" width="10.453125" bestFit="1" customWidth="1"/>
    <col min="12" max="12" width="13.54296875" bestFit="1" customWidth="1"/>
    <col min="13" max="13" width="15.1796875" bestFit="1" customWidth="1"/>
    <col min="14" max="14" width="10.08984375" bestFit="1" customWidth="1"/>
    <col min="15" max="15" width="11.1796875" bestFit="1" customWidth="1"/>
    <col min="16" max="16" width="15.81640625" bestFit="1" customWidth="1"/>
    <col min="17" max="17" width="33.6328125" bestFit="1" customWidth="1"/>
    <col min="18" max="18" width="16.6328125" bestFit="1" customWidth="1"/>
    <col min="19" max="19" width="11.26953125" bestFit="1" customWidth="1"/>
    <col min="20" max="20" width="12.08984375" bestFit="1" customWidth="1"/>
    <col min="21" max="21" width="11.54296875" bestFit="1" customWidth="1"/>
    <col min="22" max="22" width="12.7265625" bestFit="1" customWidth="1"/>
    <col min="23" max="23" width="11.81640625" bestFit="1" customWidth="1"/>
    <col min="24" max="24" width="15" bestFit="1" customWidth="1"/>
    <col min="25" max="25" width="9.36328125" bestFit="1" customWidth="1"/>
  </cols>
  <sheetData>
    <row r="1" spans="1:25" x14ac:dyDescent="0.35">
      <c r="A1" s="106" t="s">
        <v>3344</v>
      </c>
    </row>
    <row r="3" spans="1:25" x14ac:dyDescent="0.3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</row>
    <row r="4" spans="1:25" x14ac:dyDescent="0.35">
      <c r="A4" t="s">
        <v>2872</v>
      </c>
      <c r="B4" t="s">
        <v>64</v>
      </c>
      <c r="C4" t="s">
        <v>83</v>
      </c>
      <c r="D4" t="s">
        <v>3236</v>
      </c>
      <c r="E4" t="s">
        <v>3237</v>
      </c>
      <c r="F4" t="s">
        <v>3238</v>
      </c>
      <c r="G4">
        <v>1908000</v>
      </c>
      <c r="H4">
        <v>0</v>
      </c>
      <c r="I4">
        <v>1908000</v>
      </c>
      <c r="J4">
        <v>0</v>
      </c>
      <c r="K4">
        <v>0</v>
      </c>
      <c r="L4">
        <v>0</v>
      </c>
      <c r="M4">
        <v>1908000</v>
      </c>
      <c r="N4">
        <v>0</v>
      </c>
      <c r="O4">
        <v>0</v>
      </c>
      <c r="P4" t="s">
        <v>3239</v>
      </c>
      <c r="Q4" t="s">
        <v>3240</v>
      </c>
      <c r="R4" t="s">
        <v>34</v>
      </c>
      <c r="S4" t="s">
        <v>41</v>
      </c>
      <c r="T4" t="s">
        <v>34</v>
      </c>
      <c r="U4" t="s">
        <v>35</v>
      </c>
      <c r="V4" t="s">
        <v>3241</v>
      </c>
      <c r="X4">
        <v>477000</v>
      </c>
      <c r="Y4">
        <v>4</v>
      </c>
    </row>
    <row r="5" spans="1:25" x14ac:dyDescent="0.35">
      <c r="A5" t="s">
        <v>36</v>
      </c>
      <c r="B5" t="s">
        <v>29</v>
      </c>
      <c r="C5" t="s">
        <v>37</v>
      </c>
      <c r="D5" t="s">
        <v>38</v>
      </c>
      <c r="E5" t="s">
        <v>39</v>
      </c>
      <c r="F5" t="s">
        <v>40</v>
      </c>
      <c r="G5">
        <v>449000</v>
      </c>
      <c r="H5">
        <v>0</v>
      </c>
      <c r="I5">
        <v>449000</v>
      </c>
      <c r="J5">
        <v>0</v>
      </c>
      <c r="K5">
        <v>449000</v>
      </c>
      <c r="L5">
        <v>0</v>
      </c>
      <c r="M5">
        <v>0</v>
      </c>
      <c r="N5">
        <v>0</v>
      </c>
      <c r="O5">
        <v>0</v>
      </c>
      <c r="P5" t="s">
        <v>34</v>
      </c>
      <c r="Q5" t="s">
        <v>34</v>
      </c>
      <c r="R5" t="s">
        <v>34</v>
      </c>
      <c r="S5" t="s">
        <v>41</v>
      </c>
      <c r="T5" t="s">
        <v>34</v>
      </c>
      <c r="U5" t="s">
        <v>35</v>
      </c>
      <c r="V5" t="s">
        <v>36</v>
      </c>
      <c r="X5">
        <v>449000</v>
      </c>
      <c r="Y5">
        <v>1</v>
      </c>
    </row>
    <row r="6" spans="1:25" x14ac:dyDescent="0.35">
      <c r="A6" t="s">
        <v>3210</v>
      </c>
      <c r="B6" t="s">
        <v>64</v>
      </c>
      <c r="C6" t="s">
        <v>99</v>
      </c>
      <c r="D6" t="s">
        <v>3211</v>
      </c>
      <c r="E6" t="s">
        <v>3212</v>
      </c>
      <c r="F6" t="s">
        <v>3213</v>
      </c>
      <c r="G6">
        <v>1752000</v>
      </c>
      <c r="H6">
        <v>0</v>
      </c>
      <c r="I6">
        <v>1752000</v>
      </c>
      <c r="J6">
        <v>0</v>
      </c>
      <c r="K6">
        <v>0</v>
      </c>
      <c r="L6">
        <v>0</v>
      </c>
      <c r="M6">
        <v>1752000</v>
      </c>
      <c r="N6">
        <v>0</v>
      </c>
      <c r="O6">
        <v>0</v>
      </c>
      <c r="P6" t="s">
        <v>3214</v>
      </c>
      <c r="Q6" t="s">
        <v>34</v>
      </c>
      <c r="R6" t="s">
        <v>3215</v>
      </c>
      <c r="S6" t="s">
        <v>41</v>
      </c>
      <c r="T6" t="s">
        <v>34</v>
      </c>
      <c r="U6" t="s">
        <v>35</v>
      </c>
      <c r="V6" t="s">
        <v>3216</v>
      </c>
      <c r="X6">
        <v>584000</v>
      </c>
      <c r="Y6">
        <v>3</v>
      </c>
    </row>
    <row r="7" spans="1:25" x14ac:dyDescent="0.35">
      <c r="A7" t="s">
        <v>2741</v>
      </c>
      <c r="B7" t="s">
        <v>59</v>
      </c>
      <c r="C7" t="s">
        <v>182</v>
      </c>
      <c r="D7" t="s">
        <v>3198</v>
      </c>
      <c r="E7" t="s">
        <v>3199</v>
      </c>
      <c r="F7" t="s">
        <v>3200</v>
      </c>
      <c r="G7">
        <v>1066000</v>
      </c>
      <c r="H7">
        <v>0</v>
      </c>
      <c r="I7">
        <v>1066000</v>
      </c>
      <c r="J7">
        <v>0</v>
      </c>
      <c r="K7">
        <v>532000</v>
      </c>
      <c r="L7">
        <v>0</v>
      </c>
      <c r="M7">
        <v>534000</v>
      </c>
      <c r="N7">
        <v>0</v>
      </c>
      <c r="O7">
        <v>0</v>
      </c>
      <c r="P7" t="s">
        <v>3201</v>
      </c>
      <c r="Q7" t="s">
        <v>3202</v>
      </c>
      <c r="R7" t="s">
        <v>34</v>
      </c>
      <c r="S7" t="s">
        <v>41</v>
      </c>
      <c r="T7" t="s">
        <v>34</v>
      </c>
      <c r="U7" t="s">
        <v>35</v>
      </c>
      <c r="V7" t="s">
        <v>3203</v>
      </c>
      <c r="X7">
        <v>533000</v>
      </c>
      <c r="Y7">
        <v>2</v>
      </c>
    </row>
    <row r="8" spans="1:25" x14ac:dyDescent="0.35">
      <c r="A8" t="s">
        <v>54</v>
      </c>
      <c r="B8" t="s">
        <v>29</v>
      </c>
      <c r="C8" t="s">
        <v>37</v>
      </c>
      <c r="D8" t="s">
        <v>55</v>
      </c>
      <c r="E8" t="s">
        <v>56</v>
      </c>
      <c r="F8" t="s">
        <v>57</v>
      </c>
      <c r="G8">
        <v>449000</v>
      </c>
      <c r="H8">
        <v>0</v>
      </c>
      <c r="I8">
        <v>449000</v>
      </c>
      <c r="J8">
        <v>0</v>
      </c>
      <c r="K8">
        <v>0</v>
      </c>
      <c r="L8">
        <v>0</v>
      </c>
      <c r="M8">
        <v>449000</v>
      </c>
      <c r="N8">
        <v>0</v>
      </c>
      <c r="O8">
        <v>0</v>
      </c>
      <c r="S8" t="s">
        <v>41</v>
      </c>
      <c r="T8" t="s">
        <v>34</v>
      </c>
      <c r="U8" t="s">
        <v>35</v>
      </c>
      <c r="V8" t="s">
        <v>54</v>
      </c>
      <c r="X8">
        <v>449000</v>
      </c>
      <c r="Y8">
        <v>1</v>
      </c>
    </row>
    <row r="9" spans="1:25" x14ac:dyDescent="0.35">
      <c r="A9" t="s">
        <v>58</v>
      </c>
      <c r="B9" t="s">
        <v>59</v>
      </c>
      <c r="C9" t="s">
        <v>60</v>
      </c>
      <c r="D9" t="s">
        <v>61</v>
      </c>
      <c r="E9" t="s">
        <v>56</v>
      </c>
      <c r="F9" t="s">
        <v>62</v>
      </c>
      <c r="G9">
        <v>469000</v>
      </c>
      <c r="H9">
        <v>19000</v>
      </c>
      <c r="I9">
        <v>488000</v>
      </c>
      <c r="J9">
        <v>0</v>
      </c>
      <c r="K9">
        <v>19000</v>
      </c>
      <c r="L9">
        <v>0</v>
      </c>
      <c r="M9">
        <v>469000</v>
      </c>
      <c r="N9">
        <v>0</v>
      </c>
      <c r="O9">
        <v>0</v>
      </c>
      <c r="P9" t="s">
        <v>34</v>
      </c>
      <c r="Q9" t="s">
        <v>34</v>
      </c>
      <c r="R9" t="s">
        <v>34</v>
      </c>
      <c r="S9" t="s">
        <v>41</v>
      </c>
      <c r="T9" t="s">
        <v>34</v>
      </c>
      <c r="U9" t="s">
        <v>35</v>
      </c>
      <c r="V9" t="s">
        <v>58</v>
      </c>
      <c r="X9">
        <v>469000</v>
      </c>
      <c r="Y9">
        <v>1</v>
      </c>
    </row>
    <row r="10" spans="1:25" x14ac:dyDescent="0.35">
      <c r="A10" t="s">
        <v>2771</v>
      </c>
      <c r="B10" t="s">
        <v>64</v>
      </c>
      <c r="C10" t="s">
        <v>76</v>
      </c>
      <c r="D10" t="s">
        <v>3192</v>
      </c>
      <c r="E10" t="s">
        <v>3193</v>
      </c>
      <c r="F10" t="s">
        <v>3194</v>
      </c>
      <c r="G10">
        <v>529000</v>
      </c>
      <c r="H10">
        <v>0</v>
      </c>
      <c r="I10">
        <v>529000</v>
      </c>
      <c r="J10">
        <v>0</v>
      </c>
      <c r="K10">
        <v>0</v>
      </c>
      <c r="L10">
        <v>0</v>
      </c>
      <c r="M10">
        <v>529000</v>
      </c>
      <c r="N10">
        <v>0</v>
      </c>
      <c r="O10">
        <v>0</v>
      </c>
      <c r="P10" t="s">
        <v>3195</v>
      </c>
      <c r="Q10" t="s">
        <v>3196</v>
      </c>
      <c r="R10" t="s">
        <v>34</v>
      </c>
      <c r="S10" t="s">
        <v>41</v>
      </c>
      <c r="T10" t="s">
        <v>34</v>
      </c>
      <c r="U10" t="s">
        <v>35</v>
      </c>
      <c r="V10" t="s">
        <v>3197</v>
      </c>
      <c r="X10">
        <v>529000</v>
      </c>
      <c r="Y10">
        <v>1</v>
      </c>
    </row>
    <row r="11" spans="1:25" x14ac:dyDescent="0.3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68</v>
      </c>
      <c r="G11">
        <v>1530000</v>
      </c>
      <c r="H11">
        <v>0</v>
      </c>
      <c r="I11">
        <v>1530000</v>
      </c>
      <c r="J11">
        <v>0</v>
      </c>
      <c r="K11">
        <v>0</v>
      </c>
      <c r="L11">
        <v>0</v>
      </c>
      <c r="M11">
        <v>0</v>
      </c>
      <c r="N11">
        <v>1530000</v>
      </c>
      <c r="O11">
        <v>0</v>
      </c>
      <c r="P11" t="s">
        <v>34</v>
      </c>
      <c r="Q11" t="s">
        <v>34</v>
      </c>
      <c r="R11" t="s">
        <v>34</v>
      </c>
      <c r="S11" t="s">
        <v>41</v>
      </c>
      <c r="T11" t="s">
        <v>34</v>
      </c>
      <c r="U11" t="s">
        <v>35</v>
      </c>
      <c r="V11" t="s">
        <v>70</v>
      </c>
      <c r="X11">
        <v>765000</v>
      </c>
      <c r="Y11">
        <v>2</v>
      </c>
    </row>
    <row r="12" spans="1:25" x14ac:dyDescent="0.35">
      <c r="A12" t="s">
        <v>2697</v>
      </c>
      <c r="B12" t="s">
        <v>64</v>
      </c>
      <c r="C12" t="s">
        <v>173</v>
      </c>
      <c r="D12" t="s">
        <v>3188</v>
      </c>
      <c r="E12" t="s">
        <v>3189</v>
      </c>
      <c r="F12" t="s">
        <v>3190</v>
      </c>
      <c r="G12">
        <v>470000</v>
      </c>
      <c r="H12">
        <v>0</v>
      </c>
      <c r="I12">
        <v>470000</v>
      </c>
      <c r="J12">
        <v>0</v>
      </c>
      <c r="K12">
        <v>0</v>
      </c>
      <c r="L12">
        <v>0</v>
      </c>
      <c r="M12">
        <v>470000</v>
      </c>
      <c r="N12">
        <v>0</v>
      </c>
      <c r="O12">
        <v>0</v>
      </c>
      <c r="S12" t="s">
        <v>41</v>
      </c>
      <c r="T12" t="s">
        <v>34</v>
      </c>
      <c r="U12" t="s">
        <v>35</v>
      </c>
      <c r="V12" t="s">
        <v>3191</v>
      </c>
      <c r="X12">
        <v>470000</v>
      </c>
      <c r="Y12">
        <v>1</v>
      </c>
    </row>
    <row r="13" spans="1:25" x14ac:dyDescent="0.35">
      <c r="A13" t="s">
        <v>82</v>
      </c>
      <c r="B13" t="s">
        <v>64</v>
      </c>
      <c r="C13" t="s">
        <v>83</v>
      </c>
      <c r="D13" t="s">
        <v>84</v>
      </c>
      <c r="E13" t="s">
        <v>85</v>
      </c>
      <c r="F13" t="s">
        <v>86</v>
      </c>
      <c r="G13">
        <v>580000</v>
      </c>
      <c r="H13">
        <v>0</v>
      </c>
      <c r="I13">
        <v>580000</v>
      </c>
      <c r="J13">
        <v>0</v>
      </c>
      <c r="K13">
        <v>580000</v>
      </c>
      <c r="L13">
        <v>0</v>
      </c>
      <c r="M13">
        <v>0</v>
      </c>
      <c r="N13">
        <v>0</v>
      </c>
      <c r="O13">
        <v>0</v>
      </c>
      <c r="P13" t="s">
        <v>87</v>
      </c>
      <c r="Q13" t="s">
        <v>34</v>
      </c>
      <c r="R13" t="s">
        <v>34</v>
      </c>
      <c r="S13" t="s">
        <v>41</v>
      </c>
      <c r="T13" t="s">
        <v>34</v>
      </c>
      <c r="U13" t="s">
        <v>35</v>
      </c>
      <c r="V13" t="s">
        <v>82</v>
      </c>
      <c r="X13">
        <v>580000</v>
      </c>
      <c r="Y13">
        <v>1</v>
      </c>
    </row>
    <row r="14" spans="1:25" x14ac:dyDescent="0.35">
      <c r="A14" t="s">
        <v>2926</v>
      </c>
      <c r="B14" t="s">
        <v>29</v>
      </c>
      <c r="C14" t="s">
        <v>385</v>
      </c>
      <c r="D14" t="s">
        <v>3184</v>
      </c>
      <c r="E14" t="s">
        <v>3185</v>
      </c>
      <c r="F14" t="s">
        <v>3186</v>
      </c>
      <c r="G14">
        <v>700000</v>
      </c>
      <c r="H14">
        <v>0</v>
      </c>
      <c r="I14">
        <v>700000</v>
      </c>
      <c r="J14">
        <v>0</v>
      </c>
      <c r="K14">
        <v>700000</v>
      </c>
      <c r="L14">
        <v>0</v>
      </c>
      <c r="M14">
        <v>0</v>
      </c>
      <c r="N14">
        <v>0</v>
      </c>
      <c r="O14">
        <v>0</v>
      </c>
      <c r="S14" t="s">
        <v>41</v>
      </c>
      <c r="T14" t="s">
        <v>34</v>
      </c>
      <c r="U14" t="s">
        <v>35</v>
      </c>
      <c r="V14" t="s">
        <v>3187</v>
      </c>
      <c r="X14">
        <v>700000</v>
      </c>
      <c r="Y14">
        <v>1</v>
      </c>
    </row>
    <row r="15" spans="1:25" x14ac:dyDescent="0.35">
      <c r="A15" t="s">
        <v>94</v>
      </c>
      <c r="B15" t="s">
        <v>71</v>
      </c>
      <c r="C15" t="s">
        <v>95</v>
      </c>
      <c r="D15" t="s">
        <v>96</v>
      </c>
      <c r="E15" t="s">
        <v>97</v>
      </c>
      <c r="F15" t="s">
        <v>92</v>
      </c>
      <c r="G15">
        <v>700000</v>
      </c>
      <c r="H15">
        <v>0</v>
      </c>
      <c r="I15">
        <v>700000</v>
      </c>
      <c r="J15">
        <v>0</v>
      </c>
      <c r="K15">
        <v>0</v>
      </c>
      <c r="L15">
        <v>0</v>
      </c>
      <c r="M15">
        <v>0</v>
      </c>
      <c r="N15">
        <v>700000</v>
      </c>
      <c r="O15">
        <v>0</v>
      </c>
      <c r="P15" t="s">
        <v>34</v>
      </c>
      <c r="Q15" t="s">
        <v>34</v>
      </c>
      <c r="R15" t="s">
        <v>34</v>
      </c>
      <c r="S15" t="s">
        <v>41</v>
      </c>
      <c r="T15" t="s">
        <v>34</v>
      </c>
      <c r="U15" t="s">
        <v>35</v>
      </c>
      <c r="V15" t="s">
        <v>94</v>
      </c>
      <c r="X15">
        <v>700000</v>
      </c>
      <c r="Y15">
        <v>1</v>
      </c>
    </row>
    <row r="16" spans="1:25" x14ac:dyDescent="0.35">
      <c r="A16" t="s">
        <v>98</v>
      </c>
      <c r="B16" t="s">
        <v>64</v>
      </c>
      <c r="C16" t="s">
        <v>99</v>
      </c>
      <c r="D16" t="s">
        <v>100</v>
      </c>
      <c r="E16" t="s">
        <v>101</v>
      </c>
      <c r="F16" t="s">
        <v>102</v>
      </c>
      <c r="G16">
        <v>825000</v>
      </c>
      <c r="H16">
        <v>0</v>
      </c>
      <c r="I16">
        <v>825000</v>
      </c>
      <c r="J16">
        <v>0</v>
      </c>
      <c r="K16">
        <v>240000</v>
      </c>
      <c r="L16">
        <v>0</v>
      </c>
      <c r="M16">
        <v>585000</v>
      </c>
      <c r="N16">
        <v>0</v>
      </c>
      <c r="O16">
        <v>0</v>
      </c>
      <c r="P16" t="s">
        <v>103</v>
      </c>
      <c r="Q16" t="s">
        <v>34</v>
      </c>
      <c r="R16" t="s">
        <v>34</v>
      </c>
      <c r="S16" t="s">
        <v>41</v>
      </c>
      <c r="T16" t="s">
        <v>34</v>
      </c>
      <c r="U16" t="s">
        <v>35</v>
      </c>
      <c r="V16" t="s">
        <v>98</v>
      </c>
      <c r="X16">
        <v>825000</v>
      </c>
      <c r="Y16">
        <v>1</v>
      </c>
    </row>
    <row r="17" spans="1:25" x14ac:dyDescent="0.35">
      <c r="A17" t="s">
        <v>2730</v>
      </c>
      <c r="B17" t="s">
        <v>59</v>
      </c>
      <c r="C17" t="s">
        <v>122</v>
      </c>
      <c r="D17" t="s">
        <v>3179</v>
      </c>
      <c r="E17" t="s">
        <v>3180</v>
      </c>
      <c r="F17" t="s">
        <v>3181</v>
      </c>
      <c r="G17">
        <v>1120000</v>
      </c>
      <c r="H17">
        <v>0</v>
      </c>
      <c r="I17">
        <v>1120000</v>
      </c>
      <c r="J17">
        <v>0</v>
      </c>
      <c r="K17">
        <v>1120000</v>
      </c>
      <c r="L17">
        <v>0</v>
      </c>
      <c r="M17">
        <v>0</v>
      </c>
      <c r="N17">
        <v>0</v>
      </c>
      <c r="O17">
        <v>0</v>
      </c>
      <c r="P17" t="s">
        <v>34</v>
      </c>
      <c r="Q17" t="s">
        <v>34</v>
      </c>
      <c r="R17" t="s">
        <v>3182</v>
      </c>
      <c r="S17" t="s">
        <v>41</v>
      </c>
      <c r="T17" t="s">
        <v>34</v>
      </c>
      <c r="U17" t="s">
        <v>35</v>
      </c>
      <c r="V17" t="s">
        <v>3183</v>
      </c>
      <c r="X17">
        <v>560000</v>
      </c>
      <c r="Y17">
        <v>2</v>
      </c>
    </row>
    <row r="18" spans="1:25" x14ac:dyDescent="0.35">
      <c r="A18" t="s">
        <v>109</v>
      </c>
      <c r="B18" t="s">
        <v>29</v>
      </c>
      <c r="C18" t="s">
        <v>110</v>
      </c>
      <c r="D18" t="s">
        <v>111</v>
      </c>
      <c r="E18" t="s">
        <v>112</v>
      </c>
      <c r="F18" t="s">
        <v>113</v>
      </c>
      <c r="G18">
        <v>585000</v>
      </c>
      <c r="H18">
        <v>0</v>
      </c>
      <c r="I18">
        <v>555000</v>
      </c>
      <c r="J18">
        <v>0</v>
      </c>
      <c r="K18">
        <v>0</v>
      </c>
      <c r="L18">
        <v>0</v>
      </c>
      <c r="M18">
        <v>555000</v>
      </c>
      <c r="N18">
        <v>0</v>
      </c>
      <c r="O18">
        <v>0</v>
      </c>
      <c r="P18" t="s">
        <v>34</v>
      </c>
      <c r="Q18" t="s">
        <v>34</v>
      </c>
      <c r="R18" t="s">
        <v>114</v>
      </c>
      <c r="S18" t="s">
        <v>41</v>
      </c>
      <c r="T18" t="s">
        <v>34</v>
      </c>
      <c r="U18" t="s">
        <v>35</v>
      </c>
      <c r="V18" t="s">
        <v>115</v>
      </c>
      <c r="X18">
        <v>585000</v>
      </c>
      <c r="Y18">
        <v>1</v>
      </c>
    </row>
    <row r="19" spans="1:25" x14ac:dyDescent="0.35">
      <c r="A19" t="s">
        <v>2765</v>
      </c>
      <c r="B19" t="s">
        <v>59</v>
      </c>
      <c r="C19" t="s">
        <v>182</v>
      </c>
      <c r="D19" t="s">
        <v>3174</v>
      </c>
      <c r="E19" t="s">
        <v>3175</v>
      </c>
      <c r="F19" t="s">
        <v>3176</v>
      </c>
      <c r="G19">
        <v>525000</v>
      </c>
      <c r="H19">
        <v>0</v>
      </c>
      <c r="I19">
        <v>525000</v>
      </c>
      <c r="J19">
        <v>0</v>
      </c>
      <c r="K19">
        <v>525000</v>
      </c>
      <c r="L19">
        <v>0</v>
      </c>
      <c r="M19">
        <v>0</v>
      </c>
      <c r="N19">
        <v>0</v>
      </c>
      <c r="O19">
        <v>0</v>
      </c>
      <c r="P19" t="s">
        <v>3177</v>
      </c>
      <c r="S19" t="s">
        <v>41</v>
      </c>
      <c r="T19" t="s">
        <v>34</v>
      </c>
      <c r="U19" t="s">
        <v>35</v>
      </c>
      <c r="V19" t="s">
        <v>3178</v>
      </c>
      <c r="X19">
        <v>525000</v>
      </c>
      <c r="Y19">
        <v>1</v>
      </c>
    </row>
    <row r="20" spans="1:25" x14ac:dyDescent="0.35">
      <c r="A20" t="s">
        <v>121</v>
      </c>
      <c r="B20" t="s">
        <v>59</v>
      </c>
      <c r="C20" t="s">
        <v>122</v>
      </c>
      <c r="D20" t="s">
        <v>123</v>
      </c>
      <c r="E20" t="s">
        <v>124</v>
      </c>
      <c r="F20" t="s">
        <v>125</v>
      </c>
      <c r="G20">
        <v>2042000</v>
      </c>
      <c r="H20">
        <v>200000</v>
      </c>
      <c r="I20">
        <v>2242000</v>
      </c>
      <c r="J20">
        <v>0</v>
      </c>
      <c r="K20">
        <v>1570000</v>
      </c>
      <c r="L20">
        <v>0</v>
      </c>
      <c r="M20">
        <v>672000</v>
      </c>
      <c r="N20">
        <v>0</v>
      </c>
      <c r="O20">
        <v>0</v>
      </c>
      <c r="P20" t="s">
        <v>126</v>
      </c>
      <c r="Q20" t="s">
        <v>34</v>
      </c>
      <c r="R20" t="s">
        <v>34</v>
      </c>
      <c r="S20" t="s">
        <v>41</v>
      </c>
      <c r="T20" t="s">
        <v>34</v>
      </c>
      <c r="U20" t="s">
        <v>35</v>
      </c>
      <c r="V20" t="s">
        <v>121</v>
      </c>
      <c r="X20">
        <v>1021000</v>
      </c>
      <c r="Y20">
        <v>2</v>
      </c>
    </row>
    <row r="21" spans="1:25" x14ac:dyDescent="0.35">
      <c r="A21" t="s">
        <v>2763</v>
      </c>
      <c r="B21" t="s">
        <v>64</v>
      </c>
      <c r="C21" t="s">
        <v>76</v>
      </c>
      <c r="D21" t="s">
        <v>3170</v>
      </c>
      <c r="E21" t="s">
        <v>3171</v>
      </c>
      <c r="F21" t="s">
        <v>3172</v>
      </c>
      <c r="G21">
        <v>350000</v>
      </c>
      <c r="H21">
        <v>0</v>
      </c>
      <c r="I21">
        <v>350000</v>
      </c>
      <c r="J21">
        <v>0</v>
      </c>
      <c r="K21">
        <v>350000</v>
      </c>
      <c r="L21">
        <v>0</v>
      </c>
      <c r="M21">
        <v>0</v>
      </c>
      <c r="N21">
        <v>0</v>
      </c>
      <c r="O21">
        <v>0</v>
      </c>
      <c r="P21" t="s">
        <v>34</v>
      </c>
      <c r="Q21" t="s">
        <v>34</v>
      </c>
      <c r="R21" t="s">
        <v>34</v>
      </c>
      <c r="S21" t="s">
        <v>41</v>
      </c>
      <c r="T21" t="s">
        <v>34</v>
      </c>
      <c r="U21" t="s">
        <v>35</v>
      </c>
      <c r="V21" t="s">
        <v>3173</v>
      </c>
      <c r="X21">
        <v>350000</v>
      </c>
      <c r="Y21">
        <v>1</v>
      </c>
    </row>
    <row r="22" spans="1:25" x14ac:dyDescent="0.35">
      <c r="A22" t="s">
        <v>2795</v>
      </c>
      <c r="B22" t="s">
        <v>64</v>
      </c>
      <c r="C22" t="s">
        <v>83</v>
      </c>
      <c r="D22" t="s">
        <v>3166</v>
      </c>
      <c r="E22" t="s">
        <v>3167</v>
      </c>
      <c r="F22" t="s">
        <v>3168</v>
      </c>
      <c r="G22">
        <v>410000</v>
      </c>
      <c r="H22">
        <v>40000</v>
      </c>
      <c r="I22">
        <v>450000</v>
      </c>
      <c r="J22">
        <v>0</v>
      </c>
      <c r="K22">
        <v>450000</v>
      </c>
      <c r="L22">
        <v>0</v>
      </c>
      <c r="M22">
        <v>0</v>
      </c>
      <c r="N22">
        <v>0</v>
      </c>
      <c r="O22">
        <v>0</v>
      </c>
      <c r="S22" t="s">
        <v>41</v>
      </c>
      <c r="T22" t="s">
        <v>34</v>
      </c>
      <c r="U22" t="s">
        <v>35</v>
      </c>
      <c r="V22" t="s">
        <v>3169</v>
      </c>
      <c r="X22">
        <v>410000</v>
      </c>
      <c r="Y22">
        <v>1</v>
      </c>
    </row>
    <row r="23" spans="1:25" x14ac:dyDescent="0.35">
      <c r="A23" t="s">
        <v>109</v>
      </c>
      <c r="B23" t="s">
        <v>64</v>
      </c>
      <c r="C23" t="s">
        <v>89</v>
      </c>
      <c r="D23" t="s">
        <v>141</v>
      </c>
      <c r="E23" t="s">
        <v>112</v>
      </c>
      <c r="F23" t="s">
        <v>142</v>
      </c>
      <c r="G23">
        <v>990000</v>
      </c>
      <c r="H23">
        <v>0</v>
      </c>
      <c r="I23">
        <v>990000</v>
      </c>
      <c r="J23">
        <v>0</v>
      </c>
      <c r="K23">
        <v>0</v>
      </c>
      <c r="L23">
        <v>0</v>
      </c>
      <c r="M23">
        <v>990000</v>
      </c>
      <c r="N23">
        <v>0</v>
      </c>
      <c r="O23">
        <v>0</v>
      </c>
      <c r="P23" t="s">
        <v>143</v>
      </c>
      <c r="Q23" t="s">
        <v>34</v>
      </c>
      <c r="R23" t="s">
        <v>144</v>
      </c>
      <c r="S23" t="s">
        <v>41</v>
      </c>
      <c r="T23" t="s">
        <v>34</v>
      </c>
      <c r="U23" t="s">
        <v>35</v>
      </c>
      <c r="V23" t="s">
        <v>109</v>
      </c>
      <c r="X23">
        <v>495000</v>
      </c>
      <c r="Y23">
        <v>2</v>
      </c>
    </row>
    <row r="24" spans="1:25" x14ac:dyDescent="0.35">
      <c r="A24" t="s">
        <v>2715</v>
      </c>
      <c r="B24" t="s">
        <v>64</v>
      </c>
      <c r="C24" t="s">
        <v>65</v>
      </c>
      <c r="D24" t="s">
        <v>3162</v>
      </c>
      <c r="E24" t="s">
        <v>3163</v>
      </c>
      <c r="F24" t="s">
        <v>3164</v>
      </c>
      <c r="G24">
        <v>1437000</v>
      </c>
      <c r="H24">
        <v>0</v>
      </c>
      <c r="I24">
        <v>1437000</v>
      </c>
      <c r="J24">
        <v>0</v>
      </c>
      <c r="K24">
        <v>0</v>
      </c>
      <c r="L24">
        <v>0</v>
      </c>
      <c r="M24">
        <v>1437000</v>
      </c>
      <c r="N24">
        <v>0</v>
      </c>
      <c r="O24">
        <v>0</v>
      </c>
      <c r="S24" t="s">
        <v>41</v>
      </c>
      <c r="T24" t="s">
        <v>34</v>
      </c>
      <c r="U24" t="s">
        <v>35</v>
      </c>
      <c r="V24" t="s">
        <v>3165</v>
      </c>
      <c r="X24">
        <v>479000</v>
      </c>
      <c r="Y24">
        <v>3</v>
      </c>
    </row>
    <row r="25" spans="1:25" x14ac:dyDescent="0.35">
      <c r="A25" t="s">
        <v>115</v>
      </c>
      <c r="B25" t="s">
        <v>59</v>
      </c>
      <c r="C25" t="s">
        <v>122</v>
      </c>
      <c r="D25" t="s">
        <v>150</v>
      </c>
      <c r="E25" t="s">
        <v>151</v>
      </c>
      <c r="F25" t="s">
        <v>152</v>
      </c>
      <c r="G25">
        <v>1173334</v>
      </c>
      <c r="H25">
        <v>29000</v>
      </c>
      <c r="I25">
        <v>1202334</v>
      </c>
      <c r="J25">
        <v>0</v>
      </c>
      <c r="K25">
        <v>29000</v>
      </c>
      <c r="L25">
        <v>0</v>
      </c>
      <c r="M25">
        <v>1173334</v>
      </c>
      <c r="N25">
        <v>0</v>
      </c>
      <c r="O25">
        <v>0</v>
      </c>
      <c r="P25" t="s">
        <v>153</v>
      </c>
      <c r="Q25" t="s">
        <v>34</v>
      </c>
      <c r="R25" t="s">
        <v>34</v>
      </c>
      <c r="S25" t="s">
        <v>41</v>
      </c>
      <c r="T25" t="s">
        <v>34</v>
      </c>
      <c r="U25" t="s">
        <v>35</v>
      </c>
      <c r="V25" t="s">
        <v>116</v>
      </c>
      <c r="X25">
        <v>586667</v>
      </c>
      <c r="Y25">
        <v>2</v>
      </c>
    </row>
    <row r="26" spans="1:25" x14ac:dyDescent="0.35">
      <c r="A26" t="s">
        <v>154</v>
      </c>
      <c r="B26" t="s">
        <v>64</v>
      </c>
      <c r="C26" t="s">
        <v>83</v>
      </c>
      <c r="D26" t="s">
        <v>155</v>
      </c>
      <c r="E26" t="s">
        <v>156</v>
      </c>
      <c r="F26" t="s">
        <v>152</v>
      </c>
      <c r="G26">
        <v>1485000</v>
      </c>
      <c r="H26">
        <v>0</v>
      </c>
      <c r="I26">
        <v>1485000</v>
      </c>
      <c r="J26">
        <v>0</v>
      </c>
      <c r="K26">
        <v>0</v>
      </c>
      <c r="L26">
        <v>0</v>
      </c>
      <c r="M26">
        <v>1485000</v>
      </c>
      <c r="N26">
        <v>0</v>
      </c>
      <c r="O26">
        <v>0</v>
      </c>
      <c r="P26" t="s">
        <v>157</v>
      </c>
      <c r="S26" t="s">
        <v>41</v>
      </c>
      <c r="T26" t="s">
        <v>34</v>
      </c>
      <c r="U26" t="s">
        <v>35</v>
      </c>
      <c r="V26" t="s">
        <v>145</v>
      </c>
      <c r="X26">
        <v>495000</v>
      </c>
      <c r="Y26">
        <v>3</v>
      </c>
    </row>
    <row r="27" spans="1:25" x14ac:dyDescent="0.35">
      <c r="A27" t="s">
        <v>158</v>
      </c>
      <c r="B27" t="s">
        <v>29</v>
      </c>
      <c r="C27" t="s">
        <v>37</v>
      </c>
      <c r="D27" t="s">
        <v>159</v>
      </c>
      <c r="E27" t="s">
        <v>160</v>
      </c>
      <c r="F27" t="s">
        <v>152</v>
      </c>
      <c r="G27">
        <v>899000</v>
      </c>
      <c r="H27">
        <v>0</v>
      </c>
      <c r="I27">
        <v>899000</v>
      </c>
      <c r="J27">
        <v>0</v>
      </c>
      <c r="K27">
        <v>0</v>
      </c>
      <c r="L27">
        <v>0</v>
      </c>
      <c r="M27">
        <v>899000</v>
      </c>
      <c r="N27">
        <v>0</v>
      </c>
      <c r="O27">
        <v>0</v>
      </c>
      <c r="P27" t="s">
        <v>161</v>
      </c>
      <c r="Q27" t="s">
        <v>34</v>
      </c>
      <c r="R27" t="s">
        <v>34</v>
      </c>
      <c r="S27" t="s">
        <v>41</v>
      </c>
      <c r="T27" t="s">
        <v>34</v>
      </c>
      <c r="U27" t="s">
        <v>35</v>
      </c>
      <c r="V27" t="s">
        <v>162</v>
      </c>
      <c r="X27">
        <v>899000</v>
      </c>
      <c r="Y27">
        <v>1</v>
      </c>
    </row>
    <row r="28" spans="1:25" x14ac:dyDescent="0.35">
      <c r="A28" t="s">
        <v>2735</v>
      </c>
      <c r="B28" t="s">
        <v>29</v>
      </c>
      <c r="C28" t="s">
        <v>413</v>
      </c>
      <c r="D28" t="s">
        <v>3158</v>
      </c>
      <c r="E28" t="s">
        <v>3159</v>
      </c>
      <c r="F28" t="s">
        <v>3160</v>
      </c>
      <c r="G28">
        <v>760000</v>
      </c>
      <c r="H28">
        <v>0</v>
      </c>
      <c r="I28">
        <v>760000</v>
      </c>
      <c r="J28">
        <v>0</v>
      </c>
      <c r="K28">
        <v>0</v>
      </c>
      <c r="L28">
        <v>0</v>
      </c>
      <c r="M28">
        <v>760000</v>
      </c>
      <c r="N28">
        <v>0</v>
      </c>
      <c r="O28">
        <v>0</v>
      </c>
      <c r="P28" t="s">
        <v>34</v>
      </c>
      <c r="Q28" t="s">
        <v>34</v>
      </c>
      <c r="R28" t="s">
        <v>34</v>
      </c>
      <c r="S28" t="s">
        <v>41</v>
      </c>
      <c r="T28" t="s">
        <v>34</v>
      </c>
      <c r="U28" t="s">
        <v>35</v>
      </c>
      <c r="V28" t="s">
        <v>3161</v>
      </c>
      <c r="X28">
        <v>760000</v>
      </c>
      <c r="Y28">
        <v>1</v>
      </c>
    </row>
    <row r="29" spans="1:25" x14ac:dyDescent="0.35">
      <c r="A29" t="s">
        <v>2760</v>
      </c>
      <c r="B29" t="s">
        <v>64</v>
      </c>
      <c r="C29" t="s">
        <v>83</v>
      </c>
      <c r="D29" t="s">
        <v>3155</v>
      </c>
      <c r="E29" t="s">
        <v>3156</v>
      </c>
      <c r="F29" t="s">
        <v>3152</v>
      </c>
      <c r="G29">
        <v>494000</v>
      </c>
      <c r="H29">
        <v>0</v>
      </c>
      <c r="I29">
        <v>494000</v>
      </c>
      <c r="J29">
        <v>0</v>
      </c>
      <c r="K29">
        <v>0</v>
      </c>
      <c r="L29">
        <v>0</v>
      </c>
      <c r="M29">
        <v>494000</v>
      </c>
      <c r="N29">
        <v>0</v>
      </c>
      <c r="O29">
        <v>0</v>
      </c>
      <c r="P29" t="s">
        <v>34</v>
      </c>
      <c r="Q29" t="s">
        <v>34</v>
      </c>
      <c r="R29" t="s">
        <v>34</v>
      </c>
      <c r="S29" t="s">
        <v>41</v>
      </c>
      <c r="T29" t="s">
        <v>34</v>
      </c>
      <c r="U29" t="s">
        <v>35</v>
      </c>
      <c r="V29" t="s">
        <v>3157</v>
      </c>
      <c r="X29">
        <v>494000</v>
      </c>
      <c r="Y29">
        <v>1</v>
      </c>
    </row>
    <row r="30" spans="1:25" x14ac:dyDescent="0.35">
      <c r="A30" t="s">
        <v>172</v>
      </c>
      <c r="B30" t="s">
        <v>64</v>
      </c>
      <c r="C30" t="s">
        <v>173</v>
      </c>
      <c r="D30" t="s">
        <v>174</v>
      </c>
      <c r="E30" t="s">
        <v>175</v>
      </c>
      <c r="F30" t="s">
        <v>170</v>
      </c>
      <c r="G30">
        <v>400000</v>
      </c>
      <c r="H30">
        <v>0</v>
      </c>
      <c r="I30">
        <v>400000</v>
      </c>
      <c r="J30">
        <v>0</v>
      </c>
      <c r="K30">
        <v>0</v>
      </c>
      <c r="L30">
        <v>0</v>
      </c>
      <c r="M30">
        <v>400000</v>
      </c>
      <c r="N30">
        <v>0</v>
      </c>
      <c r="O30">
        <v>0</v>
      </c>
      <c r="P30" t="s">
        <v>176</v>
      </c>
      <c r="Q30" t="s">
        <v>34</v>
      </c>
      <c r="R30" t="s">
        <v>34</v>
      </c>
      <c r="S30" t="s">
        <v>41</v>
      </c>
      <c r="T30" t="s">
        <v>34</v>
      </c>
      <c r="U30" t="s">
        <v>35</v>
      </c>
      <c r="V30" t="s">
        <v>177</v>
      </c>
      <c r="X30">
        <v>400000</v>
      </c>
      <c r="Y30">
        <v>1</v>
      </c>
    </row>
    <row r="31" spans="1:25" x14ac:dyDescent="0.35">
      <c r="A31" t="s">
        <v>115</v>
      </c>
      <c r="B31" t="s">
        <v>71</v>
      </c>
      <c r="C31" t="s">
        <v>95</v>
      </c>
      <c r="D31" t="s">
        <v>150</v>
      </c>
      <c r="E31" t="s">
        <v>151</v>
      </c>
      <c r="F31" t="s">
        <v>178</v>
      </c>
      <c r="G31">
        <v>1833334</v>
      </c>
      <c r="H31">
        <v>0</v>
      </c>
      <c r="I31">
        <v>1833334</v>
      </c>
      <c r="J31">
        <v>0</v>
      </c>
      <c r="K31">
        <v>580000</v>
      </c>
      <c r="L31">
        <v>0</v>
      </c>
      <c r="M31">
        <v>1253334</v>
      </c>
      <c r="N31">
        <v>0</v>
      </c>
      <c r="O31">
        <v>0</v>
      </c>
      <c r="P31" t="s">
        <v>153</v>
      </c>
      <c r="Q31" t="s">
        <v>34</v>
      </c>
      <c r="R31" t="s">
        <v>34</v>
      </c>
      <c r="S31" t="s">
        <v>41</v>
      </c>
      <c r="T31" t="s">
        <v>34</v>
      </c>
      <c r="U31" t="s">
        <v>35</v>
      </c>
      <c r="V31" t="s">
        <v>179</v>
      </c>
      <c r="X31">
        <v>916667</v>
      </c>
      <c r="Y31">
        <v>2</v>
      </c>
    </row>
    <row r="32" spans="1:25" x14ac:dyDescent="0.35">
      <c r="A32" t="s">
        <v>115</v>
      </c>
      <c r="B32" t="s">
        <v>71</v>
      </c>
      <c r="C32" t="s">
        <v>72</v>
      </c>
      <c r="D32" t="s">
        <v>150</v>
      </c>
      <c r="E32" t="s">
        <v>151</v>
      </c>
      <c r="F32" t="s">
        <v>180</v>
      </c>
      <c r="G32">
        <v>1833332</v>
      </c>
      <c r="H32">
        <v>0</v>
      </c>
      <c r="I32">
        <v>1833332</v>
      </c>
      <c r="J32">
        <v>0</v>
      </c>
      <c r="K32">
        <v>580000</v>
      </c>
      <c r="L32">
        <v>0</v>
      </c>
      <c r="M32">
        <v>1253332</v>
      </c>
      <c r="N32">
        <v>0</v>
      </c>
      <c r="O32">
        <v>0</v>
      </c>
      <c r="P32" t="s">
        <v>153</v>
      </c>
      <c r="Q32" t="s">
        <v>34</v>
      </c>
      <c r="R32" t="s">
        <v>34</v>
      </c>
      <c r="S32" t="s">
        <v>41</v>
      </c>
      <c r="T32" t="s">
        <v>34</v>
      </c>
      <c r="U32" t="s">
        <v>35</v>
      </c>
      <c r="V32" t="s">
        <v>154</v>
      </c>
      <c r="X32">
        <v>916666</v>
      </c>
      <c r="Y32">
        <v>2</v>
      </c>
    </row>
    <row r="33" spans="1:25" x14ac:dyDescent="0.35">
      <c r="A33" t="s">
        <v>181</v>
      </c>
      <c r="B33" t="s">
        <v>59</v>
      </c>
      <c r="C33" t="s">
        <v>182</v>
      </c>
      <c r="D33" t="s">
        <v>183</v>
      </c>
      <c r="E33" t="s">
        <v>184</v>
      </c>
      <c r="F33" t="s">
        <v>185</v>
      </c>
      <c r="G33">
        <v>400000</v>
      </c>
      <c r="H33">
        <v>0</v>
      </c>
      <c r="I33">
        <v>400000</v>
      </c>
      <c r="J33">
        <v>0</v>
      </c>
      <c r="K33">
        <v>0</v>
      </c>
      <c r="L33">
        <v>0</v>
      </c>
      <c r="M33">
        <v>400000</v>
      </c>
      <c r="N33">
        <v>0</v>
      </c>
      <c r="O33">
        <v>0</v>
      </c>
      <c r="P33" t="s">
        <v>186</v>
      </c>
      <c r="Q33" t="s">
        <v>34</v>
      </c>
      <c r="R33" t="s">
        <v>34</v>
      </c>
      <c r="S33" t="s">
        <v>41</v>
      </c>
      <c r="T33" t="s">
        <v>34</v>
      </c>
      <c r="U33" t="s">
        <v>35</v>
      </c>
      <c r="V33" t="s">
        <v>187</v>
      </c>
      <c r="X33">
        <v>400000</v>
      </c>
      <c r="Y33">
        <v>1</v>
      </c>
    </row>
    <row r="34" spans="1:25" x14ac:dyDescent="0.35">
      <c r="A34" t="s">
        <v>162</v>
      </c>
      <c r="B34" t="s">
        <v>64</v>
      </c>
      <c r="C34" t="s">
        <v>89</v>
      </c>
      <c r="D34" t="s">
        <v>188</v>
      </c>
      <c r="E34" t="s">
        <v>189</v>
      </c>
      <c r="F34" t="s">
        <v>190</v>
      </c>
      <c r="G34">
        <v>990000</v>
      </c>
      <c r="H34">
        <v>0</v>
      </c>
      <c r="I34">
        <v>990000</v>
      </c>
      <c r="J34">
        <v>0</v>
      </c>
      <c r="K34">
        <v>495000</v>
      </c>
      <c r="L34">
        <v>0</v>
      </c>
      <c r="M34">
        <v>495000</v>
      </c>
      <c r="N34">
        <v>0</v>
      </c>
      <c r="O34">
        <v>0</v>
      </c>
      <c r="P34" t="s">
        <v>191</v>
      </c>
      <c r="Q34" t="s">
        <v>34</v>
      </c>
      <c r="R34" t="s">
        <v>34</v>
      </c>
      <c r="S34" t="s">
        <v>41</v>
      </c>
      <c r="T34" t="s">
        <v>34</v>
      </c>
      <c r="U34" t="s">
        <v>35</v>
      </c>
      <c r="V34" t="s">
        <v>192</v>
      </c>
      <c r="X34">
        <v>495000</v>
      </c>
      <c r="Y34">
        <v>2</v>
      </c>
    </row>
    <row r="35" spans="1:25" x14ac:dyDescent="0.35">
      <c r="A35" t="s">
        <v>166</v>
      </c>
      <c r="B35" t="s">
        <v>59</v>
      </c>
      <c r="C35" t="s">
        <v>193</v>
      </c>
      <c r="D35" t="s">
        <v>194</v>
      </c>
      <c r="E35" t="s">
        <v>195</v>
      </c>
      <c r="F35" t="s">
        <v>196</v>
      </c>
      <c r="G35">
        <v>1100000</v>
      </c>
      <c r="H35">
        <v>0</v>
      </c>
      <c r="I35">
        <v>1100000</v>
      </c>
      <c r="J35">
        <v>0</v>
      </c>
      <c r="K35">
        <v>1100000</v>
      </c>
      <c r="L35">
        <v>0</v>
      </c>
      <c r="M35">
        <v>0</v>
      </c>
      <c r="N35">
        <v>0</v>
      </c>
      <c r="O35">
        <v>0</v>
      </c>
      <c r="S35" t="s">
        <v>41</v>
      </c>
      <c r="T35" t="s">
        <v>34</v>
      </c>
      <c r="U35" t="s">
        <v>35</v>
      </c>
      <c r="V35" t="s">
        <v>197</v>
      </c>
      <c r="X35">
        <v>550000</v>
      </c>
      <c r="Y35">
        <v>2</v>
      </c>
    </row>
    <row r="36" spans="1:25" x14ac:dyDescent="0.35">
      <c r="A36" t="s">
        <v>2792</v>
      </c>
      <c r="B36" t="s">
        <v>64</v>
      </c>
      <c r="C36" t="s">
        <v>173</v>
      </c>
      <c r="D36" t="s">
        <v>3150</v>
      </c>
      <c r="E36" t="s">
        <v>3151</v>
      </c>
      <c r="F36" t="s">
        <v>3152</v>
      </c>
      <c r="G36">
        <v>494000</v>
      </c>
      <c r="H36">
        <v>0</v>
      </c>
      <c r="I36">
        <v>494000</v>
      </c>
      <c r="J36">
        <v>0</v>
      </c>
      <c r="K36">
        <v>0</v>
      </c>
      <c r="L36">
        <v>0</v>
      </c>
      <c r="M36">
        <v>494000</v>
      </c>
      <c r="N36">
        <v>0</v>
      </c>
      <c r="O36">
        <v>0</v>
      </c>
      <c r="P36" t="s">
        <v>34</v>
      </c>
      <c r="Q36" t="s">
        <v>34</v>
      </c>
      <c r="R36" t="s">
        <v>3153</v>
      </c>
      <c r="S36" t="s">
        <v>41</v>
      </c>
      <c r="T36" t="s">
        <v>34</v>
      </c>
      <c r="U36" t="s">
        <v>35</v>
      </c>
      <c r="V36" t="s">
        <v>3154</v>
      </c>
      <c r="X36">
        <v>494000</v>
      </c>
      <c r="Y36">
        <v>1</v>
      </c>
    </row>
    <row r="37" spans="1:25" x14ac:dyDescent="0.35">
      <c r="A37" t="s">
        <v>187</v>
      </c>
      <c r="B37" t="s">
        <v>64</v>
      </c>
      <c r="C37" t="s">
        <v>173</v>
      </c>
      <c r="D37" t="s">
        <v>203</v>
      </c>
      <c r="E37" t="s">
        <v>204</v>
      </c>
      <c r="F37" t="s">
        <v>205</v>
      </c>
      <c r="G37">
        <v>349000</v>
      </c>
      <c r="H37">
        <v>0</v>
      </c>
      <c r="I37">
        <v>349000</v>
      </c>
      <c r="J37">
        <v>0</v>
      </c>
      <c r="K37">
        <v>349000</v>
      </c>
      <c r="L37">
        <v>0</v>
      </c>
      <c r="M37">
        <v>0</v>
      </c>
      <c r="N37">
        <v>0</v>
      </c>
      <c r="O37">
        <v>0</v>
      </c>
      <c r="P37" t="s">
        <v>34</v>
      </c>
      <c r="Q37" t="s">
        <v>34</v>
      </c>
      <c r="R37" t="s">
        <v>34</v>
      </c>
      <c r="S37" t="s">
        <v>41</v>
      </c>
      <c r="T37" t="s">
        <v>34</v>
      </c>
      <c r="U37" t="s">
        <v>35</v>
      </c>
      <c r="V37" t="s">
        <v>206</v>
      </c>
      <c r="X37">
        <v>349000</v>
      </c>
      <c r="Y37">
        <v>1</v>
      </c>
    </row>
    <row r="38" spans="1:25" x14ac:dyDescent="0.35">
      <c r="A38" t="s">
        <v>2717</v>
      </c>
      <c r="B38" t="s">
        <v>29</v>
      </c>
      <c r="C38" t="s">
        <v>385</v>
      </c>
      <c r="D38" t="s">
        <v>3133</v>
      </c>
      <c r="E38" t="s">
        <v>3148</v>
      </c>
      <c r="F38" t="s">
        <v>3146</v>
      </c>
      <c r="G38">
        <v>650000</v>
      </c>
      <c r="H38">
        <v>0</v>
      </c>
      <c r="I38">
        <v>650000</v>
      </c>
      <c r="J38">
        <v>0</v>
      </c>
      <c r="K38">
        <v>650000</v>
      </c>
      <c r="L38">
        <v>0</v>
      </c>
      <c r="M38">
        <v>0</v>
      </c>
      <c r="N38">
        <v>0</v>
      </c>
      <c r="O38">
        <v>0</v>
      </c>
      <c r="P38" t="s">
        <v>34</v>
      </c>
      <c r="Q38" t="s">
        <v>34</v>
      </c>
      <c r="R38" t="s">
        <v>34</v>
      </c>
      <c r="S38" t="s">
        <v>41</v>
      </c>
      <c r="T38" t="s">
        <v>34</v>
      </c>
      <c r="U38" t="s">
        <v>35</v>
      </c>
      <c r="V38" t="s">
        <v>3149</v>
      </c>
      <c r="X38">
        <v>650000</v>
      </c>
      <c r="Y38">
        <v>1</v>
      </c>
    </row>
    <row r="39" spans="1:25" x14ac:dyDescent="0.35">
      <c r="A39" t="s">
        <v>211</v>
      </c>
      <c r="B39" t="s">
        <v>64</v>
      </c>
      <c r="C39" t="s">
        <v>89</v>
      </c>
      <c r="D39" t="s">
        <v>212</v>
      </c>
      <c r="E39" t="s">
        <v>213</v>
      </c>
      <c r="F39" t="s">
        <v>214</v>
      </c>
      <c r="G39">
        <v>349000</v>
      </c>
      <c r="H39">
        <v>0</v>
      </c>
      <c r="I39">
        <v>349000</v>
      </c>
      <c r="J39">
        <v>0</v>
      </c>
      <c r="K39">
        <v>349000</v>
      </c>
      <c r="L39">
        <v>0</v>
      </c>
      <c r="M39">
        <v>0</v>
      </c>
      <c r="N39">
        <v>0</v>
      </c>
      <c r="O39">
        <v>0</v>
      </c>
      <c r="P39" t="s">
        <v>34</v>
      </c>
      <c r="Q39" t="s">
        <v>34</v>
      </c>
      <c r="R39" t="s">
        <v>34</v>
      </c>
      <c r="S39" t="s">
        <v>41</v>
      </c>
      <c r="T39" t="s">
        <v>34</v>
      </c>
      <c r="U39" t="s">
        <v>35</v>
      </c>
      <c r="V39" t="s">
        <v>215</v>
      </c>
      <c r="X39">
        <v>349000</v>
      </c>
      <c r="Y39">
        <v>1</v>
      </c>
    </row>
    <row r="40" spans="1:25" x14ac:dyDescent="0.35">
      <c r="A40" t="s">
        <v>171</v>
      </c>
      <c r="B40" t="s">
        <v>64</v>
      </c>
      <c r="C40" t="s">
        <v>99</v>
      </c>
      <c r="D40" t="s">
        <v>216</v>
      </c>
      <c r="E40" t="s">
        <v>217</v>
      </c>
      <c r="F40" t="s">
        <v>218</v>
      </c>
      <c r="G40">
        <v>1290000</v>
      </c>
      <c r="H40">
        <v>0</v>
      </c>
      <c r="I40">
        <v>1290000</v>
      </c>
      <c r="J40">
        <v>0</v>
      </c>
      <c r="K40">
        <v>0</v>
      </c>
      <c r="L40">
        <v>0</v>
      </c>
      <c r="M40">
        <v>840000</v>
      </c>
      <c r="N40">
        <v>450000</v>
      </c>
      <c r="O40">
        <v>0</v>
      </c>
      <c r="P40" t="s">
        <v>219</v>
      </c>
      <c r="Q40" t="s">
        <v>34</v>
      </c>
      <c r="R40" t="s">
        <v>34</v>
      </c>
      <c r="S40" t="s">
        <v>41</v>
      </c>
      <c r="T40" t="s">
        <v>34</v>
      </c>
      <c r="U40" t="s">
        <v>35</v>
      </c>
      <c r="V40" t="s">
        <v>172</v>
      </c>
      <c r="X40">
        <v>430000</v>
      </c>
      <c r="Y40">
        <v>3</v>
      </c>
    </row>
    <row r="41" spans="1:25" x14ac:dyDescent="0.35">
      <c r="A41" t="s">
        <v>220</v>
      </c>
      <c r="B41" t="s">
        <v>64</v>
      </c>
      <c r="C41" t="s">
        <v>173</v>
      </c>
      <c r="D41" t="s">
        <v>221</v>
      </c>
      <c r="E41" t="s">
        <v>222</v>
      </c>
      <c r="F41" t="s">
        <v>223</v>
      </c>
      <c r="G41">
        <v>490000</v>
      </c>
      <c r="H41">
        <v>0</v>
      </c>
      <c r="I41">
        <v>490000</v>
      </c>
      <c r="J41">
        <v>0</v>
      </c>
      <c r="K41">
        <v>0</v>
      </c>
      <c r="L41">
        <v>0</v>
      </c>
      <c r="M41">
        <v>490000</v>
      </c>
      <c r="N41">
        <v>0</v>
      </c>
      <c r="O41">
        <v>0</v>
      </c>
      <c r="P41" t="s">
        <v>224</v>
      </c>
      <c r="S41" t="s">
        <v>41</v>
      </c>
      <c r="T41" t="s">
        <v>34</v>
      </c>
      <c r="U41" t="s">
        <v>35</v>
      </c>
      <c r="V41" t="s">
        <v>225</v>
      </c>
      <c r="X41">
        <v>490000</v>
      </c>
      <c r="Y41">
        <v>1</v>
      </c>
    </row>
    <row r="42" spans="1:25" x14ac:dyDescent="0.35">
      <c r="A42" t="s">
        <v>220</v>
      </c>
      <c r="B42" t="s">
        <v>59</v>
      </c>
      <c r="C42" t="s">
        <v>193</v>
      </c>
      <c r="D42" t="s">
        <v>226</v>
      </c>
      <c r="E42" t="s">
        <v>222</v>
      </c>
      <c r="F42" t="s">
        <v>223</v>
      </c>
      <c r="G42">
        <v>490000</v>
      </c>
      <c r="H42">
        <v>0</v>
      </c>
      <c r="I42">
        <v>490000</v>
      </c>
      <c r="J42">
        <v>0</v>
      </c>
      <c r="K42">
        <v>0</v>
      </c>
      <c r="L42">
        <v>0</v>
      </c>
      <c r="M42">
        <v>490000</v>
      </c>
      <c r="N42">
        <v>0</v>
      </c>
      <c r="O42">
        <v>0</v>
      </c>
      <c r="S42" t="s">
        <v>41</v>
      </c>
      <c r="T42" t="s">
        <v>34</v>
      </c>
      <c r="U42" t="s">
        <v>35</v>
      </c>
      <c r="V42" t="s">
        <v>227</v>
      </c>
      <c r="X42">
        <v>490000</v>
      </c>
      <c r="Y42">
        <v>1</v>
      </c>
    </row>
    <row r="43" spans="1:25" x14ac:dyDescent="0.35">
      <c r="A43" t="s">
        <v>228</v>
      </c>
      <c r="B43" t="s">
        <v>64</v>
      </c>
      <c r="C43" t="s">
        <v>76</v>
      </c>
      <c r="D43" t="s">
        <v>229</v>
      </c>
      <c r="E43" t="s">
        <v>230</v>
      </c>
      <c r="F43" t="s">
        <v>231</v>
      </c>
      <c r="G43">
        <v>2475000</v>
      </c>
      <c r="H43">
        <v>0</v>
      </c>
      <c r="I43">
        <v>2475000</v>
      </c>
      <c r="J43">
        <v>0</v>
      </c>
      <c r="K43">
        <v>0</v>
      </c>
      <c r="L43">
        <v>0</v>
      </c>
      <c r="M43">
        <v>0</v>
      </c>
      <c r="N43">
        <v>2475000</v>
      </c>
      <c r="O43">
        <v>0</v>
      </c>
      <c r="S43" t="s">
        <v>41</v>
      </c>
      <c r="T43" t="s">
        <v>34</v>
      </c>
      <c r="U43" t="s">
        <v>35</v>
      </c>
      <c r="V43" t="s">
        <v>228</v>
      </c>
      <c r="X43">
        <v>495000</v>
      </c>
      <c r="Y43">
        <v>5</v>
      </c>
    </row>
    <row r="44" spans="1:25" x14ac:dyDescent="0.35">
      <c r="A44" t="s">
        <v>2704</v>
      </c>
      <c r="B44" t="s">
        <v>71</v>
      </c>
      <c r="C44" t="s">
        <v>95</v>
      </c>
      <c r="D44" t="s">
        <v>3144</v>
      </c>
      <c r="E44" t="s">
        <v>3145</v>
      </c>
      <c r="F44" t="s">
        <v>3146</v>
      </c>
      <c r="G44">
        <v>988000</v>
      </c>
      <c r="H44">
        <v>0</v>
      </c>
      <c r="I44">
        <v>988000</v>
      </c>
      <c r="J44">
        <v>0</v>
      </c>
      <c r="K44">
        <v>0</v>
      </c>
      <c r="L44">
        <v>0</v>
      </c>
      <c r="M44">
        <v>988000</v>
      </c>
      <c r="N44">
        <v>0</v>
      </c>
      <c r="O44">
        <v>0</v>
      </c>
      <c r="S44" t="s">
        <v>41</v>
      </c>
      <c r="T44" t="s">
        <v>34</v>
      </c>
      <c r="U44" t="s">
        <v>35</v>
      </c>
      <c r="V44" t="s">
        <v>3147</v>
      </c>
      <c r="X44">
        <v>494000</v>
      </c>
      <c r="Y44">
        <v>2</v>
      </c>
    </row>
    <row r="45" spans="1:25" x14ac:dyDescent="0.35">
      <c r="A45" t="s">
        <v>2648</v>
      </c>
      <c r="B45" t="s">
        <v>59</v>
      </c>
      <c r="C45" t="s">
        <v>60</v>
      </c>
      <c r="D45" t="s">
        <v>3129</v>
      </c>
      <c r="E45" t="s">
        <v>3068</v>
      </c>
      <c r="F45" t="s">
        <v>3130</v>
      </c>
      <c r="G45">
        <v>1132000</v>
      </c>
      <c r="H45">
        <v>0</v>
      </c>
      <c r="I45">
        <v>1132000</v>
      </c>
      <c r="J45">
        <v>0</v>
      </c>
      <c r="K45">
        <v>0</v>
      </c>
      <c r="L45">
        <v>0</v>
      </c>
      <c r="M45">
        <v>1132000</v>
      </c>
      <c r="N45">
        <v>0</v>
      </c>
      <c r="O45">
        <v>0</v>
      </c>
      <c r="P45" t="s">
        <v>3131</v>
      </c>
      <c r="Q45" t="s">
        <v>34</v>
      </c>
      <c r="R45" t="s">
        <v>34</v>
      </c>
      <c r="S45" t="s">
        <v>41</v>
      </c>
      <c r="T45" t="s">
        <v>34</v>
      </c>
      <c r="U45" t="s">
        <v>35</v>
      </c>
      <c r="V45" t="s">
        <v>3132</v>
      </c>
      <c r="X45">
        <v>566000</v>
      </c>
      <c r="Y45">
        <v>2</v>
      </c>
    </row>
    <row r="46" spans="1:25" x14ac:dyDescent="0.35">
      <c r="A46" t="s">
        <v>2579</v>
      </c>
      <c r="B46" t="s">
        <v>29</v>
      </c>
      <c r="C46" t="s">
        <v>413</v>
      </c>
      <c r="D46" t="s">
        <v>3111</v>
      </c>
      <c r="E46" t="s">
        <v>3112</v>
      </c>
      <c r="F46" t="s">
        <v>3113</v>
      </c>
      <c r="G46">
        <v>2037390</v>
      </c>
      <c r="H46">
        <v>0</v>
      </c>
      <c r="I46">
        <v>2037390</v>
      </c>
      <c r="J46">
        <v>0</v>
      </c>
      <c r="K46">
        <v>300000</v>
      </c>
      <c r="L46">
        <v>0</v>
      </c>
      <c r="M46">
        <v>1737390</v>
      </c>
      <c r="N46">
        <v>0</v>
      </c>
      <c r="O46">
        <v>0</v>
      </c>
      <c r="P46" t="s">
        <v>3114</v>
      </c>
      <c r="Q46" t="s">
        <v>34</v>
      </c>
      <c r="R46" t="s">
        <v>34</v>
      </c>
      <c r="S46" t="s">
        <v>41</v>
      </c>
      <c r="T46" t="s">
        <v>34</v>
      </c>
      <c r="U46" t="s">
        <v>35</v>
      </c>
      <c r="V46" t="s">
        <v>3115</v>
      </c>
      <c r="X46">
        <v>679130</v>
      </c>
      <c r="Y46">
        <v>3</v>
      </c>
    </row>
    <row r="47" spans="1:25" x14ac:dyDescent="0.35">
      <c r="A47" t="s">
        <v>2627</v>
      </c>
      <c r="B47" t="s">
        <v>59</v>
      </c>
      <c r="C47" t="s">
        <v>193</v>
      </c>
      <c r="D47" t="s">
        <v>3087</v>
      </c>
      <c r="E47" t="s">
        <v>3088</v>
      </c>
      <c r="F47" t="s">
        <v>3085</v>
      </c>
      <c r="G47">
        <v>1168000</v>
      </c>
      <c r="H47">
        <v>0</v>
      </c>
      <c r="I47">
        <v>1168000</v>
      </c>
      <c r="J47">
        <v>0</v>
      </c>
      <c r="K47">
        <v>0</v>
      </c>
      <c r="L47">
        <v>0</v>
      </c>
      <c r="M47">
        <v>1168000</v>
      </c>
      <c r="N47">
        <v>0</v>
      </c>
      <c r="O47">
        <v>0</v>
      </c>
      <c r="S47" t="s">
        <v>41</v>
      </c>
      <c r="T47" t="s">
        <v>34</v>
      </c>
      <c r="U47" t="s">
        <v>35</v>
      </c>
      <c r="V47" t="s">
        <v>3089</v>
      </c>
      <c r="X47">
        <v>584000</v>
      </c>
      <c r="Y47">
        <v>2</v>
      </c>
    </row>
    <row r="48" spans="1:25" x14ac:dyDescent="0.35">
      <c r="A48" t="s">
        <v>197</v>
      </c>
      <c r="B48" t="s">
        <v>64</v>
      </c>
      <c r="C48" t="s">
        <v>99</v>
      </c>
      <c r="D48" t="s">
        <v>254</v>
      </c>
      <c r="E48" t="s">
        <v>255</v>
      </c>
      <c r="F48" t="s">
        <v>256</v>
      </c>
      <c r="G48">
        <v>945000</v>
      </c>
      <c r="H48">
        <v>0</v>
      </c>
      <c r="I48">
        <v>945000</v>
      </c>
      <c r="J48">
        <v>0</v>
      </c>
      <c r="K48">
        <v>0</v>
      </c>
      <c r="L48">
        <v>0</v>
      </c>
      <c r="M48">
        <v>945000</v>
      </c>
      <c r="N48">
        <v>0</v>
      </c>
      <c r="O48">
        <v>0</v>
      </c>
      <c r="P48" t="s">
        <v>34</v>
      </c>
      <c r="Q48" t="s">
        <v>257</v>
      </c>
      <c r="R48" t="s">
        <v>34</v>
      </c>
      <c r="S48" t="s">
        <v>41</v>
      </c>
      <c r="T48" t="s">
        <v>34</v>
      </c>
      <c r="U48" t="s">
        <v>35</v>
      </c>
      <c r="V48" t="s">
        <v>181</v>
      </c>
      <c r="X48">
        <v>472500</v>
      </c>
      <c r="Y48">
        <v>2</v>
      </c>
    </row>
    <row r="49" spans="1:25" x14ac:dyDescent="0.35">
      <c r="A49" t="s">
        <v>225</v>
      </c>
      <c r="B49" t="s">
        <v>64</v>
      </c>
      <c r="C49" t="s">
        <v>83</v>
      </c>
      <c r="D49" t="s">
        <v>258</v>
      </c>
      <c r="E49" t="s">
        <v>259</v>
      </c>
      <c r="F49" t="s">
        <v>256</v>
      </c>
      <c r="G49">
        <v>580000</v>
      </c>
      <c r="H49">
        <v>0</v>
      </c>
      <c r="I49">
        <v>580000</v>
      </c>
      <c r="J49">
        <v>0</v>
      </c>
      <c r="K49">
        <v>580000</v>
      </c>
      <c r="L49">
        <v>0</v>
      </c>
      <c r="M49">
        <v>0</v>
      </c>
      <c r="N49">
        <v>0</v>
      </c>
      <c r="O49">
        <v>0</v>
      </c>
      <c r="S49" t="s">
        <v>41</v>
      </c>
      <c r="T49" t="s">
        <v>34</v>
      </c>
      <c r="U49" t="s">
        <v>35</v>
      </c>
      <c r="V49" t="s">
        <v>260</v>
      </c>
      <c r="X49">
        <v>580000</v>
      </c>
      <c r="Y49">
        <v>1</v>
      </c>
    </row>
    <row r="50" spans="1:25" x14ac:dyDescent="0.35">
      <c r="A50" t="s">
        <v>261</v>
      </c>
      <c r="B50" t="s">
        <v>59</v>
      </c>
      <c r="C50" t="s">
        <v>60</v>
      </c>
      <c r="D50" t="s">
        <v>262</v>
      </c>
      <c r="E50" t="s">
        <v>263</v>
      </c>
      <c r="F50" t="s">
        <v>264</v>
      </c>
      <c r="G50">
        <v>1350000</v>
      </c>
      <c r="H50">
        <v>0</v>
      </c>
      <c r="I50">
        <v>1350000</v>
      </c>
      <c r="J50">
        <v>0</v>
      </c>
      <c r="K50">
        <v>0</v>
      </c>
      <c r="L50">
        <v>0</v>
      </c>
      <c r="M50">
        <v>1350000</v>
      </c>
      <c r="N50">
        <v>0</v>
      </c>
      <c r="O50">
        <v>0</v>
      </c>
      <c r="P50" t="s">
        <v>265</v>
      </c>
      <c r="Q50" t="s">
        <v>34</v>
      </c>
      <c r="R50" t="s">
        <v>34</v>
      </c>
      <c r="S50" t="s">
        <v>41</v>
      </c>
      <c r="T50" t="s">
        <v>34</v>
      </c>
      <c r="U50" t="s">
        <v>35</v>
      </c>
      <c r="V50" t="s">
        <v>266</v>
      </c>
      <c r="X50">
        <v>675000</v>
      </c>
      <c r="Y50">
        <v>2</v>
      </c>
    </row>
    <row r="51" spans="1:25" x14ac:dyDescent="0.35">
      <c r="A51" t="s">
        <v>2711</v>
      </c>
      <c r="B51" t="s">
        <v>29</v>
      </c>
      <c r="C51" t="s">
        <v>110</v>
      </c>
      <c r="D51" t="s">
        <v>3083</v>
      </c>
      <c r="E51" t="s">
        <v>3084</v>
      </c>
      <c r="F51" t="s">
        <v>3085</v>
      </c>
      <c r="G51">
        <v>1600000</v>
      </c>
      <c r="H51">
        <v>0</v>
      </c>
      <c r="I51">
        <v>1600000</v>
      </c>
      <c r="J51">
        <v>0</v>
      </c>
      <c r="K51">
        <v>1600000</v>
      </c>
      <c r="L51">
        <v>0</v>
      </c>
      <c r="M51">
        <v>0</v>
      </c>
      <c r="N51">
        <v>0</v>
      </c>
      <c r="O51">
        <v>0</v>
      </c>
      <c r="P51" t="s">
        <v>34</v>
      </c>
      <c r="Q51" t="s">
        <v>34</v>
      </c>
      <c r="R51" t="s">
        <v>34</v>
      </c>
      <c r="S51" t="s">
        <v>41</v>
      </c>
      <c r="T51" t="s">
        <v>34</v>
      </c>
      <c r="U51" t="s">
        <v>35</v>
      </c>
      <c r="V51" t="s">
        <v>3086</v>
      </c>
      <c r="X51">
        <v>800000</v>
      </c>
      <c r="Y51">
        <v>2</v>
      </c>
    </row>
    <row r="52" spans="1:25" x14ac:dyDescent="0.35">
      <c r="A52" t="s">
        <v>2621</v>
      </c>
      <c r="B52" t="s">
        <v>29</v>
      </c>
      <c r="C52" t="s">
        <v>30</v>
      </c>
      <c r="D52" t="s">
        <v>3080</v>
      </c>
      <c r="E52" t="s">
        <v>3068</v>
      </c>
      <c r="F52" t="s">
        <v>3081</v>
      </c>
      <c r="G52">
        <v>720000</v>
      </c>
      <c r="H52">
        <v>0</v>
      </c>
      <c r="I52">
        <v>720000</v>
      </c>
      <c r="J52">
        <v>0</v>
      </c>
      <c r="K52">
        <v>0</v>
      </c>
      <c r="L52">
        <v>0</v>
      </c>
      <c r="M52">
        <v>720000</v>
      </c>
      <c r="N52">
        <v>0</v>
      </c>
      <c r="O52">
        <v>0</v>
      </c>
      <c r="P52" t="s">
        <v>34</v>
      </c>
      <c r="Q52" t="s">
        <v>34</v>
      </c>
      <c r="R52" t="s">
        <v>34</v>
      </c>
      <c r="S52" t="s">
        <v>41</v>
      </c>
      <c r="T52" t="s">
        <v>34</v>
      </c>
      <c r="U52" t="s">
        <v>35</v>
      </c>
      <c r="V52" t="s">
        <v>3082</v>
      </c>
      <c r="X52">
        <v>720000</v>
      </c>
      <c r="Y52">
        <v>1</v>
      </c>
    </row>
    <row r="53" spans="1:25" x14ac:dyDescent="0.35">
      <c r="A53" t="s">
        <v>277</v>
      </c>
      <c r="B53" t="s">
        <v>64</v>
      </c>
      <c r="C53" t="s">
        <v>173</v>
      </c>
      <c r="D53" t="s">
        <v>278</v>
      </c>
      <c r="E53" t="s">
        <v>279</v>
      </c>
      <c r="F53" t="s">
        <v>274</v>
      </c>
      <c r="G53">
        <v>1168000</v>
      </c>
      <c r="H53">
        <v>30000</v>
      </c>
      <c r="I53">
        <v>1198000</v>
      </c>
      <c r="J53">
        <v>0</v>
      </c>
      <c r="K53">
        <v>30000</v>
      </c>
      <c r="L53">
        <v>0</v>
      </c>
      <c r="M53">
        <v>1168000</v>
      </c>
      <c r="N53">
        <v>0</v>
      </c>
      <c r="O53">
        <v>0</v>
      </c>
      <c r="P53" t="s">
        <v>280</v>
      </c>
      <c r="Q53" t="s">
        <v>34</v>
      </c>
      <c r="R53" t="s">
        <v>34</v>
      </c>
      <c r="S53" t="s">
        <v>41</v>
      </c>
      <c r="T53" t="s">
        <v>34</v>
      </c>
      <c r="U53" t="s">
        <v>35</v>
      </c>
      <c r="V53" t="s">
        <v>281</v>
      </c>
      <c r="X53">
        <v>584000</v>
      </c>
      <c r="Y53">
        <v>2</v>
      </c>
    </row>
    <row r="54" spans="1:25" x14ac:dyDescent="0.35">
      <c r="A54" t="s">
        <v>2568</v>
      </c>
      <c r="B54" t="s">
        <v>64</v>
      </c>
      <c r="C54" t="s">
        <v>65</v>
      </c>
      <c r="D54" t="s">
        <v>3063</v>
      </c>
      <c r="E54" t="s">
        <v>3064</v>
      </c>
      <c r="F54" t="s">
        <v>3057</v>
      </c>
      <c r="G54">
        <v>1160000</v>
      </c>
      <c r="H54">
        <v>0</v>
      </c>
      <c r="I54">
        <v>1160000</v>
      </c>
      <c r="J54">
        <v>0</v>
      </c>
      <c r="K54">
        <v>1160000</v>
      </c>
      <c r="L54">
        <v>0</v>
      </c>
      <c r="M54">
        <v>0</v>
      </c>
      <c r="N54">
        <v>0</v>
      </c>
      <c r="O54">
        <v>0</v>
      </c>
      <c r="P54" t="s">
        <v>3065</v>
      </c>
      <c r="Q54" t="s">
        <v>34</v>
      </c>
      <c r="R54" t="s">
        <v>34</v>
      </c>
      <c r="S54" t="s">
        <v>41</v>
      </c>
      <c r="T54" t="s">
        <v>34</v>
      </c>
      <c r="U54" t="s">
        <v>35</v>
      </c>
      <c r="V54" t="s">
        <v>3066</v>
      </c>
      <c r="X54">
        <v>580000</v>
      </c>
      <c r="Y54">
        <v>2</v>
      </c>
    </row>
    <row r="55" spans="1:25" x14ac:dyDescent="0.35">
      <c r="A55" t="s">
        <v>2530</v>
      </c>
      <c r="B55" t="s">
        <v>64</v>
      </c>
      <c r="C55" t="s">
        <v>89</v>
      </c>
      <c r="D55" t="s">
        <v>3055</v>
      </c>
      <c r="E55" t="s">
        <v>3056</v>
      </c>
      <c r="F55" t="s">
        <v>3057</v>
      </c>
      <c r="G55">
        <v>584000</v>
      </c>
      <c r="H55">
        <v>0</v>
      </c>
      <c r="I55">
        <v>525600</v>
      </c>
      <c r="J55">
        <v>0</v>
      </c>
      <c r="K55">
        <v>0</v>
      </c>
      <c r="L55">
        <v>0</v>
      </c>
      <c r="M55">
        <v>525600</v>
      </c>
      <c r="N55">
        <v>0</v>
      </c>
      <c r="O55">
        <v>0</v>
      </c>
      <c r="P55" t="s">
        <v>3058</v>
      </c>
      <c r="Q55" t="s">
        <v>3059</v>
      </c>
      <c r="R55" t="s">
        <v>3060</v>
      </c>
      <c r="S55" t="s">
        <v>41</v>
      </c>
      <c r="T55" t="s">
        <v>34</v>
      </c>
      <c r="U55" t="s">
        <v>35</v>
      </c>
      <c r="V55" t="s">
        <v>3061</v>
      </c>
      <c r="W55" t="s">
        <v>3062</v>
      </c>
      <c r="X55">
        <v>584000</v>
      </c>
      <c r="Y55">
        <v>1</v>
      </c>
    </row>
    <row r="56" spans="1:25" x14ac:dyDescent="0.35">
      <c r="A56" t="s">
        <v>266</v>
      </c>
      <c r="B56" t="s">
        <v>59</v>
      </c>
      <c r="C56" t="s">
        <v>193</v>
      </c>
      <c r="D56" t="s">
        <v>295</v>
      </c>
      <c r="E56" t="s">
        <v>296</v>
      </c>
      <c r="F56" t="s">
        <v>297</v>
      </c>
      <c r="G56">
        <v>479000</v>
      </c>
      <c r="H56">
        <v>0</v>
      </c>
      <c r="I56">
        <v>479000</v>
      </c>
      <c r="J56">
        <v>0</v>
      </c>
      <c r="K56">
        <v>0</v>
      </c>
      <c r="L56">
        <v>0</v>
      </c>
      <c r="M56">
        <v>479000</v>
      </c>
      <c r="N56">
        <v>0</v>
      </c>
      <c r="O56">
        <v>0</v>
      </c>
      <c r="P56" t="s">
        <v>298</v>
      </c>
      <c r="Q56" t="s">
        <v>34</v>
      </c>
      <c r="R56" t="s">
        <v>34</v>
      </c>
      <c r="S56" t="s">
        <v>41</v>
      </c>
      <c r="T56" t="s">
        <v>34</v>
      </c>
      <c r="U56" t="s">
        <v>35</v>
      </c>
      <c r="V56" t="s">
        <v>299</v>
      </c>
      <c r="X56">
        <v>479000</v>
      </c>
      <c r="Y56">
        <v>1</v>
      </c>
    </row>
    <row r="57" spans="1:25" x14ac:dyDescent="0.35">
      <c r="A57" t="s">
        <v>276</v>
      </c>
      <c r="B57" t="s">
        <v>64</v>
      </c>
      <c r="C57" t="s">
        <v>83</v>
      </c>
      <c r="D57" t="s">
        <v>300</v>
      </c>
      <c r="E57" t="s">
        <v>301</v>
      </c>
      <c r="F57" t="s">
        <v>302</v>
      </c>
      <c r="G57">
        <v>400000</v>
      </c>
      <c r="H57">
        <v>0</v>
      </c>
      <c r="I57">
        <v>400000</v>
      </c>
      <c r="J57">
        <v>0</v>
      </c>
      <c r="K57">
        <v>0</v>
      </c>
      <c r="L57">
        <v>0</v>
      </c>
      <c r="M57">
        <v>400000</v>
      </c>
      <c r="N57">
        <v>0</v>
      </c>
      <c r="O57">
        <v>0</v>
      </c>
      <c r="P57" t="s">
        <v>303</v>
      </c>
      <c r="Q57" t="s">
        <v>34</v>
      </c>
      <c r="R57" t="s">
        <v>34</v>
      </c>
      <c r="S57" t="s">
        <v>41</v>
      </c>
      <c r="T57" t="s">
        <v>34</v>
      </c>
      <c r="U57" t="s">
        <v>35</v>
      </c>
      <c r="V57" t="s">
        <v>304</v>
      </c>
      <c r="X57">
        <v>400000</v>
      </c>
      <c r="Y57">
        <v>1</v>
      </c>
    </row>
    <row r="58" spans="1:25" x14ac:dyDescent="0.35">
      <c r="A58" t="s">
        <v>260</v>
      </c>
      <c r="B58" t="s">
        <v>64</v>
      </c>
      <c r="C58" t="s">
        <v>89</v>
      </c>
      <c r="D58" t="s">
        <v>305</v>
      </c>
      <c r="E58" t="s">
        <v>306</v>
      </c>
      <c r="F58" t="s">
        <v>307</v>
      </c>
      <c r="G58">
        <v>494000</v>
      </c>
      <c r="H58">
        <v>39000</v>
      </c>
      <c r="I58">
        <v>533000</v>
      </c>
      <c r="J58">
        <v>0</v>
      </c>
      <c r="K58">
        <v>0</v>
      </c>
      <c r="L58">
        <v>0</v>
      </c>
      <c r="M58">
        <v>533000</v>
      </c>
      <c r="N58">
        <v>0</v>
      </c>
      <c r="O58">
        <v>0</v>
      </c>
      <c r="P58" t="s">
        <v>308</v>
      </c>
      <c r="Q58" t="s">
        <v>34</v>
      </c>
      <c r="R58" t="s">
        <v>34</v>
      </c>
      <c r="S58" t="s">
        <v>41</v>
      </c>
      <c r="T58" t="s">
        <v>34</v>
      </c>
      <c r="U58" t="s">
        <v>35</v>
      </c>
      <c r="V58" t="s">
        <v>309</v>
      </c>
      <c r="X58">
        <v>494000</v>
      </c>
      <c r="Y58">
        <v>1</v>
      </c>
    </row>
    <row r="59" spans="1:25" x14ac:dyDescent="0.35">
      <c r="A59" t="s">
        <v>2590</v>
      </c>
      <c r="B59" t="s">
        <v>29</v>
      </c>
      <c r="C59" t="s">
        <v>37</v>
      </c>
      <c r="D59" t="s">
        <v>3052</v>
      </c>
      <c r="E59" t="s">
        <v>3053</v>
      </c>
      <c r="F59" t="s">
        <v>3028</v>
      </c>
      <c r="G59">
        <v>630000</v>
      </c>
      <c r="H59">
        <v>0</v>
      </c>
      <c r="I59">
        <v>630000</v>
      </c>
      <c r="J59">
        <v>0</v>
      </c>
      <c r="K59">
        <v>0</v>
      </c>
      <c r="L59">
        <v>0</v>
      </c>
      <c r="M59">
        <v>630000</v>
      </c>
      <c r="N59">
        <v>0</v>
      </c>
      <c r="O59">
        <v>0</v>
      </c>
      <c r="S59" t="s">
        <v>41</v>
      </c>
      <c r="T59" t="s">
        <v>34</v>
      </c>
      <c r="U59" t="s">
        <v>35</v>
      </c>
      <c r="V59" t="s">
        <v>3054</v>
      </c>
      <c r="X59">
        <v>630000</v>
      </c>
      <c r="Y59">
        <v>1</v>
      </c>
    </row>
    <row r="60" spans="1:25" x14ac:dyDescent="0.35">
      <c r="A60" t="s">
        <v>313</v>
      </c>
      <c r="B60" t="s">
        <v>29</v>
      </c>
      <c r="C60" t="s">
        <v>37</v>
      </c>
      <c r="D60" t="s">
        <v>315</v>
      </c>
      <c r="E60" t="s">
        <v>316</v>
      </c>
      <c r="F60" t="s">
        <v>317</v>
      </c>
      <c r="G60">
        <v>649000</v>
      </c>
      <c r="H60">
        <v>58000</v>
      </c>
      <c r="I60">
        <v>707000</v>
      </c>
      <c r="J60">
        <v>0</v>
      </c>
      <c r="K60">
        <v>0</v>
      </c>
      <c r="L60">
        <v>0</v>
      </c>
      <c r="M60">
        <v>707000</v>
      </c>
      <c r="N60">
        <v>0</v>
      </c>
      <c r="O60">
        <v>0</v>
      </c>
      <c r="P60" t="s">
        <v>318</v>
      </c>
      <c r="Q60" t="s">
        <v>34</v>
      </c>
      <c r="R60" t="s">
        <v>34</v>
      </c>
      <c r="S60" t="s">
        <v>41</v>
      </c>
      <c r="T60" t="s">
        <v>34</v>
      </c>
      <c r="U60" t="s">
        <v>35</v>
      </c>
      <c r="V60" t="s">
        <v>319</v>
      </c>
      <c r="X60">
        <v>649000</v>
      </c>
      <c r="Y60">
        <v>1</v>
      </c>
    </row>
    <row r="61" spans="1:25" x14ac:dyDescent="0.35">
      <c r="A61" t="s">
        <v>202</v>
      </c>
      <c r="B61" t="s">
        <v>71</v>
      </c>
      <c r="C61" t="s">
        <v>72</v>
      </c>
      <c r="D61" t="s">
        <v>226</v>
      </c>
      <c r="E61" t="s">
        <v>320</v>
      </c>
      <c r="F61" t="s">
        <v>321</v>
      </c>
      <c r="G61">
        <v>905000</v>
      </c>
      <c r="H61">
        <v>0</v>
      </c>
      <c r="I61">
        <v>905000</v>
      </c>
      <c r="J61">
        <v>0</v>
      </c>
      <c r="K61">
        <v>0</v>
      </c>
      <c r="L61">
        <v>0</v>
      </c>
      <c r="M61">
        <v>905000</v>
      </c>
      <c r="N61">
        <v>0</v>
      </c>
      <c r="O61">
        <v>0</v>
      </c>
      <c r="S61" t="s">
        <v>41</v>
      </c>
      <c r="T61" t="s">
        <v>34</v>
      </c>
      <c r="U61" t="s">
        <v>35</v>
      </c>
      <c r="V61" t="s">
        <v>211</v>
      </c>
      <c r="X61">
        <v>905000</v>
      </c>
      <c r="Y61">
        <v>1</v>
      </c>
    </row>
    <row r="62" spans="1:25" x14ac:dyDescent="0.35">
      <c r="A62" t="s">
        <v>202</v>
      </c>
      <c r="B62" t="s">
        <v>64</v>
      </c>
      <c r="C62" t="s">
        <v>65</v>
      </c>
      <c r="D62" t="s">
        <v>322</v>
      </c>
      <c r="E62" t="s">
        <v>320</v>
      </c>
      <c r="F62" t="s">
        <v>321</v>
      </c>
      <c r="G62">
        <v>735000</v>
      </c>
      <c r="H62">
        <v>138000</v>
      </c>
      <c r="I62">
        <v>873000</v>
      </c>
      <c r="J62">
        <v>0</v>
      </c>
      <c r="K62">
        <v>138000</v>
      </c>
      <c r="L62">
        <v>0</v>
      </c>
      <c r="M62">
        <v>735000</v>
      </c>
      <c r="N62">
        <v>0</v>
      </c>
      <c r="O62">
        <v>0</v>
      </c>
      <c r="S62" t="s">
        <v>41</v>
      </c>
      <c r="T62" t="s">
        <v>34</v>
      </c>
      <c r="U62" t="s">
        <v>35</v>
      </c>
      <c r="V62" t="s">
        <v>323</v>
      </c>
      <c r="X62">
        <v>735000</v>
      </c>
      <c r="Y62">
        <v>1</v>
      </c>
    </row>
    <row r="63" spans="1:25" x14ac:dyDescent="0.35">
      <c r="A63" t="s">
        <v>202</v>
      </c>
      <c r="B63" t="s">
        <v>29</v>
      </c>
      <c r="C63" t="s">
        <v>30</v>
      </c>
      <c r="D63" t="s">
        <v>226</v>
      </c>
      <c r="E63" t="s">
        <v>320</v>
      </c>
      <c r="F63" t="s">
        <v>321</v>
      </c>
      <c r="G63">
        <v>1207000</v>
      </c>
      <c r="H63">
        <v>0</v>
      </c>
      <c r="I63">
        <v>1207000</v>
      </c>
      <c r="J63">
        <v>0</v>
      </c>
      <c r="K63">
        <v>0</v>
      </c>
      <c r="L63">
        <v>0</v>
      </c>
      <c r="M63">
        <v>1207000</v>
      </c>
      <c r="N63">
        <v>0</v>
      </c>
      <c r="O63">
        <v>0</v>
      </c>
      <c r="S63" t="s">
        <v>41</v>
      </c>
      <c r="T63" t="s">
        <v>34</v>
      </c>
      <c r="U63" t="s">
        <v>35</v>
      </c>
      <c r="V63" t="s">
        <v>277</v>
      </c>
      <c r="X63">
        <v>1207000</v>
      </c>
      <c r="Y63">
        <v>1</v>
      </c>
    </row>
    <row r="64" spans="1:25" x14ac:dyDescent="0.35">
      <c r="A64" t="s">
        <v>324</v>
      </c>
      <c r="B64" t="s">
        <v>59</v>
      </c>
      <c r="C64" t="s">
        <v>182</v>
      </c>
      <c r="D64" t="s">
        <v>226</v>
      </c>
      <c r="E64" t="s">
        <v>325</v>
      </c>
      <c r="F64" t="s">
        <v>321</v>
      </c>
      <c r="G64">
        <v>585000</v>
      </c>
      <c r="H64">
        <v>0</v>
      </c>
      <c r="I64">
        <v>585000</v>
      </c>
      <c r="J64">
        <v>0</v>
      </c>
      <c r="K64">
        <v>0</v>
      </c>
      <c r="L64">
        <v>0</v>
      </c>
      <c r="M64">
        <v>585000</v>
      </c>
      <c r="N64">
        <v>0</v>
      </c>
      <c r="O64">
        <v>0</v>
      </c>
      <c r="S64" t="s">
        <v>41</v>
      </c>
      <c r="T64" t="s">
        <v>34</v>
      </c>
      <c r="U64" t="s">
        <v>35</v>
      </c>
      <c r="V64" t="s">
        <v>326</v>
      </c>
      <c r="X64">
        <v>585000</v>
      </c>
      <c r="Y64">
        <v>1</v>
      </c>
    </row>
    <row r="65" spans="1:25" x14ac:dyDescent="0.35">
      <c r="A65" t="s">
        <v>327</v>
      </c>
      <c r="B65" t="s">
        <v>29</v>
      </c>
      <c r="C65" t="s">
        <v>37</v>
      </c>
      <c r="D65" t="s">
        <v>328</v>
      </c>
      <c r="E65" t="s">
        <v>329</v>
      </c>
      <c r="F65" t="s">
        <v>330</v>
      </c>
      <c r="G65">
        <v>890000</v>
      </c>
      <c r="H65">
        <v>0</v>
      </c>
      <c r="I65">
        <v>890000</v>
      </c>
      <c r="J65">
        <v>0</v>
      </c>
      <c r="K65">
        <v>0</v>
      </c>
      <c r="L65">
        <v>0</v>
      </c>
      <c r="M65">
        <v>890000</v>
      </c>
      <c r="N65">
        <v>0</v>
      </c>
      <c r="O65">
        <v>0</v>
      </c>
      <c r="S65" t="s">
        <v>41</v>
      </c>
      <c r="T65" t="s">
        <v>34</v>
      </c>
      <c r="U65" t="s">
        <v>35</v>
      </c>
      <c r="V65" t="s">
        <v>331</v>
      </c>
      <c r="X65">
        <v>890000</v>
      </c>
      <c r="Y65">
        <v>1</v>
      </c>
    </row>
    <row r="66" spans="1:25" x14ac:dyDescent="0.35">
      <c r="A66" t="s">
        <v>319</v>
      </c>
      <c r="B66" t="s">
        <v>64</v>
      </c>
      <c r="C66" t="s">
        <v>89</v>
      </c>
      <c r="D66" t="s">
        <v>332</v>
      </c>
      <c r="E66" t="s">
        <v>333</v>
      </c>
      <c r="F66" t="s">
        <v>334</v>
      </c>
      <c r="G66">
        <v>735000</v>
      </c>
      <c r="H66">
        <v>0</v>
      </c>
      <c r="I66">
        <v>735000</v>
      </c>
      <c r="J66">
        <v>0</v>
      </c>
      <c r="K66">
        <v>0</v>
      </c>
      <c r="L66">
        <v>0</v>
      </c>
      <c r="M66">
        <v>735000</v>
      </c>
      <c r="N66">
        <v>0</v>
      </c>
      <c r="O66">
        <v>0</v>
      </c>
      <c r="P66" t="s">
        <v>335</v>
      </c>
      <c r="Q66" t="s">
        <v>34</v>
      </c>
      <c r="R66" t="s">
        <v>34</v>
      </c>
      <c r="S66" t="s">
        <v>41</v>
      </c>
      <c r="T66" t="s">
        <v>34</v>
      </c>
      <c r="U66" t="s">
        <v>35</v>
      </c>
      <c r="V66" t="s">
        <v>336</v>
      </c>
      <c r="X66">
        <v>735000</v>
      </c>
      <c r="Y66">
        <v>1</v>
      </c>
    </row>
    <row r="67" spans="1:25" x14ac:dyDescent="0.35">
      <c r="A67" t="s">
        <v>324</v>
      </c>
      <c r="B67" t="s">
        <v>59</v>
      </c>
      <c r="C67" t="s">
        <v>193</v>
      </c>
      <c r="D67" t="s">
        <v>337</v>
      </c>
      <c r="E67" t="s">
        <v>338</v>
      </c>
      <c r="F67" t="s">
        <v>339</v>
      </c>
      <c r="G67">
        <v>1170000</v>
      </c>
      <c r="H67">
        <v>40000</v>
      </c>
      <c r="I67">
        <v>1210000</v>
      </c>
      <c r="J67">
        <v>0</v>
      </c>
      <c r="K67">
        <v>640000</v>
      </c>
      <c r="L67">
        <v>0</v>
      </c>
      <c r="M67">
        <v>570000</v>
      </c>
      <c r="N67">
        <v>0</v>
      </c>
      <c r="O67">
        <v>0</v>
      </c>
      <c r="P67" t="s">
        <v>340</v>
      </c>
      <c r="Q67" t="s">
        <v>34</v>
      </c>
      <c r="R67" t="s">
        <v>341</v>
      </c>
      <c r="S67" t="s">
        <v>41</v>
      </c>
      <c r="T67" t="s">
        <v>34</v>
      </c>
      <c r="U67" t="s">
        <v>35</v>
      </c>
      <c r="V67" t="s">
        <v>342</v>
      </c>
      <c r="X67">
        <v>585000</v>
      </c>
      <c r="Y67">
        <v>2</v>
      </c>
    </row>
    <row r="68" spans="1:25" x14ac:dyDescent="0.35">
      <c r="A68" t="s">
        <v>326</v>
      </c>
      <c r="B68" t="s">
        <v>71</v>
      </c>
      <c r="C68" t="s">
        <v>72</v>
      </c>
      <c r="D68" t="s">
        <v>343</v>
      </c>
      <c r="E68" t="s">
        <v>344</v>
      </c>
      <c r="F68" t="s">
        <v>345</v>
      </c>
      <c r="G68">
        <v>620000</v>
      </c>
      <c r="H68">
        <v>0</v>
      </c>
      <c r="I68">
        <v>620000</v>
      </c>
      <c r="J68">
        <v>0</v>
      </c>
      <c r="K68">
        <v>0</v>
      </c>
      <c r="L68">
        <v>0</v>
      </c>
      <c r="M68">
        <v>620000</v>
      </c>
      <c r="N68">
        <v>0</v>
      </c>
      <c r="O68">
        <v>0</v>
      </c>
      <c r="S68" t="s">
        <v>41</v>
      </c>
      <c r="T68" t="s">
        <v>34</v>
      </c>
      <c r="U68" t="s">
        <v>35</v>
      </c>
      <c r="V68" t="s">
        <v>346</v>
      </c>
      <c r="X68">
        <v>620000</v>
      </c>
      <c r="Y68">
        <v>1</v>
      </c>
    </row>
    <row r="69" spans="1:25" x14ac:dyDescent="0.35">
      <c r="A69" t="s">
        <v>2572</v>
      </c>
      <c r="B69" t="s">
        <v>64</v>
      </c>
      <c r="C69" t="s">
        <v>173</v>
      </c>
      <c r="D69" t="s">
        <v>2998</v>
      </c>
      <c r="E69" t="s">
        <v>2999</v>
      </c>
      <c r="F69" t="s">
        <v>3000</v>
      </c>
      <c r="G69">
        <v>500000</v>
      </c>
      <c r="H69">
        <v>0</v>
      </c>
      <c r="I69">
        <v>500000</v>
      </c>
      <c r="J69">
        <v>0</v>
      </c>
      <c r="K69">
        <v>500000</v>
      </c>
      <c r="L69">
        <v>0</v>
      </c>
      <c r="M69">
        <v>0</v>
      </c>
      <c r="N69">
        <v>0</v>
      </c>
      <c r="O69">
        <v>0</v>
      </c>
      <c r="P69" t="s">
        <v>3001</v>
      </c>
      <c r="Q69" t="s">
        <v>34</v>
      </c>
      <c r="R69" t="s">
        <v>34</v>
      </c>
      <c r="S69" t="s">
        <v>41</v>
      </c>
      <c r="T69" t="s">
        <v>34</v>
      </c>
      <c r="U69" t="s">
        <v>35</v>
      </c>
      <c r="V69" t="s">
        <v>3002</v>
      </c>
      <c r="X69">
        <v>500000</v>
      </c>
      <c r="Y69">
        <v>1</v>
      </c>
    </row>
    <row r="70" spans="1:25" x14ac:dyDescent="0.35">
      <c r="A70" t="s">
        <v>355</v>
      </c>
      <c r="B70" t="s">
        <v>59</v>
      </c>
      <c r="C70" t="s">
        <v>60</v>
      </c>
      <c r="D70" t="s">
        <v>356</v>
      </c>
      <c r="E70" t="s">
        <v>357</v>
      </c>
      <c r="F70" t="s">
        <v>358</v>
      </c>
      <c r="G70">
        <v>585000</v>
      </c>
      <c r="H70">
        <v>0</v>
      </c>
      <c r="I70">
        <v>585000</v>
      </c>
      <c r="J70">
        <v>0</v>
      </c>
      <c r="K70">
        <v>585000</v>
      </c>
      <c r="L70">
        <v>0</v>
      </c>
      <c r="M70">
        <v>0</v>
      </c>
      <c r="N70">
        <v>0</v>
      </c>
      <c r="O70">
        <v>0</v>
      </c>
      <c r="P70" t="s">
        <v>359</v>
      </c>
      <c r="Q70" t="s">
        <v>34</v>
      </c>
      <c r="R70" t="s">
        <v>34</v>
      </c>
      <c r="S70" t="s">
        <v>41</v>
      </c>
      <c r="T70" t="s">
        <v>34</v>
      </c>
      <c r="U70" t="s">
        <v>35</v>
      </c>
      <c r="V70" t="s">
        <v>360</v>
      </c>
      <c r="X70">
        <v>585000</v>
      </c>
      <c r="Y70">
        <v>1</v>
      </c>
    </row>
    <row r="71" spans="1:25" x14ac:dyDescent="0.35">
      <c r="A71" t="s">
        <v>346</v>
      </c>
      <c r="B71" t="s">
        <v>59</v>
      </c>
      <c r="C71" t="s">
        <v>122</v>
      </c>
      <c r="D71" t="s">
        <v>361</v>
      </c>
      <c r="E71" t="s">
        <v>362</v>
      </c>
      <c r="F71" t="s">
        <v>363</v>
      </c>
      <c r="G71">
        <v>585000</v>
      </c>
      <c r="H71">
        <v>0</v>
      </c>
      <c r="I71">
        <v>585000</v>
      </c>
      <c r="J71">
        <v>0</v>
      </c>
      <c r="K71">
        <v>0</v>
      </c>
      <c r="L71">
        <v>0</v>
      </c>
      <c r="M71">
        <v>0</v>
      </c>
      <c r="N71">
        <v>585000</v>
      </c>
      <c r="O71">
        <v>0</v>
      </c>
      <c r="P71" t="s">
        <v>364</v>
      </c>
      <c r="Q71" t="s">
        <v>34</v>
      </c>
      <c r="R71" t="s">
        <v>34</v>
      </c>
      <c r="S71" t="s">
        <v>41</v>
      </c>
      <c r="T71" t="s">
        <v>34</v>
      </c>
      <c r="U71" t="s">
        <v>35</v>
      </c>
      <c r="V71" t="s">
        <v>365</v>
      </c>
      <c r="X71">
        <v>585000</v>
      </c>
      <c r="Y71">
        <v>1</v>
      </c>
    </row>
    <row r="72" spans="1:25" x14ac:dyDescent="0.35">
      <c r="A72" t="s">
        <v>366</v>
      </c>
      <c r="B72" t="s">
        <v>64</v>
      </c>
      <c r="C72" t="s">
        <v>65</v>
      </c>
      <c r="D72" t="s">
        <v>367</v>
      </c>
      <c r="E72" t="s">
        <v>368</v>
      </c>
      <c r="F72" t="s">
        <v>369</v>
      </c>
      <c r="G72">
        <v>495000</v>
      </c>
      <c r="H72">
        <v>150000</v>
      </c>
      <c r="I72">
        <v>645000</v>
      </c>
      <c r="J72">
        <v>0</v>
      </c>
      <c r="K72">
        <v>0</v>
      </c>
      <c r="L72">
        <v>0</v>
      </c>
      <c r="M72">
        <v>645000</v>
      </c>
      <c r="N72">
        <v>0</v>
      </c>
      <c r="O72">
        <v>0</v>
      </c>
      <c r="P72" t="s">
        <v>370</v>
      </c>
      <c r="S72" t="s">
        <v>41</v>
      </c>
      <c r="T72" t="s">
        <v>34</v>
      </c>
      <c r="U72" t="s">
        <v>35</v>
      </c>
      <c r="V72" t="s">
        <v>371</v>
      </c>
      <c r="X72">
        <v>495000</v>
      </c>
      <c r="Y72">
        <v>1</v>
      </c>
    </row>
    <row r="73" spans="1:25" x14ac:dyDescent="0.35">
      <c r="A73" t="s">
        <v>299</v>
      </c>
      <c r="B73" t="s">
        <v>64</v>
      </c>
      <c r="C73" t="s">
        <v>83</v>
      </c>
      <c r="D73" t="s">
        <v>226</v>
      </c>
      <c r="E73" t="s">
        <v>372</v>
      </c>
      <c r="F73" t="s">
        <v>373</v>
      </c>
      <c r="G73">
        <v>1480000</v>
      </c>
      <c r="H73">
        <v>0</v>
      </c>
      <c r="I73">
        <v>1480000</v>
      </c>
      <c r="J73">
        <v>0</v>
      </c>
      <c r="K73">
        <v>0</v>
      </c>
      <c r="L73">
        <v>0</v>
      </c>
      <c r="M73">
        <v>1480000</v>
      </c>
      <c r="N73">
        <v>0</v>
      </c>
      <c r="O73">
        <v>0</v>
      </c>
      <c r="S73" t="s">
        <v>41</v>
      </c>
      <c r="T73" t="s">
        <v>34</v>
      </c>
      <c r="U73" t="s">
        <v>35</v>
      </c>
      <c r="V73" t="s">
        <v>374</v>
      </c>
      <c r="X73">
        <v>493333.3333</v>
      </c>
      <c r="Y73">
        <v>3</v>
      </c>
    </row>
    <row r="74" spans="1:25" x14ac:dyDescent="0.35">
      <c r="A74" t="s">
        <v>299</v>
      </c>
      <c r="B74" t="s">
        <v>64</v>
      </c>
      <c r="C74" t="s">
        <v>76</v>
      </c>
      <c r="D74" t="s">
        <v>375</v>
      </c>
      <c r="E74" t="s">
        <v>372</v>
      </c>
      <c r="F74" t="s">
        <v>373</v>
      </c>
      <c r="G74">
        <v>1480000</v>
      </c>
      <c r="H74">
        <v>0</v>
      </c>
      <c r="I74">
        <v>1480000</v>
      </c>
      <c r="J74">
        <v>0</v>
      </c>
      <c r="K74">
        <v>1000000</v>
      </c>
      <c r="L74">
        <v>0</v>
      </c>
      <c r="M74">
        <v>480000</v>
      </c>
      <c r="N74">
        <v>0</v>
      </c>
      <c r="O74">
        <v>0</v>
      </c>
      <c r="P74" t="s">
        <v>34</v>
      </c>
      <c r="Q74" t="s">
        <v>34</v>
      </c>
      <c r="R74" t="s">
        <v>34</v>
      </c>
      <c r="S74" t="s">
        <v>41</v>
      </c>
      <c r="T74" t="s">
        <v>34</v>
      </c>
      <c r="U74" t="s">
        <v>35</v>
      </c>
      <c r="V74" t="s">
        <v>327</v>
      </c>
      <c r="X74">
        <v>493333.3333</v>
      </c>
      <c r="Y74">
        <v>3</v>
      </c>
    </row>
    <row r="75" spans="1:25" x14ac:dyDescent="0.35">
      <c r="A75" t="s">
        <v>2474</v>
      </c>
      <c r="B75" t="s">
        <v>59</v>
      </c>
      <c r="C75" t="s">
        <v>122</v>
      </c>
      <c r="D75" t="s">
        <v>2993</v>
      </c>
      <c r="E75" t="s">
        <v>2994</v>
      </c>
      <c r="F75" t="s">
        <v>2995</v>
      </c>
      <c r="G75">
        <v>600000</v>
      </c>
      <c r="H75">
        <v>0</v>
      </c>
      <c r="I75">
        <v>600000</v>
      </c>
      <c r="J75">
        <v>0</v>
      </c>
      <c r="K75">
        <v>600000</v>
      </c>
      <c r="L75">
        <v>0</v>
      </c>
      <c r="M75">
        <v>0</v>
      </c>
      <c r="N75">
        <v>0</v>
      </c>
      <c r="O75">
        <v>0</v>
      </c>
      <c r="P75" t="s">
        <v>2996</v>
      </c>
      <c r="Q75" t="s">
        <v>34</v>
      </c>
      <c r="R75" t="s">
        <v>34</v>
      </c>
      <c r="S75" t="s">
        <v>41</v>
      </c>
      <c r="T75" t="s">
        <v>34</v>
      </c>
      <c r="U75" t="s">
        <v>35</v>
      </c>
      <c r="V75" t="s">
        <v>2997</v>
      </c>
      <c r="X75">
        <v>600000</v>
      </c>
      <c r="Y75">
        <v>1</v>
      </c>
    </row>
    <row r="76" spans="1:25" x14ac:dyDescent="0.35">
      <c r="A76" t="s">
        <v>381</v>
      </c>
      <c r="B76" t="s">
        <v>29</v>
      </c>
      <c r="C76" t="s">
        <v>43</v>
      </c>
      <c r="D76" t="s">
        <v>382</v>
      </c>
      <c r="E76" t="s">
        <v>383</v>
      </c>
      <c r="F76" t="s">
        <v>373</v>
      </c>
      <c r="G76">
        <v>809000</v>
      </c>
      <c r="H76">
        <v>0</v>
      </c>
      <c r="I76">
        <v>809000</v>
      </c>
      <c r="J76">
        <v>0</v>
      </c>
      <c r="K76">
        <v>0</v>
      </c>
      <c r="L76">
        <v>0</v>
      </c>
      <c r="M76">
        <v>0</v>
      </c>
      <c r="N76">
        <v>809000</v>
      </c>
      <c r="O76">
        <v>0</v>
      </c>
      <c r="P76" t="s">
        <v>384</v>
      </c>
      <c r="Q76" t="s">
        <v>34</v>
      </c>
      <c r="R76" t="s">
        <v>34</v>
      </c>
      <c r="S76" t="s">
        <v>41</v>
      </c>
      <c r="T76" t="s">
        <v>34</v>
      </c>
      <c r="U76" t="s">
        <v>35</v>
      </c>
      <c r="V76" t="s">
        <v>385</v>
      </c>
      <c r="X76">
        <v>809000</v>
      </c>
      <c r="Y76">
        <v>1</v>
      </c>
    </row>
    <row r="77" spans="1:25" x14ac:dyDescent="0.35">
      <c r="A77" t="s">
        <v>2541</v>
      </c>
      <c r="B77" t="s">
        <v>59</v>
      </c>
      <c r="C77" t="s">
        <v>182</v>
      </c>
      <c r="D77" t="s">
        <v>2988</v>
      </c>
      <c r="E77" t="s">
        <v>2989</v>
      </c>
      <c r="F77" t="s">
        <v>2990</v>
      </c>
      <c r="G77">
        <v>584000</v>
      </c>
      <c r="H77">
        <v>0</v>
      </c>
      <c r="I77">
        <v>584000</v>
      </c>
      <c r="J77">
        <v>0</v>
      </c>
      <c r="K77">
        <v>0</v>
      </c>
      <c r="L77">
        <v>0</v>
      </c>
      <c r="M77">
        <v>584000</v>
      </c>
      <c r="N77">
        <v>0</v>
      </c>
      <c r="O77">
        <v>0</v>
      </c>
      <c r="P77" t="s">
        <v>2991</v>
      </c>
      <c r="Q77" t="s">
        <v>34</v>
      </c>
      <c r="R77" t="s">
        <v>34</v>
      </c>
      <c r="S77" t="s">
        <v>41</v>
      </c>
      <c r="T77" t="s">
        <v>34</v>
      </c>
      <c r="U77" t="s">
        <v>35</v>
      </c>
      <c r="V77" t="s">
        <v>2992</v>
      </c>
      <c r="X77">
        <v>584000</v>
      </c>
      <c r="Y77">
        <v>1</v>
      </c>
    </row>
    <row r="78" spans="1:25" x14ac:dyDescent="0.35">
      <c r="A78" t="s">
        <v>2541</v>
      </c>
      <c r="B78" t="s">
        <v>29</v>
      </c>
      <c r="C78" t="s">
        <v>413</v>
      </c>
      <c r="D78" t="s">
        <v>2984</v>
      </c>
      <c r="E78" t="s">
        <v>2985</v>
      </c>
      <c r="F78" t="s">
        <v>2986</v>
      </c>
      <c r="G78">
        <v>719000</v>
      </c>
      <c r="H78">
        <v>0</v>
      </c>
      <c r="I78">
        <v>719000</v>
      </c>
      <c r="J78">
        <v>0</v>
      </c>
      <c r="K78">
        <v>0</v>
      </c>
      <c r="L78">
        <v>0</v>
      </c>
      <c r="M78">
        <v>719000</v>
      </c>
      <c r="N78">
        <v>0</v>
      </c>
      <c r="O78">
        <v>0</v>
      </c>
      <c r="P78" t="s">
        <v>34</v>
      </c>
      <c r="Q78" t="s">
        <v>34</v>
      </c>
      <c r="R78" t="s">
        <v>34</v>
      </c>
      <c r="S78" t="s">
        <v>41</v>
      </c>
      <c r="T78" t="s">
        <v>34</v>
      </c>
      <c r="U78" t="s">
        <v>35</v>
      </c>
      <c r="V78" t="s">
        <v>2987</v>
      </c>
      <c r="X78">
        <v>719000</v>
      </c>
      <c r="Y78">
        <v>1</v>
      </c>
    </row>
    <row r="79" spans="1:25" x14ac:dyDescent="0.35">
      <c r="A79" t="s">
        <v>395</v>
      </c>
      <c r="B79" t="s">
        <v>64</v>
      </c>
      <c r="C79" t="s">
        <v>89</v>
      </c>
      <c r="D79" t="s">
        <v>387</v>
      </c>
      <c r="E79" t="s">
        <v>396</v>
      </c>
      <c r="F79" t="s">
        <v>397</v>
      </c>
      <c r="G79">
        <v>550000</v>
      </c>
      <c r="H79">
        <v>0</v>
      </c>
      <c r="I79">
        <v>550000</v>
      </c>
      <c r="J79">
        <v>0</v>
      </c>
      <c r="K79">
        <v>550000</v>
      </c>
      <c r="L79">
        <v>0</v>
      </c>
      <c r="M79">
        <v>0</v>
      </c>
      <c r="N79">
        <v>0</v>
      </c>
      <c r="O79">
        <v>0</v>
      </c>
      <c r="P79" t="s">
        <v>391</v>
      </c>
      <c r="Q79" t="s">
        <v>392</v>
      </c>
      <c r="R79" t="s">
        <v>393</v>
      </c>
      <c r="S79" t="s">
        <v>41</v>
      </c>
      <c r="T79" t="s">
        <v>34</v>
      </c>
      <c r="U79" t="s">
        <v>35</v>
      </c>
      <c r="V79" t="s">
        <v>398</v>
      </c>
      <c r="X79">
        <v>550000</v>
      </c>
      <c r="Y79">
        <v>1</v>
      </c>
    </row>
    <row r="80" spans="1:25" x14ac:dyDescent="0.35">
      <c r="A80" t="s">
        <v>399</v>
      </c>
      <c r="B80" t="s">
        <v>29</v>
      </c>
      <c r="C80" t="s">
        <v>30</v>
      </c>
      <c r="D80" t="s">
        <v>400</v>
      </c>
      <c r="E80" t="s">
        <v>401</v>
      </c>
      <c r="F80" t="s">
        <v>402</v>
      </c>
      <c r="G80">
        <v>1600000</v>
      </c>
      <c r="H80">
        <v>0</v>
      </c>
      <c r="I80">
        <v>1600000</v>
      </c>
      <c r="J80">
        <v>0</v>
      </c>
      <c r="K80">
        <v>1600000</v>
      </c>
      <c r="L80">
        <v>0</v>
      </c>
      <c r="M80">
        <v>0</v>
      </c>
      <c r="N80">
        <v>0</v>
      </c>
      <c r="O80">
        <v>0</v>
      </c>
      <c r="P80" t="s">
        <v>403</v>
      </c>
      <c r="Q80" t="s">
        <v>34</v>
      </c>
      <c r="R80" t="s">
        <v>34</v>
      </c>
      <c r="S80" t="s">
        <v>41</v>
      </c>
      <c r="T80" t="s">
        <v>34</v>
      </c>
      <c r="U80" t="s">
        <v>35</v>
      </c>
      <c r="V80" t="s">
        <v>395</v>
      </c>
      <c r="X80">
        <v>800000</v>
      </c>
      <c r="Y80">
        <v>2</v>
      </c>
    </row>
    <row r="81" spans="1:25" x14ac:dyDescent="0.35">
      <c r="A81" t="s">
        <v>2559</v>
      </c>
      <c r="B81" t="s">
        <v>64</v>
      </c>
      <c r="C81" t="s">
        <v>83</v>
      </c>
      <c r="D81" t="s">
        <v>2979</v>
      </c>
      <c r="E81" t="s">
        <v>2980</v>
      </c>
      <c r="F81" t="s">
        <v>2981</v>
      </c>
      <c r="G81">
        <v>494000</v>
      </c>
      <c r="H81">
        <v>0</v>
      </c>
      <c r="I81">
        <v>494000</v>
      </c>
      <c r="J81">
        <v>0</v>
      </c>
      <c r="K81">
        <v>0</v>
      </c>
      <c r="L81">
        <v>0</v>
      </c>
      <c r="M81">
        <v>494000</v>
      </c>
      <c r="N81">
        <v>0</v>
      </c>
      <c r="O81">
        <v>0</v>
      </c>
      <c r="P81" t="s">
        <v>2982</v>
      </c>
      <c r="Q81" t="s">
        <v>34</v>
      </c>
      <c r="R81" t="s">
        <v>34</v>
      </c>
      <c r="S81" t="s">
        <v>41</v>
      </c>
      <c r="T81" t="s">
        <v>34</v>
      </c>
      <c r="U81" t="s">
        <v>35</v>
      </c>
      <c r="V81" t="s">
        <v>2983</v>
      </c>
      <c r="X81">
        <v>494000</v>
      </c>
      <c r="Y81">
        <v>1</v>
      </c>
    </row>
    <row r="82" spans="1:25" x14ac:dyDescent="0.35">
      <c r="A82" t="s">
        <v>2507</v>
      </c>
      <c r="B82" t="s">
        <v>64</v>
      </c>
      <c r="C82" t="s">
        <v>99</v>
      </c>
      <c r="D82" t="s">
        <v>2974</v>
      </c>
      <c r="E82" t="s">
        <v>2975</v>
      </c>
      <c r="F82" t="s">
        <v>2976</v>
      </c>
      <c r="G82">
        <v>350000</v>
      </c>
      <c r="H82">
        <v>0</v>
      </c>
      <c r="I82">
        <v>350000</v>
      </c>
      <c r="J82">
        <v>0</v>
      </c>
      <c r="K82">
        <v>350000</v>
      </c>
      <c r="L82">
        <v>0</v>
      </c>
      <c r="M82">
        <v>0</v>
      </c>
      <c r="N82">
        <v>0</v>
      </c>
      <c r="O82">
        <v>0</v>
      </c>
      <c r="P82" t="s">
        <v>2977</v>
      </c>
      <c r="S82" t="s">
        <v>41</v>
      </c>
      <c r="T82" t="s">
        <v>34</v>
      </c>
      <c r="U82" t="s">
        <v>35</v>
      </c>
      <c r="V82" t="s">
        <v>2978</v>
      </c>
      <c r="X82">
        <v>350000</v>
      </c>
      <c r="Y82">
        <v>1</v>
      </c>
    </row>
    <row r="83" spans="1:25" x14ac:dyDescent="0.35">
      <c r="A83" t="s">
        <v>193</v>
      </c>
      <c r="B83" t="s">
        <v>29</v>
      </c>
      <c r="C83" t="s">
        <v>413</v>
      </c>
      <c r="D83" t="s">
        <v>414</v>
      </c>
      <c r="E83" t="s">
        <v>415</v>
      </c>
      <c r="F83" t="s">
        <v>416</v>
      </c>
      <c r="G83">
        <v>450000</v>
      </c>
      <c r="H83">
        <v>0</v>
      </c>
      <c r="I83">
        <v>450000</v>
      </c>
      <c r="J83">
        <v>0</v>
      </c>
      <c r="K83">
        <v>-50000</v>
      </c>
      <c r="L83">
        <v>0</v>
      </c>
      <c r="M83">
        <v>500000</v>
      </c>
      <c r="N83">
        <v>0</v>
      </c>
      <c r="O83">
        <v>0</v>
      </c>
      <c r="S83" t="s">
        <v>41</v>
      </c>
      <c r="T83" t="s">
        <v>34</v>
      </c>
      <c r="U83" t="s">
        <v>35</v>
      </c>
      <c r="V83" t="s">
        <v>417</v>
      </c>
      <c r="X83">
        <v>450000</v>
      </c>
      <c r="Y83">
        <v>1</v>
      </c>
    </row>
    <row r="84" spans="1:25" x14ac:dyDescent="0.35">
      <c r="A84" t="s">
        <v>407</v>
      </c>
      <c r="B84" t="s">
        <v>71</v>
      </c>
      <c r="C84" t="s">
        <v>72</v>
      </c>
      <c r="D84" t="s">
        <v>418</v>
      </c>
      <c r="E84" t="s">
        <v>419</v>
      </c>
      <c r="F84" t="s">
        <v>420</v>
      </c>
      <c r="G84">
        <v>350000</v>
      </c>
      <c r="H84">
        <v>0</v>
      </c>
      <c r="I84">
        <v>350000</v>
      </c>
      <c r="J84">
        <v>0</v>
      </c>
      <c r="K84">
        <v>350000</v>
      </c>
      <c r="L84">
        <v>0</v>
      </c>
      <c r="M84">
        <v>0</v>
      </c>
      <c r="N84">
        <v>0</v>
      </c>
      <c r="O84">
        <v>0</v>
      </c>
      <c r="P84" t="s">
        <v>34</v>
      </c>
      <c r="Q84" t="s">
        <v>34</v>
      </c>
      <c r="R84" t="s">
        <v>34</v>
      </c>
      <c r="S84" t="s">
        <v>41</v>
      </c>
      <c r="T84" t="s">
        <v>34</v>
      </c>
      <c r="U84" t="s">
        <v>35</v>
      </c>
      <c r="V84" t="s">
        <v>421</v>
      </c>
      <c r="X84">
        <v>350000</v>
      </c>
      <c r="Y84">
        <v>1</v>
      </c>
    </row>
    <row r="85" spans="1:25" x14ac:dyDescent="0.35">
      <c r="A85" t="s">
        <v>173</v>
      </c>
      <c r="B85" t="s">
        <v>64</v>
      </c>
      <c r="C85" t="s">
        <v>65</v>
      </c>
      <c r="D85" t="s">
        <v>422</v>
      </c>
      <c r="E85" t="s">
        <v>423</v>
      </c>
      <c r="F85" t="s">
        <v>424</v>
      </c>
      <c r="G85">
        <v>580000</v>
      </c>
      <c r="H85">
        <v>0</v>
      </c>
      <c r="I85">
        <v>580000</v>
      </c>
      <c r="J85">
        <v>0</v>
      </c>
      <c r="K85">
        <v>0</v>
      </c>
      <c r="L85">
        <v>0</v>
      </c>
      <c r="M85">
        <v>580000</v>
      </c>
      <c r="N85">
        <v>0</v>
      </c>
      <c r="O85">
        <v>0</v>
      </c>
      <c r="P85" t="s">
        <v>425</v>
      </c>
      <c r="Q85" t="s">
        <v>34</v>
      </c>
      <c r="R85" t="s">
        <v>34</v>
      </c>
      <c r="S85" t="s">
        <v>41</v>
      </c>
      <c r="T85" t="s">
        <v>34</v>
      </c>
      <c r="U85" t="s">
        <v>35</v>
      </c>
      <c r="V85" t="s">
        <v>426</v>
      </c>
      <c r="X85">
        <v>580000</v>
      </c>
      <c r="Y85">
        <v>1</v>
      </c>
    </row>
    <row r="86" spans="1:25" x14ac:dyDescent="0.35">
      <c r="A86" t="s">
        <v>360</v>
      </c>
      <c r="B86" t="s">
        <v>29</v>
      </c>
      <c r="C86" t="s">
        <v>37</v>
      </c>
      <c r="D86" t="s">
        <v>66</v>
      </c>
      <c r="E86" t="s">
        <v>423</v>
      </c>
      <c r="F86" t="s">
        <v>427</v>
      </c>
      <c r="G86">
        <v>800000</v>
      </c>
      <c r="H86">
        <v>0</v>
      </c>
      <c r="I86">
        <v>800000</v>
      </c>
      <c r="J86">
        <v>0</v>
      </c>
      <c r="K86">
        <v>400000</v>
      </c>
      <c r="L86">
        <v>0</v>
      </c>
      <c r="M86">
        <v>400000</v>
      </c>
      <c r="N86">
        <v>0</v>
      </c>
      <c r="O86">
        <v>0</v>
      </c>
      <c r="S86" t="s">
        <v>41</v>
      </c>
      <c r="T86" t="s">
        <v>34</v>
      </c>
      <c r="U86" t="s">
        <v>35</v>
      </c>
      <c r="V86" t="s">
        <v>428</v>
      </c>
      <c r="X86">
        <v>800000</v>
      </c>
      <c r="Y86">
        <v>1</v>
      </c>
    </row>
    <row r="87" spans="1:25" x14ac:dyDescent="0.35">
      <c r="A87" t="s">
        <v>379</v>
      </c>
      <c r="B87" t="s">
        <v>64</v>
      </c>
      <c r="C87" t="s">
        <v>76</v>
      </c>
      <c r="D87" t="s">
        <v>429</v>
      </c>
      <c r="E87" t="s">
        <v>430</v>
      </c>
      <c r="F87" t="s">
        <v>431</v>
      </c>
      <c r="G87">
        <v>585000</v>
      </c>
      <c r="H87">
        <v>19000</v>
      </c>
      <c r="I87">
        <v>604000</v>
      </c>
      <c r="J87">
        <v>0</v>
      </c>
      <c r="K87">
        <v>19000</v>
      </c>
      <c r="L87">
        <v>0</v>
      </c>
      <c r="M87">
        <v>585000</v>
      </c>
      <c r="N87">
        <v>0</v>
      </c>
      <c r="O87">
        <v>0</v>
      </c>
      <c r="P87" t="s">
        <v>432</v>
      </c>
      <c r="Q87" t="s">
        <v>34</v>
      </c>
      <c r="R87" t="s">
        <v>34</v>
      </c>
      <c r="S87" t="s">
        <v>41</v>
      </c>
      <c r="T87" t="s">
        <v>34</v>
      </c>
      <c r="U87" t="s">
        <v>35</v>
      </c>
      <c r="V87" t="s">
        <v>433</v>
      </c>
      <c r="X87">
        <v>585000</v>
      </c>
      <c r="Y87">
        <v>1</v>
      </c>
    </row>
    <row r="88" spans="1:25" x14ac:dyDescent="0.35">
      <c r="A88" t="s">
        <v>385</v>
      </c>
      <c r="B88" t="s">
        <v>59</v>
      </c>
      <c r="C88" t="s">
        <v>60</v>
      </c>
      <c r="D88" t="s">
        <v>434</v>
      </c>
      <c r="E88" t="s">
        <v>435</v>
      </c>
      <c r="F88" t="s">
        <v>436</v>
      </c>
      <c r="G88">
        <v>585000</v>
      </c>
      <c r="H88">
        <v>0</v>
      </c>
      <c r="I88">
        <v>585000</v>
      </c>
      <c r="J88">
        <v>0</v>
      </c>
      <c r="K88">
        <v>0</v>
      </c>
      <c r="L88">
        <v>0</v>
      </c>
      <c r="M88">
        <v>585000</v>
      </c>
      <c r="N88">
        <v>0</v>
      </c>
      <c r="O88">
        <v>0</v>
      </c>
      <c r="P88" t="s">
        <v>437</v>
      </c>
      <c r="S88" t="s">
        <v>41</v>
      </c>
      <c r="T88" t="s">
        <v>34</v>
      </c>
      <c r="U88" t="s">
        <v>35</v>
      </c>
      <c r="V88" t="s">
        <v>438</v>
      </c>
      <c r="X88">
        <v>585000</v>
      </c>
      <c r="Y88">
        <v>1</v>
      </c>
    </row>
    <row r="89" spans="1:25" x14ac:dyDescent="0.35">
      <c r="A89" t="s">
        <v>439</v>
      </c>
      <c r="B89" t="s">
        <v>64</v>
      </c>
      <c r="C89" t="s">
        <v>173</v>
      </c>
      <c r="D89" t="s">
        <v>440</v>
      </c>
      <c r="E89" t="s">
        <v>441</v>
      </c>
      <c r="F89" t="s">
        <v>442</v>
      </c>
      <c r="G89">
        <v>410000</v>
      </c>
      <c r="H89">
        <v>20000</v>
      </c>
      <c r="I89">
        <v>430000</v>
      </c>
      <c r="J89">
        <v>0</v>
      </c>
      <c r="K89">
        <v>0</v>
      </c>
      <c r="L89">
        <v>0</v>
      </c>
      <c r="M89">
        <v>430000</v>
      </c>
      <c r="N89">
        <v>0</v>
      </c>
      <c r="O89">
        <v>0</v>
      </c>
      <c r="P89" t="s">
        <v>443</v>
      </c>
      <c r="Q89" t="s">
        <v>34</v>
      </c>
      <c r="R89" t="s">
        <v>444</v>
      </c>
      <c r="S89" t="s">
        <v>41</v>
      </c>
      <c r="T89" t="s">
        <v>34</v>
      </c>
      <c r="U89" t="s">
        <v>35</v>
      </c>
      <c r="V89" t="s">
        <v>445</v>
      </c>
      <c r="X89">
        <v>410000</v>
      </c>
      <c r="Y89">
        <v>1</v>
      </c>
    </row>
    <row r="90" spans="1:25" x14ac:dyDescent="0.35">
      <c r="A90" t="s">
        <v>446</v>
      </c>
      <c r="B90" t="s">
        <v>29</v>
      </c>
      <c r="C90" t="s">
        <v>30</v>
      </c>
      <c r="D90" t="s">
        <v>447</v>
      </c>
      <c r="E90" t="s">
        <v>448</v>
      </c>
      <c r="F90" t="s">
        <v>449</v>
      </c>
      <c r="G90">
        <v>1139000</v>
      </c>
      <c r="H90">
        <v>160000</v>
      </c>
      <c r="I90">
        <v>1299000</v>
      </c>
      <c r="J90">
        <v>0</v>
      </c>
      <c r="K90">
        <v>0</v>
      </c>
      <c r="L90">
        <v>0</v>
      </c>
      <c r="M90">
        <v>1299000</v>
      </c>
      <c r="N90">
        <v>0</v>
      </c>
      <c r="O90">
        <v>0</v>
      </c>
      <c r="P90" t="s">
        <v>450</v>
      </c>
      <c r="Q90" t="s">
        <v>34</v>
      </c>
      <c r="R90" t="s">
        <v>34</v>
      </c>
      <c r="S90" t="s">
        <v>41</v>
      </c>
      <c r="T90" t="s">
        <v>34</v>
      </c>
      <c r="U90" t="s">
        <v>35</v>
      </c>
      <c r="V90" t="s">
        <v>386</v>
      </c>
      <c r="X90">
        <v>1139000</v>
      </c>
      <c r="Y90">
        <v>1</v>
      </c>
    </row>
    <row r="91" spans="1:25" x14ac:dyDescent="0.35">
      <c r="A91" t="s">
        <v>374</v>
      </c>
      <c r="B91" t="s">
        <v>64</v>
      </c>
      <c r="C91" t="s">
        <v>76</v>
      </c>
      <c r="D91" t="s">
        <v>451</v>
      </c>
      <c r="E91" t="s">
        <v>452</v>
      </c>
      <c r="F91" t="s">
        <v>453</v>
      </c>
      <c r="G91">
        <v>300000</v>
      </c>
      <c r="H91">
        <v>0</v>
      </c>
      <c r="I91">
        <v>300000</v>
      </c>
      <c r="J91">
        <v>0</v>
      </c>
      <c r="K91">
        <v>0</v>
      </c>
      <c r="L91">
        <v>0</v>
      </c>
      <c r="M91">
        <v>300000</v>
      </c>
      <c r="N91">
        <v>0</v>
      </c>
      <c r="O91">
        <v>0</v>
      </c>
      <c r="S91" t="s">
        <v>41</v>
      </c>
      <c r="T91" t="s">
        <v>34</v>
      </c>
      <c r="U91" t="s">
        <v>35</v>
      </c>
      <c r="V91" t="s">
        <v>399</v>
      </c>
      <c r="X91">
        <v>300000</v>
      </c>
      <c r="Y91">
        <v>1</v>
      </c>
    </row>
    <row r="92" spans="1:25" x14ac:dyDescent="0.35">
      <c r="A92" t="s">
        <v>454</v>
      </c>
      <c r="B92" t="s">
        <v>64</v>
      </c>
      <c r="C92" t="s">
        <v>76</v>
      </c>
      <c r="D92" t="s">
        <v>455</v>
      </c>
      <c r="E92" t="s">
        <v>456</v>
      </c>
      <c r="F92" t="s">
        <v>457</v>
      </c>
      <c r="G92">
        <v>495000</v>
      </c>
      <c r="H92">
        <v>0</v>
      </c>
      <c r="I92">
        <v>495000</v>
      </c>
      <c r="J92">
        <v>0</v>
      </c>
      <c r="K92">
        <v>0</v>
      </c>
      <c r="L92">
        <v>0</v>
      </c>
      <c r="M92">
        <v>495000</v>
      </c>
      <c r="N92">
        <v>0</v>
      </c>
      <c r="O92">
        <v>0</v>
      </c>
      <c r="P92" t="s">
        <v>458</v>
      </c>
      <c r="Q92" t="s">
        <v>34</v>
      </c>
      <c r="R92" t="s">
        <v>34</v>
      </c>
      <c r="S92" t="s">
        <v>41</v>
      </c>
      <c r="T92" t="s">
        <v>34</v>
      </c>
      <c r="U92" t="s">
        <v>35</v>
      </c>
      <c r="V92" t="s">
        <v>459</v>
      </c>
      <c r="X92">
        <v>495000</v>
      </c>
      <c r="Y92">
        <v>1</v>
      </c>
    </row>
    <row r="93" spans="1:25" x14ac:dyDescent="0.35">
      <c r="A93" t="s">
        <v>2526</v>
      </c>
      <c r="B93" t="s">
        <v>64</v>
      </c>
      <c r="C93" t="s">
        <v>173</v>
      </c>
      <c r="D93" t="s">
        <v>2970</v>
      </c>
      <c r="E93" t="s">
        <v>2971</v>
      </c>
      <c r="F93" t="s">
        <v>2972</v>
      </c>
      <c r="G93">
        <v>350000</v>
      </c>
      <c r="H93">
        <v>0</v>
      </c>
      <c r="I93">
        <v>350000</v>
      </c>
      <c r="J93">
        <v>0</v>
      </c>
      <c r="K93">
        <v>0</v>
      </c>
      <c r="L93">
        <v>0</v>
      </c>
      <c r="M93">
        <v>350000</v>
      </c>
      <c r="N93">
        <v>0</v>
      </c>
      <c r="O93">
        <v>0</v>
      </c>
      <c r="P93" t="s">
        <v>34</v>
      </c>
      <c r="Q93" t="s">
        <v>34</v>
      </c>
      <c r="R93" t="s">
        <v>34</v>
      </c>
      <c r="S93" t="s">
        <v>41</v>
      </c>
      <c r="T93" t="s">
        <v>34</v>
      </c>
      <c r="U93" t="s">
        <v>35</v>
      </c>
      <c r="V93" t="s">
        <v>2973</v>
      </c>
      <c r="X93">
        <v>350000</v>
      </c>
      <c r="Y93">
        <v>1</v>
      </c>
    </row>
    <row r="94" spans="1:25" x14ac:dyDescent="0.35">
      <c r="A94" t="s">
        <v>371</v>
      </c>
      <c r="B94" t="s">
        <v>71</v>
      </c>
      <c r="C94" t="s">
        <v>95</v>
      </c>
      <c r="D94" t="s">
        <v>466</v>
      </c>
      <c r="E94" t="s">
        <v>467</v>
      </c>
      <c r="F94" t="s">
        <v>468</v>
      </c>
      <c r="G94">
        <v>629100</v>
      </c>
      <c r="H94">
        <v>0</v>
      </c>
      <c r="I94">
        <v>629100</v>
      </c>
      <c r="J94">
        <v>0</v>
      </c>
      <c r="K94">
        <v>329100</v>
      </c>
      <c r="L94">
        <v>0</v>
      </c>
      <c r="M94">
        <v>300000</v>
      </c>
      <c r="N94">
        <v>0</v>
      </c>
      <c r="O94">
        <v>0</v>
      </c>
      <c r="P94" t="s">
        <v>469</v>
      </c>
      <c r="Q94" t="s">
        <v>34</v>
      </c>
      <c r="R94" t="s">
        <v>34</v>
      </c>
      <c r="S94" t="s">
        <v>41</v>
      </c>
      <c r="T94" t="s">
        <v>34</v>
      </c>
      <c r="U94" t="s">
        <v>35</v>
      </c>
      <c r="V94" t="s">
        <v>470</v>
      </c>
      <c r="X94">
        <v>629100</v>
      </c>
      <c r="Y94">
        <v>1</v>
      </c>
    </row>
    <row r="95" spans="1:25" x14ac:dyDescent="0.35">
      <c r="A95" t="s">
        <v>398</v>
      </c>
      <c r="B95" t="s">
        <v>64</v>
      </c>
      <c r="C95" t="s">
        <v>65</v>
      </c>
      <c r="D95" t="s">
        <v>471</v>
      </c>
      <c r="E95" t="s">
        <v>472</v>
      </c>
      <c r="F95" t="s">
        <v>473</v>
      </c>
      <c r="G95">
        <v>495000</v>
      </c>
      <c r="H95">
        <v>0</v>
      </c>
      <c r="I95">
        <v>495000</v>
      </c>
      <c r="J95">
        <v>0</v>
      </c>
      <c r="K95">
        <v>0</v>
      </c>
      <c r="L95">
        <v>0</v>
      </c>
      <c r="M95">
        <v>495000</v>
      </c>
      <c r="N95">
        <v>0</v>
      </c>
      <c r="O95">
        <v>0</v>
      </c>
      <c r="P95" t="s">
        <v>474</v>
      </c>
      <c r="Q95" t="s">
        <v>34</v>
      </c>
      <c r="R95" t="s">
        <v>34</v>
      </c>
      <c r="S95" t="s">
        <v>41</v>
      </c>
      <c r="T95" t="s">
        <v>34</v>
      </c>
      <c r="U95" t="s">
        <v>35</v>
      </c>
      <c r="V95" t="s">
        <v>475</v>
      </c>
      <c r="X95">
        <v>495000</v>
      </c>
      <c r="Y95">
        <v>1</v>
      </c>
    </row>
    <row r="96" spans="1:25" x14ac:dyDescent="0.35">
      <c r="A96" t="s">
        <v>2469</v>
      </c>
      <c r="B96" t="s">
        <v>64</v>
      </c>
      <c r="C96" t="s">
        <v>65</v>
      </c>
      <c r="D96" t="s">
        <v>2966</v>
      </c>
      <c r="E96" t="s">
        <v>2967</v>
      </c>
      <c r="F96" t="s">
        <v>2968</v>
      </c>
      <c r="G96">
        <v>350000</v>
      </c>
      <c r="H96">
        <v>0</v>
      </c>
      <c r="I96">
        <v>350000</v>
      </c>
      <c r="J96">
        <v>0</v>
      </c>
      <c r="K96">
        <v>0</v>
      </c>
      <c r="L96">
        <v>0</v>
      </c>
      <c r="M96">
        <v>350000</v>
      </c>
      <c r="N96">
        <v>0</v>
      </c>
      <c r="O96">
        <v>0</v>
      </c>
      <c r="S96" t="s">
        <v>41</v>
      </c>
      <c r="T96" t="s">
        <v>34</v>
      </c>
      <c r="U96" t="s">
        <v>35</v>
      </c>
      <c r="V96" t="s">
        <v>2969</v>
      </c>
      <c r="X96">
        <v>350000</v>
      </c>
      <c r="Y96">
        <v>1</v>
      </c>
    </row>
    <row r="97" spans="1:25" x14ac:dyDescent="0.35">
      <c r="A97" t="s">
        <v>482</v>
      </c>
      <c r="B97" t="s">
        <v>64</v>
      </c>
      <c r="C97" t="s">
        <v>89</v>
      </c>
      <c r="D97" t="s">
        <v>483</v>
      </c>
      <c r="E97" t="s">
        <v>484</v>
      </c>
      <c r="F97" t="s">
        <v>478</v>
      </c>
      <c r="G97">
        <v>1550001</v>
      </c>
      <c r="H97">
        <v>0</v>
      </c>
      <c r="I97">
        <v>1550001</v>
      </c>
      <c r="J97">
        <v>0</v>
      </c>
      <c r="K97">
        <v>0</v>
      </c>
      <c r="L97">
        <v>0</v>
      </c>
      <c r="M97">
        <v>1550001</v>
      </c>
      <c r="N97">
        <v>0</v>
      </c>
      <c r="O97">
        <v>0</v>
      </c>
      <c r="P97" t="s">
        <v>485</v>
      </c>
      <c r="Q97" t="s">
        <v>34</v>
      </c>
      <c r="R97" t="s">
        <v>34</v>
      </c>
      <c r="S97" t="s">
        <v>41</v>
      </c>
      <c r="T97" t="s">
        <v>34</v>
      </c>
      <c r="U97" t="s">
        <v>35</v>
      </c>
      <c r="V97" t="s">
        <v>460</v>
      </c>
      <c r="X97">
        <v>775000.5</v>
      </c>
      <c r="Y97">
        <v>2</v>
      </c>
    </row>
    <row r="98" spans="1:25" x14ac:dyDescent="0.35">
      <c r="A98" t="s">
        <v>470</v>
      </c>
      <c r="B98" t="s">
        <v>29</v>
      </c>
      <c r="C98" t="s">
        <v>110</v>
      </c>
      <c r="D98" t="s">
        <v>486</v>
      </c>
      <c r="E98" t="s">
        <v>401</v>
      </c>
      <c r="F98" t="s">
        <v>478</v>
      </c>
      <c r="G98">
        <v>4225000</v>
      </c>
      <c r="H98">
        <v>0</v>
      </c>
      <c r="I98">
        <v>4225000</v>
      </c>
      <c r="J98">
        <v>0</v>
      </c>
      <c r="K98">
        <v>4225000</v>
      </c>
      <c r="L98">
        <v>0</v>
      </c>
      <c r="M98">
        <v>0</v>
      </c>
      <c r="N98">
        <v>0</v>
      </c>
      <c r="O98">
        <v>0</v>
      </c>
      <c r="P98" t="s">
        <v>34</v>
      </c>
      <c r="Q98" t="s">
        <v>34</v>
      </c>
      <c r="R98" t="s">
        <v>34</v>
      </c>
      <c r="S98" t="s">
        <v>41</v>
      </c>
      <c r="T98" t="s">
        <v>34</v>
      </c>
      <c r="U98" t="s">
        <v>35</v>
      </c>
      <c r="V98" t="s">
        <v>487</v>
      </c>
      <c r="X98">
        <v>845000</v>
      </c>
      <c r="Y98">
        <v>5</v>
      </c>
    </row>
    <row r="99" spans="1:25" x14ac:dyDescent="0.35">
      <c r="A99" t="s">
        <v>438</v>
      </c>
      <c r="B99" t="s">
        <v>29</v>
      </c>
      <c r="C99" t="s">
        <v>30</v>
      </c>
      <c r="D99" t="s">
        <v>488</v>
      </c>
      <c r="E99" t="s">
        <v>489</v>
      </c>
      <c r="F99" t="s">
        <v>490</v>
      </c>
      <c r="G99">
        <v>449000</v>
      </c>
      <c r="H99">
        <v>0</v>
      </c>
      <c r="I99">
        <v>449000</v>
      </c>
      <c r="J99">
        <v>0</v>
      </c>
      <c r="K99">
        <v>449000</v>
      </c>
      <c r="L99">
        <v>0</v>
      </c>
      <c r="M99">
        <v>0</v>
      </c>
      <c r="N99">
        <v>0</v>
      </c>
      <c r="O99">
        <v>0</v>
      </c>
      <c r="P99" t="s">
        <v>34</v>
      </c>
      <c r="Q99" t="s">
        <v>34</v>
      </c>
      <c r="R99" t="s">
        <v>34</v>
      </c>
      <c r="S99" t="s">
        <v>41</v>
      </c>
      <c r="T99" t="s">
        <v>34</v>
      </c>
      <c r="U99" t="s">
        <v>35</v>
      </c>
      <c r="V99" t="s">
        <v>491</v>
      </c>
      <c r="X99">
        <v>449000</v>
      </c>
      <c r="Y99">
        <v>1</v>
      </c>
    </row>
    <row r="100" spans="1:25" x14ac:dyDescent="0.35">
      <c r="A100" t="s">
        <v>342</v>
      </c>
      <c r="B100" t="s">
        <v>64</v>
      </c>
      <c r="C100" t="s">
        <v>83</v>
      </c>
      <c r="D100" t="s">
        <v>492</v>
      </c>
      <c r="E100" t="s">
        <v>435</v>
      </c>
      <c r="F100" t="s">
        <v>493</v>
      </c>
      <c r="G100">
        <v>1565000</v>
      </c>
      <c r="H100">
        <v>199000</v>
      </c>
      <c r="I100">
        <v>1764000</v>
      </c>
      <c r="J100">
        <v>0</v>
      </c>
      <c r="K100">
        <v>1264000</v>
      </c>
      <c r="L100">
        <v>0</v>
      </c>
      <c r="M100">
        <v>500000</v>
      </c>
      <c r="N100">
        <v>0</v>
      </c>
      <c r="O100">
        <v>0</v>
      </c>
      <c r="P100" t="s">
        <v>494</v>
      </c>
      <c r="Q100" t="s">
        <v>34</v>
      </c>
      <c r="R100" t="s">
        <v>34</v>
      </c>
      <c r="S100" t="s">
        <v>41</v>
      </c>
      <c r="T100" t="s">
        <v>34</v>
      </c>
      <c r="U100" t="s">
        <v>35</v>
      </c>
      <c r="V100" t="s">
        <v>404</v>
      </c>
      <c r="X100">
        <v>521666.6666</v>
      </c>
      <c r="Y100">
        <v>3</v>
      </c>
    </row>
    <row r="101" spans="1:25" x14ac:dyDescent="0.35">
      <c r="A101" t="s">
        <v>426</v>
      </c>
      <c r="B101" t="s">
        <v>29</v>
      </c>
      <c r="C101" t="s">
        <v>30</v>
      </c>
      <c r="D101" t="s">
        <v>495</v>
      </c>
      <c r="E101" t="s">
        <v>496</v>
      </c>
      <c r="F101" t="s">
        <v>497</v>
      </c>
      <c r="G101">
        <v>585000</v>
      </c>
      <c r="H101">
        <v>0</v>
      </c>
      <c r="I101">
        <v>585000</v>
      </c>
      <c r="J101">
        <v>0</v>
      </c>
      <c r="K101">
        <v>295000</v>
      </c>
      <c r="L101">
        <v>0</v>
      </c>
      <c r="M101">
        <v>290000</v>
      </c>
      <c r="N101">
        <v>0</v>
      </c>
      <c r="O101">
        <v>0</v>
      </c>
      <c r="P101" t="s">
        <v>498</v>
      </c>
      <c r="Q101" t="s">
        <v>34</v>
      </c>
      <c r="R101" t="s">
        <v>34</v>
      </c>
      <c r="S101" t="s">
        <v>41</v>
      </c>
      <c r="T101" t="s">
        <v>34</v>
      </c>
      <c r="U101" t="s">
        <v>35</v>
      </c>
      <c r="V101" t="s">
        <v>499</v>
      </c>
      <c r="X101">
        <v>585000</v>
      </c>
      <c r="Y101">
        <v>1</v>
      </c>
    </row>
    <row r="102" spans="1:25" x14ac:dyDescent="0.35">
      <c r="A102" t="s">
        <v>487</v>
      </c>
      <c r="B102" t="s">
        <v>64</v>
      </c>
      <c r="C102" t="s">
        <v>99</v>
      </c>
      <c r="D102" t="s">
        <v>375</v>
      </c>
      <c r="E102" t="s">
        <v>500</v>
      </c>
      <c r="F102" t="s">
        <v>501</v>
      </c>
      <c r="G102">
        <v>988000</v>
      </c>
      <c r="H102">
        <v>0</v>
      </c>
      <c r="I102">
        <v>988000</v>
      </c>
      <c r="J102">
        <v>0</v>
      </c>
      <c r="K102">
        <v>0</v>
      </c>
      <c r="L102">
        <v>0</v>
      </c>
      <c r="M102">
        <v>988000</v>
      </c>
      <c r="N102">
        <v>0</v>
      </c>
      <c r="O102">
        <v>0</v>
      </c>
      <c r="P102" t="s">
        <v>34</v>
      </c>
      <c r="Q102" t="s">
        <v>34</v>
      </c>
      <c r="R102" t="s">
        <v>34</v>
      </c>
      <c r="S102" t="s">
        <v>41</v>
      </c>
      <c r="T102" t="s">
        <v>34</v>
      </c>
      <c r="U102" t="s">
        <v>35</v>
      </c>
      <c r="V102" t="s">
        <v>502</v>
      </c>
      <c r="X102">
        <v>494000</v>
      </c>
      <c r="Y102">
        <v>2</v>
      </c>
    </row>
    <row r="103" spans="1:25" x14ac:dyDescent="0.35">
      <c r="A103" t="s">
        <v>487</v>
      </c>
      <c r="B103" t="s">
        <v>64</v>
      </c>
      <c r="C103" t="s">
        <v>76</v>
      </c>
      <c r="D103" t="s">
        <v>375</v>
      </c>
      <c r="E103" t="s">
        <v>500</v>
      </c>
      <c r="F103" t="s">
        <v>501</v>
      </c>
      <c r="G103">
        <v>988000</v>
      </c>
      <c r="H103">
        <v>0</v>
      </c>
      <c r="I103">
        <v>988000</v>
      </c>
      <c r="J103">
        <v>0</v>
      </c>
      <c r="K103">
        <v>500000</v>
      </c>
      <c r="L103">
        <v>0</v>
      </c>
      <c r="M103">
        <v>488000</v>
      </c>
      <c r="N103">
        <v>0</v>
      </c>
      <c r="O103">
        <v>0</v>
      </c>
      <c r="P103" t="s">
        <v>34</v>
      </c>
      <c r="Q103" t="s">
        <v>34</v>
      </c>
      <c r="R103" t="s">
        <v>34</v>
      </c>
      <c r="S103" t="s">
        <v>41</v>
      </c>
      <c r="T103" t="s">
        <v>34</v>
      </c>
      <c r="U103" t="s">
        <v>35</v>
      </c>
      <c r="V103" t="s">
        <v>439</v>
      </c>
      <c r="X103">
        <v>494000</v>
      </c>
      <c r="Y103">
        <v>2</v>
      </c>
    </row>
    <row r="104" spans="1:25" x14ac:dyDescent="0.35">
      <c r="A104" t="s">
        <v>433</v>
      </c>
      <c r="B104" t="s">
        <v>29</v>
      </c>
      <c r="C104" t="s">
        <v>413</v>
      </c>
      <c r="D104" t="s">
        <v>503</v>
      </c>
      <c r="E104" t="s">
        <v>504</v>
      </c>
      <c r="F104" t="s">
        <v>501</v>
      </c>
      <c r="G104">
        <v>2418000</v>
      </c>
      <c r="H104">
        <v>316000</v>
      </c>
      <c r="I104">
        <v>2734000</v>
      </c>
      <c r="J104">
        <v>0</v>
      </c>
      <c r="K104">
        <v>966000</v>
      </c>
      <c r="L104">
        <v>0</v>
      </c>
      <c r="M104">
        <v>1768000</v>
      </c>
      <c r="N104">
        <v>0</v>
      </c>
      <c r="O104">
        <v>0</v>
      </c>
      <c r="S104" t="s">
        <v>41</v>
      </c>
      <c r="T104" t="s">
        <v>34</v>
      </c>
      <c r="U104" t="s">
        <v>35</v>
      </c>
      <c r="V104" t="s">
        <v>505</v>
      </c>
      <c r="X104">
        <v>806000</v>
      </c>
      <c r="Y104">
        <v>3</v>
      </c>
    </row>
    <row r="105" spans="1:25" x14ac:dyDescent="0.35">
      <c r="A105" t="s">
        <v>433</v>
      </c>
      <c r="B105" t="s">
        <v>29</v>
      </c>
      <c r="C105" t="s">
        <v>506</v>
      </c>
      <c r="D105" t="s">
        <v>226</v>
      </c>
      <c r="E105" t="s">
        <v>504</v>
      </c>
      <c r="F105" t="s">
        <v>501</v>
      </c>
      <c r="G105">
        <v>2418000</v>
      </c>
      <c r="H105">
        <v>0</v>
      </c>
      <c r="I105">
        <v>2418000</v>
      </c>
      <c r="J105">
        <v>0</v>
      </c>
      <c r="K105">
        <v>800000</v>
      </c>
      <c r="L105">
        <v>0</v>
      </c>
      <c r="M105">
        <v>1618000</v>
      </c>
      <c r="N105">
        <v>0</v>
      </c>
      <c r="O105">
        <v>0</v>
      </c>
      <c r="S105" t="s">
        <v>41</v>
      </c>
      <c r="T105" t="s">
        <v>34</v>
      </c>
      <c r="U105" t="s">
        <v>35</v>
      </c>
      <c r="V105" t="s">
        <v>507</v>
      </c>
      <c r="X105">
        <v>806000</v>
      </c>
      <c r="Y105">
        <v>3</v>
      </c>
    </row>
    <row r="106" spans="1:25" x14ac:dyDescent="0.35">
      <c r="A106" t="s">
        <v>433</v>
      </c>
      <c r="B106" t="s">
        <v>29</v>
      </c>
      <c r="C106" t="s">
        <v>37</v>
      </c>
      <c r="D106" t="s">
        <v>226</v>
      </c>
      <c r="E106" t="s">
        <v>504</v>
      </c>
      <c r="F106" t="s">
        <v>501</v>
      </c>
      <c r="G106">
        <v>2418000</v>
      </c>
      <c r="H106">
        <v>0</v>
      </c>
      <c r="I106">
        <v>2418000</v>
      </c>
      <c r="J106">
        <v>0</v>
      </c>
      <c r="K106">
        <v>800000</v>
      </c>
      <c r="L106">
        <v>0</v>
      </c>
      <c r="M106">
        <v>1618000</v>
      </c>
      <c r="N106">
        <v>0</v>
      </c>
      <c r="O106">
        <v>0</v>
      </c>
      <c r="S106" t="s">
        <v>41</v>
      </c>
      <c r="T106" t="s">
        <v>34</v>
      </c>
      <c r="U106" t="s">
        <v>35</v>
      </c>
      <c r="V106" t="s">
        <v>508</v>
      </c>
      <c r="X106">
        <v>806000</v>
      </c>
      <c r="Y106">
        <v>3</v>
      </c>
    </row>
    <row r="107" spans="1:25" x14ac:dyDescent="0.35">
      <c r="A107" t="s">
        <v>445</v>
      </c>
      <c r="B107" t="s">
        <v>59</v>
      </c>
      <c r="C107" t="s">
        <v>60</v>
      </c>
      <c r="D107" t="s">
        <v>337</v>
      </c>
      <c r="E107" t="s">
        <v>509</v>
      </c>
      <c r="F107" t="s">
        <v>501</v>
      </c>
      <c r="G107">
        <v>585000</v>
      </c>
      <c r="H107">
        <v>0</v>
      </c>
      <c r="I107">
        <v>585000</v>
      </c>
      <c r="J107">
        <v>0</v>
      </c>
      <c r="K107">
        <v>0</v>
      </c>
      <c r="L107">
        <v>0</v>
      </c>
      <c r="M107">
        <v>585000</v>
      </c>
      <c r="N107">
        <v>0</v>
      </c>
      <c r="O107">
        <v>0</v>
      </c>
      <c r="P107" t="s">
        <v>340</v>
      </c>
      <c r="Q107" t="s">
        <v>34</v>
      </c>
      <c r="R107" t="s">
        <v>341</v>
      </c>
      <c r="S107" t="s">
        <v>41</v>
      </c>
      <c r="T107" t="s">
        <v>34</v>
      </c>
      <c r="U107" t="s">
        <v>35</v>
      </c>
      <c r="V107" t="s">
        <v>510</v>
      </c>
      <c r="X107">
        <v>585000</v>
      </c>
      <c r="Y107">
        <v>1</v>
      </c>
    </row>
    <row r="108" spans="1:25" x14ac:dyDescent="0.35">
      <c r="A108" t="s">
        <v>445</v>
      </c>
      <c r="B108" t="s">
        <v>59</v>
      </c>
      <c r="C108" t="s">
        <v>122</v>
      </c>
      <c r="D108" t="s">
        <v>226</v>
      </c>
      <c r="E108" t="s">
        <v>509</v>
      </c>
      <c r="F108" t="s">
        <v>501</v>
      </c>
      <c r="G108">
        <v>585000</v>
      </c>
      <c r="H108">
        <v>0</v>
      </c>
      <c r="I108">
        <v>585000</v>
      </c>
      <c r="J108">
        <v>0</v>
      </c>
      <c r="K108">
        <v>585000</v>
      </c>
      <c r="L108">
        <v>0</v>
      </c>
      <c r="M108">
        <v>0</v>
      </c>
      <c r="N108">
        <v>0</v>
      </c>
      <c r="O108">
        <v>0</v>
      </c>
      <c r="S108" t="s">
        <v>41</v>
      </c>
      <c r="T108" t="s">
        <v>34</v>
      </c>
      <c r="U108" t="s">
        <v>35</v>
      </c>
      <c r="V108" t="s">
        <v>511</v>
      </c>
      <c r="X108">
        <v>585000</v>
      </c>
      <c r="Y108">
        <v>1</v>
      </c>
    </row>
    <row r="109" spans="1:25" x14ac:dyDescent="0.35">
      <c r="A109" t="s">
        <v>445</v>
      </c>
      <c r="B109" t="s">
        <v>71</v>
      </c>
      <c r="C109" t="s">
        <v>72</v>
      </c>
      <c r="D109" t="s">
        <v>226</v>
      </c>
      <c r="E109" t="s">
        <v>509</v>
      </c>
      <c r="F109" t="s">
        <v>501</v>
      </c>
      <c r="G109">
        <v>585000</v>
      </c>
      <c r="H109">
        <v>0</v>
      </c>
      <c r="I109">
        <v>585000</v>
      </c>
      <c r="J109">
        <v>0</v>
      </c>
      <c r="K109">
        <v>585000</v>
      </c>
      <c r="L109">
        <v>0</v>
      </c>
      <c r="M109">
        <v>0</v>
      </c>
      <c r="N109">
        <v>0</v>
      </c>
      <c r="O109">
        <v>0</v>
      </c>
      <c r="P109" t="s">
        <v>34</v>
      </c>
      <c r="Q109" t="s">
        <v>34</v>
      </c>
      <c r="R109" t="s">
        <v>34</v>
      </c>
      <c r="S109" t="s">
        <v>41</v>
      </c>
      <c r="T109" t="s">
        <v>34</v>
      </c>
      <c r="U109" t="s">
        <v>35</v>
      </c>
      <c r="V109" t="s">
        <v>512</v>
      </c>
      <c r="X109">
        <v>585000</v>
      </c>
      <c r="Y109">
        <v>1</v>
      </c>
    </row>
    <row r="110" spans="1:25" x14ac:dyDescent="0.35">
      <c r="A110" t="s">
        <v>2453</v>
      </c>
      <c r="B110" t="s">
        <v>29</v>
      </c>
      <c r="C110" t="s">
        <v>413</v>
      </c>
      <c r="D110" t="s">
        <v>2962</v>
      </c>
      <c r="E110" t="s">
        <v>2935</v>
      </c>
      <c r="F110" t="s">
        <v>2963</v>
      </c>
      <c r="G110">
        <v>2157000</v>
      </c>
      <c r="H110">
        <v>0</v>
      </c>
      <c r="I110">
        <v>2157000</v>
      </c>
      <c r="J110">
        <v>0</v>
      </c>
      <c r="K110">
        <v>0</v>
      </c>
      <c r="L110">
        <v>0</v>
      </c>
      <c r="M110">
        <v>2157000</v>
      </c>
      <c r="N110">
        <v>0</v>
      </c>
      <c r="O110">
        <v>0</v>
      </c>
      <c r="P110" t="s">
        <v>34</v>
      </c>
      <c r="Q110" t="s">
        <v>2904</v>
      </c>
      <c r="R110" t="s">
        <v>34</v>
      </c>
      <c r="S110" t="s">
        <v>41</v>
      </c>
      <c r="T110" t="s">
        <v>34</v>
      </c>
      <c r="U110" t="s">
        <v>35</v>
      </c>
      <c r="V110" t="s">
        <v>2964</v>
      </c>
      <c r="X110">
        <v>719000</v>
      </c>
      <c r="Y110">
        <v>3</v>
      </c>
    </row>
    <row r="111" spans="1:25" x14ac:dyDescent="0.35">
      <c r="A111" t="s">
        <v>520</v>
      </c>
      <c r="B111" t="s">
        <v>64</v>
      </c>
      <c r="C111" t="s">
        <v>83</v>
      </c>
      <c r="D111" t="s">
        <v>521</v>
      </c>
      <c r="E111" t="s">
        <v>522</v>
      </c>
      <c r="F111" t="s">
        <v>523</v>
      </c>
      <c r="G111">
        <v>450000</v>
      </c>
      <c r="H111">
        <v>0</v>
      </c>
      <c r="I111">
        <v>450000</v>
      </c>
      <c r="J111">
        <v>0</v>
      </c>
      <c r="K111">
        <v>0</v>
      </c>
      <c r="L111">
        <v>0</v>
      </c>
      <c r="M111">
        <v>450000</v>
      </c>
      <c r="N111">
        <v>0</v>
      </c>
      <c r="O111">
        <v>0</v>
      </c>
      <c r="P111" t="s">
        <v>34</v>
      </c>
      <c r="Q111" t="s">
        <v>34</v>
      </c>
      <c r="R111" t="s">
        <v>34</v>
      </c>
      <c r="S111" t="s">
        <v>41</v>
      </c>
      <c r="T111" t="s">
        <v>34</v>
      </c>
      <c r="U111" t="s">
        <v>35</v>
      </c>
      <c r="V111" t="s">
        <v>524</v>
      </c>
      <c r="X111">
        <v>450000</v>
      </c>
      <c r="Y111">
        <v>1</v>
      </c>
    </row>
    <row r="112" spans="1:25" x14ac:dyDescent="0.35">
      <c r="A112" t="s">
        <v>2487</v>
      </c>
      <c r="B112" t="s">
        <v>29</v>
      </c>
      <c r="C112" t="s">
        <v>43</v>
      </c>
      <c r="D112" t="s">
        <v>2956</v>
      </c>
      <c r="E112" t="s">
        <v>2950</v>
      </c>
      <c r="F112" t="s">
        <v>2957</v>
      </c>
      <c r="G112">
        <v>760000</v>
      </c>
      <c r="H112">
        <v>0</v>
      </c>
      <c r="I112">
        <v>760000</v>
      </c>
      <c r="J112">
        <v>0</v>
      </c>
      <c r="K112">
        <v>0</v>
      </c>
      <c r="L112">
        <v>0</v>
      </c>
      <c r="M112">
        <v>760000</v>
      </c>
      <c r="N112">
        <v>0</v>
      </c>
      <c r="O112">
        <v>0</v>
      </c>
      <c r="P112" t="s">
        <v>2958</v>
      </c>
      <c r="Q112" t="s">
        <v>34</v>
      </c>
      <c r="R112" t="s">
        <v>34</v>
      </c>
      <c r="S112" t="s">
        <v>41</v>
      </c>
      <c r="T112" t="s">
        <v>34</v>
      </c>
      <c r="U112" t="s">
        <v>35</v>
      </c>
      <c r="V112" t="s">
        <v>2959</v>
      </c>
      <c r="X112">
        <v>760000</v>
      </c>
      <c r="Y112">
        <v>1</v>
      </c>
    </row>
    <row r="113" spans="1:25" x14ac:dyDescent="0.35">
      <c r="A113" t="s">
        <v>2433</v>
      </c>
      <c r="B113" t="s">
        <v>59</v>
      </c>
      <c r="C113" t="s">
        <v>60</v>
      </c>
      <c r="D113" t="s">
        <v>2934</v>
      </c>
      <c r="E113" t="s">
        <v>2935</v>
      </c>
      <c r="F113" t="s">
        <v>2936</v>
      </c>
      <c r="G113">
        <v>1178000</v>
      </c>
      <c r="H113">
        <v>0</v>
      </c>
      <c r="I113">
        <v>1178000</v>
      </c>
      <c r="J113">
        <v>0</v>
      </c>
      <c r="K113">
        <v>0</v>
      </c>
      <c r="L113">
        <v>0</v>
      </c>
      <c r="M113">
        <v>1178000</v>
      </c>
      <c r="N113">
        <v>0</v>
      </c>
      <c r="O113">
        <v>0</v>
      </c>
      <c r="P113" t="s">
        <v>2937</v>
      </c>
      <c r="Q113" t="s">
        <v>2938</v>
      </c>
      <c r="R113" t="s">
        <v>34</v>
      </c>
      <c r="S113" t="s">
        <v>41</v>
      </c>
      <c r="T113" t="s">
        <v>34</v>
      </c>
      <c r="U113" t="s">
        <v>35</v>
      </c>
      <c r="V113" t="s">
        <v>2939</v>
      </c>
      <c r="X113">
        <v>589000</v>
      </c>
      <c r="Y113">
        <v>2</v>
      </c>
    </row>
    <row r="114" spans="1:25" x14ac:dyDescent="0.35">
      <c r="A114" t="s">
        <v>459</v>
      </c>
      <c r="B114" t="s">
        <v>59</v>
      </c>
      <c r="C114" t="s">
        <v>122</v>
      </c>
      <c r="D114" t="s">
        <v>536</v>
      </c>
      <c r="E114" t="s">
        <v>537</v>
      </c>
      <c r="F114" t="s">
        <v>532</v>
      </c>
      <c r="G114">
        <v>495000</v>
      </c>
      <c r="H114">
        <v>0</v>
      </c>
      <c r="I114">
        <v>495000</v>
      </c>
      <c r="J114">
        <v>0</v>
      </c>
      <c r="K114">
        <v>495000</v>
      </c>
      <c r="L114">
        <v>0</v>
      </c>
      <c r="M114">
        <v>0</v>
      </c>
      <c r="N114">
        <v>0</v>
      </c>
      <c r="O114">
        <v>0</v>
      </c>
      <c r="P114" t="s">
        <v>34</v>
      </c>
      <c r="Q114" t="s">
        <v>34</v>
      </c>
      <c r="R114" t="s">
        <v>34</v>
      </c>
      <c r="S114" t="s">
        <v>41</v>
      </c>
      <c r="T114" t="s">
        <v>34</v>
      </c>
      <c r="U114" t="s">
        <v>35</v>
      </c>
      <c r="V114" t="s">
        <v>538</v>
      </c>
      <c r="X114">
        <v>495000</v>
      </c>
      <c r="Y114">
        <v>1</v>
      </c>
    </row>
    <row r="115" spans="1:25" x14ac:dyDescent="0.35">
      <c r="A115" t="s">
        <v>505</v>
      </c>
      <c r="B115" t="s">
        <v>64</v>
      </c>
      <c r="C115" t="s">
        <v>65</v>
      </c>
      <c r="D115" t="s">
        <v>539</v>
      </c>
      <c r="E115" t="s">
        <v>540</v>
      </c>
      <c r="F115" t="s">
        <v>541</v>
      </c>
      <c r="G115">
        <v>570000</v>
      </c>
      <c r="H115">
        <v>200000</v>
      </c>
      <c r="I115">
        <v>770000</v>
      </c>
      <c r="J115">
        <v>0</v>
      </c>
      <c r="K115">
        <v>0</v>
      </c>
      <c r="L115">
        <v>0</v>
      </c>
      <c r="M115">
        <v>770000</v>
      </c>
      <c r="N115">
        <v>0</v>
      </c>
      <c r="O115">
        <v>0</v>
      </c>
      <c r="P115" t="s">
        <v>542</v>
      </c>
      <c r="S115" t="s">
        <v>41</v>
      </c>
      <c r="T115" t="s">
        <v>34</v>
      </c>
      <c r="U115" t="s">
        <v>35</v>
      </c>
      <c r="V115" t="s">
        <v>543</v>
      </c>
      <c r="X115">
        <v>570000</v>
      </c>
      <c r="Y115">
        <v>1</v>
      </c>
    </row>
    <row r="116" spans="1:25" x14ac:dyDescent="0.35">
      <c r="A116" t="s">
        <v>491</v>
      </c>
      <c r="B116" t="s">
        <v>59</v>
      </c>
      <c r="C116" t="s">
        <v>193</v>
      </c>
      <c r="D116" t="s">
        <v>544</v>
      </c>
      <c r="E116" t="s">
        <v>545</v>
      </c>
      <c r="F116" t="s">
        <v>546</v>
      </c>
      <c r="G116">
        <v>400000</v>
      </c>
      <c r="H116">
        <v>0</v>
      </c>
      <c r="I116">
        <v>400000</v>
      </c>
      <c r="J116">
        <v>0</v>
      </c>
      <c r="K116">
        <v>400000</v>
      </c>
      <c r="L116">
        <v>0</v>
      </c>
      <c r="M116">
        <v>0</v>
      </c>
      <c r="N116">
        <v>0</v>
      </c>
      <c r="O116">
        <v>0</v>
      </c>
      <c r="P116" t="s">
        <v>384</v>
      </c>
      <c r="S116" t="s">
        <v>41</v>
      </c>
      <c r="T116" t="s">
        <v>34</v>
      </c>
      <c r="U116" t="s">
        <v>35</v>
      </c>
      <c r="V116" t="s">
        <v>547</v>
      </c>
      <c r="X116">
        <v>400000</v>
      </c>
      <c r="Y116">
        <v>1</v>
      </c>
    </row>
    <row r="117" spans="1:25" x14ac:dyDescent="0.35">
      <c r="A117" t="s">
        <v>246</v>
      </c>
      <c r="B117" t="s">
        <v>64</v>
      </c>
      <c r="C117" t="s">
        <v>76</v>
      </c>
      <c r="D117" t="s">
        <v>548</v>
      </c>
      <c r="E117" t="s">
        <v>549</v>
      </c>
      <c r="F117" t="s">
        <v>550</v>
      </c>
      <c r="G117">
        <v>495000</v>
      </c>
      <c r="H117">
        <v>0</v>
      </c>
      <c r="I117">
        <v>495000</v>
      </c>
      <c r="J117">
        <v>0</v>
      </c>
      <c r="K117">
        <v>295000</v>
      </c>
      <c r="L117">
        <v>0</v>
      </c>
      <c r="M117">
        <v>200000</v>
      </c>
      <c r="N117">
        <v>0</v>
      </c>
      <c r="O117">
        <v>0</v>
      </c>
      <c r="P117" t="s">
        <v>551</v>
      </c>
      <c r="S117" t="s">
        <v>41</v>
      </c>
      <c r="T117" t="s">
        <v>34</v>
      </c>
      <c r="U117" t="s">
        <v>35</v>
      </c>
      <c r="V117" t="s">
        <v>552</v>
      </c>
      <c r="X117">
        <v>495000</v>
      </c>
      <c r="Y117">
        <v>1</v>
      </c>
    </row>
    <row r="118" spans="1:25" x14ac:dyDescent="0.35">
      <c r="A118" t="s">
        <v>2422</v>
      </c>
      <c r="B118" t="s">
        <v>71</v>
      </c>
      <c r="C118" t="s">
        <v>72</v>
      </c>
      <c r="D118" t="s">
        <v>2850</v>
      </c>
      <c r="E118" t="s">
        <v>2870</v>
      </c>
      <c r="F118" t="s">
        <v>2915</v>
      </c>
      <c r="G118">
        <v>1220000</v>
      </c>
      <c r="H118">
        <v>0</v>
      </c>
      <c r="I118">
        <v>1220000</v>
      </c>
      <c r="J118">
        <v>0</v>
      </c>
      <c r="K118">
        <v>1220000</v>
      </c>
      <c r="L118">
        <v>0</v>
      </c>
      <c r="M118">
        <v>0</v>
      </c>
      <c r="N118">
        <v>0</v>
      </c>
      <c r="O118">
        <v>0</v>
      </c>
      <c r="P118" t="s">
        <v>34</v>
      </c>
      <c r="Q118" t="s">
        <v>34</v>
      </c>
      <c r="R118" t="s">
        <v>34</v>
      </c>
      <c r="S118" t="s">
        <v>41</v>
      </c>
      <c r="T118" t="s">
        <v>34</v>
      </c>
      <c r="U118" t="s">
        <v>35</v>
      </c>
      <c r="V118" t="s">
        <v>2920</v>
      </c>
      <c r="X118">
        <v>610000</v>
      </c>
      <c r="Y118">
        <v>2</v>
      </c>
    </row>
    <row r="119" spans="1:25" x14ac:dyDescent="0.35">
      <c r="A119" t="s">
        <v>557</v>
      </c>
      <c r="B119" t="s">
        <v>71</v>
      </c>
      <c r="C119" t="s">
        <v>72</v>
      </c>
      <c r="D119" t="s">
        <v>558</v>
      </c>
      <c r="E119" t="s">
        <v>559</v>
      </c>
      <c r="F119" t="s">
        <v>560</v>
      </c>
      <c r="G119">
        <v>630000</v>
      </c>
      <c r="H119">
        <v>0</v>
      </c>
      <c r="I119">
        <v>630000</v>
      </c>
      <c r="J119">
        <v>0</v>
      </c>
      <c r="K119">
        <v>630000</v>
      </c>
      <c r="L119">
        <v>0</v>
      </c>
      <c r="M119">
        <v>0</v>
      </c>
      <c r="N119">
        <v>0</v>
      </c>
      <c r="O119">
        <v>0</v>
      </c>
      <c r="P119" t="s">
        <v>384</v>
      </c>
      <c r="S119" t="s">
        <v>41</v>
      </c>
      <c r="T119" t="s">
        <v>34</v>
      </c>
      <c r="U119" t="s">
        <v>35</v>
      </c>
      <c r="V119" t="s">
        <v>561</v>
      </c>
      <c r="X119">
        <v>630000</v>
      </c>
      <c r="Y119">
        <v>1</v>
      </c>
    </row>
    <row r="120" spans="1:25" x14ac:dyDescent="0.35">
      <c r="A120" t="s">
        <v>562</v>
      </c>
      <c r="B120" t="s">
        <v>29</v>
      </c>
      <c r="C120" t="s">
        <v>37</v>
      </c>
      <c r="D120" t="s">
        <v>563</v>
      </c>
      <c r="E120" t="s">
        <v>564</v>
      </c>
      <c r="F120" t="s">
        <v>560</v>
      </c>
      <c r="G120">
        <v>809000</v>
      </c>
      <c r="H120">
        <v>0</v>
      </c>
      <c r="I120">
        <v>809000</v>
      </c>
      <c r="J120">
        <v>0</v>
      </c>
      <c r="K120">
        <v>0</v>
      </c>
      <c r="L120">
        <v>0</v>
      </c>
      <c r="M120">
        <v>809000</v>
      </c>
      <c r="N120">
        <v>0</v>
      </c>
      <c r="O120">
        <v>0</v>
      </c>
      <c r="P120" t="s">
        <v>384</v>
      </c>
      <c r="S120" t="s">
        <v>41</v>
      </c>
      <c r="T120" t="s">
        <v>34</v>
      </c>
      <c r="U120" t="s">
        <v>35</v>
      </c>
      <c r="V120" t="s">
        <v>565</v>
      </c>
      <c r="X120">
        <v>809000</v>
      </c>
      <c r="Y120">
        <v>1</v>
      </c>
    </row>
    <row r="121" spans="1:25" x14ac:dyDescent="0.35">
      <c r="A121" t="s">
        <v>562</v>
      </c>
      <c r="B121" t="s">
        <v>29</v>
      </c>
      <c r="C121" t="s">
        <v>413</v>
      </c>
      <c r="D121" t="s">
        <v>226</v>
      </c>
      <c r="E121" t="s">
        <v>564</v>
      </c>
      <c r="F121" t="s">
        <v>560</v>
      </c>
      <c r="G121">
        <v>809000</v>
      </c>
      <c r="H121">
        <v>0</v>
      </c>
      <c r="I121">
        <v>809000</v>
      </c>
      <c r="J121">
        <v>0</v>
      </c>
      <c r="K121">
        <v>0</v>
      </c>
      <c r="L121">
        <v>0</v>
      </c>
      <c r="M121">
        <v>809000</v>
      </c>
      <c r="N121">
        <v>0</v>
      </c>
      <c r="O121">
        <v>0</v>
      </c>
      <c r="S121" t="s">
        <v>41</v>
      </c>
      <c r="T121" t="s">
        <v>34</v>
      </c>
      <c r="U121" t="s">
        <v>35</v>
      </c>
      <c r="V121" t="s">
        <v>566</v>
      </c>
      <c r="X121">
        <v>809000</v>
      </c>
      <c r="Y121">
        <v>1</v>
      </c>
    </row>
    <row r="122" spans="1:25" x14ac:dyDescent="0.35">
      <c r="A122" t="s">
        <v>2422</v>
      </c>
      <c r="B122" t="s">
        <v>59</v>
      </c>
      <c r="C122" t="s">
        <v>193</v>
      </c>
      <c r="D122" t="s">
        <v>226</v>
      </c>
      <c r="E122" t="s">
        <v>2870</v>
      </c>
      <c r="F122" t="s">
        <v>2915</v>
      </c>
      <c r="G122">
        <v>1130000</v>
      </c>
      <c r="H122">
        <v>240000</v>
      </c>
      <c r="I122">
        <v>1370000</v>
      </c>
      <c r="J122">
        <v>0</v>
      </c>
      <c r="K122">
        <v>1370000</v>
      </c>
      <c r="L122">
        <v>0</v>
      </c>
      <c r="M122">
        <v>0</v>
      </c>
      <c r="N122">
        <v>0</v>
      </c>
      <c r="O122">
        <v>0</v>
      </c>
      <c r="S122" t="s">
        <v>41</v>
      </c>
      <c r="T122" t="s">
        <v>34</v>
      </c>
      <c r="U122" t="s">
        <v>35</v>
      </c>
      <c r="V122" t="s">
        <v>2919</v>
      </c>
      <c r="X122">
        <v>565000</v>
      </c>
      <c r="Y122">
        <v>2</v>
      </c>
    </row>
    <row r="123" spans="1:25" x14ac:dyDescent="0.35">
      <c r="A123" t="s">
        <v>2417</v>
      </c>
      <c r="B123" t="s">
        <v>59</v>
      </c>
      <c r="C123" t="s">
        <v>182</v>
      </c>
      <c r="D123" t="s">
        <v>2900</v>
      </c>
      <c r="E123" t="s">
        <v>2901</v>
      </c>
      <c r="F123" t="s">
        <v>2902</v>
      </c>
      <c r="G123">
        <v>1135000</v>
      </c>
      <c r="H123">
        <v>0</v>
      </c>
      <c r="I123">
        <v>1135000</v>
      </c>
      <c r="J123">
        <v>0</v>
      </c>
      <c r="K123">
        <v>0</v>
      </c>
      <c r="L123">
        <v>0</v>
      </c>
      <c r="M123">
        <v>1135000</v>
      </c>
      <c r="N123">
        <v>0</v>
      </c>
      <c r="O123">
        <v>0</v>
      </c>
      <c r="P123" t="s">
        <v>2903</v>
      </c>
      <c r="Q123" t="s">
        <v>2904</v>
      </c>
      <c r="R123" t="s">
        <v>34</v>
      </c>
      <c r="S123" t="s">
        <v>41</v>
      </c>
      <c r="T123" t="s">
        <v>34</v>
      </c>
      <c r="U123" t="s">
        <v>35</v>
      </c>
      <c r="V123" t="s">
        <v>2905</v>
      </c>
      <c r="X123">
        <v>567500</v>
      </c>
      <c r="Y123">
        <v>2</v>
      </c>
    </row>
    <row r="124" spans="1:25" x14ac:dyDescent="0.35">
      <c r="A124" t="s">
        <v>577</v>
      </c>
      <c r="B124" t="s">
        <v>59</v>
      </c>
      <c r="C124" t="s">
        <v>193</v>
      </c>
      <c r="D124" t="s">
        <v>578</v>
      </c>
      <c r="E124" t="s">
        <v>579</v>
      </c>
      <c r="F124" t="s">
        <v>580</v>
      </c>
      <c r="G124">
        <v>1160000</v>
      </c>
      <c r="H124">
        <v>0</v>
      </c>
      <c r="I124">
        <v>1160000</v>
      </c>
      <c r="J124">
        <v>0</v>
      </c>
      <c r="K124">
        <v>680000</v>
      </c>
      <c r="L124">
        <v>0</v>
      </c>
      <c r="M124">
        <v>480000</v>
      </c>
      <c r="N124">
        <v>0</v>
      </c>
      <c r="O124">
        <v>0</v>
      </c>
      <c r="P124" t="s">
        <v>581</v>
      </c>
      <c r="Q124" t="s">
        <v>34</v>
      </c>
      <c r="R124" t="s">
        <v>34</v>
      </c>
      <c r="S124" t="s">
        <v>41</v>
      </c>
      <c r="T124" t="s">
        <v>34</v>
      </c>
      <c r="U124" t="s">
        <v>35</v>
      </c>
      <c r="V124" t="s">
        <v>582</v>
      </c>
      <c r="X124">
        <v>580000</v>
      </c>
      <c r="Y124">
        <v>2</v>
      </c>
    </row>
    <row r="125" spans="1:25" x14ac:dyDescent="0.35">
      <c r="A125" t="s">
        <v>577</v>
      </c>
      <c r="B125" t="s">
        <v>64</v>
      </c>
      <c r="C125" t="s">
        <v>65</v>
      </c>
      <c r="D125" t="s">
        <v>226</v>
      </c>
      <c r="E125" t="s">
        <v>579</v>
      </c>
      <c r="F125" t="s">
        <v>580</v>
      </c>
      <c r="G125">
        <v>960000</v>
      </c>
      <c r="H125">
        <v>0</v>
      </c>
      <c r="I125">
        <v>960000</v>
      </c>
      <c r="J125">
        <v>0</v>
      </c>
      <c r="K125">
        <v>960000</v>
      </c>
      <c r="L125">
        <v>0</v>
      </c>
      <c r="M125">
        <v>0</v>
      </c>
      <c r="N125">
        <v>0</v>
      </c>
      <c r="O125">
        <v>0</v>
      </c>
      <c r="P125" t="s">
        <v>34</v>
      </c>
      <c r="Q125" t="s">
        <v>34</v>
      </c>
      <c r="R125" t="s">
        <v>34</v>
      </c>
      <c r="S125" t="s">
        <v>41</v>
      </c>
      <c r="T125" t="s">
        <v>34</v>
      </c>
      <c r="U125" t="s">
        <v>35</v>
      </c>
      <c r="V125" t="s">
        <v>583</v>
      </c>
      <c r="X125">
        <v>480000</v>
      </c>
      <c r="Y125">
        <v>2</v>
      </c>
    </row>
    <row r="126" spans="1:25" x14ac:dyDescent="0.35">
      <c r="A126" t="s">
        <v>577</v>
      </c>
      <c r="B126" t="s">
        <v>64</v>
      </c>
      <c r="C126" t="s">
        <v>99</v>
      </c>
      <c r="D126" t="s">
        <v>226</v>
      </c>
      <c r="E126" t="s">
        <v>579</v>
      </c>
      <c r="F126" t="s">
        <v>580</v>
      </c>
      <c r="G126">
        <v>960000</v>
      </c>
      <c r="H126">
        <v>0</v>
      </c>
      <c r="I126">
        <v>960000</v>
      </c>
      <c r="J126">
        <v>0</v>
      </c>
      <c r="K126">
        <v>960000</v>
      </c>
      <c r="L126">
        <v>0</v>
      </c>
      <c r="M126">
        <v>0</v>
      </c>
      <c r="N126">
        <v>0</v>
      </c>
      <c r="O126">
        <v>0</v>
      </c>
      <c r="P126" t="s">
        <v>34</v>
      </c>
      <c r="Q126" t="s">
        <v>34</v>
      </c>
      <c r="R126" t="s">
        <v>34</v>
      </c>
      <c r="S126" t="s">
        <v>41</v>
      </c>
      <c r="T126" t="s">
        <v>34</v>
      </c>
      <c r="U126" t="s">
        <v>35</v>
      </c>
      <c r="V126" t="s">
        <v>584</v>
      </c>
      <c r="X126">
        <v>480000</v>
      </c>
      <c r="Y126">
        <v>2</v>
      </c>
    </row>
    <row r="127" spans="1:25" x14ac:dyDescent="0.35">
      <c r="A127" t="s">
        <v>577</v>
      </c>
      <c r="B127" t="s">
        <v>64</v>
      </c>
      <c r="C127" t="s">
        <v>89</v>
      </c>
      <c r="D127" t="s">
        <v>226</v>
      </c>
      <c r="E127" t="s">
        <v>579</v>
      </c>
      <c r="F127" t="s">
        <v>580</v>
      </c>
      <c r="G127">
        <v>960000</v>
      </c>
      <c r="H127">
        <v>0</v>
      </c>
      <c r="I127">
        <v>960000</v>
      </c>
      <c r="J127">
        <v>0</v>
      </c>
      <c r="K127">
        <v>960000</v>
      </c>
      <c r="L127">
        <v>0</v>
      </c>
      <c r="M127">
        <v>0</v>
      </c>
      <c r="N127">
        <v>0</v>
      </c>
      <c r="O127">
        <v>0</v>
      </c>
      <c r="S127" t="s">
        <v>41</v>
      </c>
      <c r="T127" t="s">
        <v>34</v>
      </c>
      <c r="U127" t="s">
        <v>35</v>
      </c>
      <c r="V127" t="s">
        <v>585</v>
      </c>
      <c r="X127">
        <v>480000</v>
      </c>
      <c r="Y127">
        <v>2</v>
      </c>
    </row>
    <row r="128" spans="1:25" x14ac:dyDescent="0.35">
      <c r="A128" t="s">
        <v>2484</v>
      </c>
      <c r="B128" t="s">
        <v>64</v>
      </c>
      <c r="C128" t="s">
        <v>83</v>
      </c>
      <c r="D128" t="s">
        <v>2895</v>
      </c>
      <c r="E128" t="s">
        <v>2896</v>
      </c>
      <c r="F128" t="s">
        <v>2897</v>
      </c>
      <c r="G128">
        <v>350000</v>
      </c>
      <c r="H128">
        <v>0</v>
      </c>
      <c r="I128">
        <v>350000</v>
      </c>
      <c r="J128">
        <v>0</v>
      </c>
      <c r="K128">
        <v>0</v>
      </c>
      <c r="L128">
        <v>0</v>
      </c>
      <c r="M128">
        <v>350000</v>
      </c>
      <c r="N128">
        <v>0</v>
      </c>
      <c r="O128">
        <v>0</v>
      </c>
      <c r="P128" t="s">
        <v>34</v>
      </c>
      <c r="Q128" t="s">
        <v>34</v>
      </c>
      <c r="R128" t="s">
        <v>2898</v>
      </c>
      <c r="S128" t="s">
        <v>41</v>
      </c>
      <c r="T128" t="s">
        <v>34</v>
      </c>
      <c r="U128" t="s">
        <v>35</v>
      </c>
      <c r="V128" t="s">
        <v>2899</v>
      </c>
      <c r="X128">
        <v>350000</v>
      </c>
      <c r="Y128">
        <v>1</v>
      </c>
    </row>
    <row r="129" spans="1:25" x14ac:dyDescent="0.35">
      <c r="A129" t="s">
        <v>556</v>
      </c>
      <c r="B129" t="s">
        <v>64</v>
      </c>
      <c r="C129" t="s">
        <v>65</v>
      </c>
      <c r="D129" t="s">
        <v>593</v>
      </c>
      <c r="E129" t="s">
        <v>594</v>
      </c>
      <c r="F129" t="s">
        <v>595</v>
      </c>
      <c r="G129">
        <v>570000</v>
      </c>
      <c r="H129">
        <v>0</v>
      </c>
      <c r="I129">
        <v>570000</v>
      </c>
      <c r="J129">
        <v>0</v>
      </c>
      <c r="K129">
        <v>50800</v>
      </c>
      <c r="L129">
        <v>0</v>
      </c>
      <c r="M129">
        <v>519200</v>
      </c>
      <c r="N129">
        <v>0</v>
      </c>
      <c r="O129">
        <v>0</v>
      </c>
      <c r="P129" t="s">
        <v>596</v>
      </c>
      <c r="Q129" t="s">
        <v>34</v>
      </c>
      <c r="R129" t="s">
        <v>34</v>
      </c>
      <c r="S129" t="s">
        <v>41</v>
      </c>
      <c r="T129" t="s">
        <v>34</v>
      </c>
      <c r="U129" t="s">
        <v>35</v>
      </c>
      <c r="V129" t="s">
        <v>597</v>
      </c>
      <c r="X129">
        <v>570000</v>
      </c>
      <c r="Y129">
        <v>1</v>
      </c>
    </row>
    <row r="130" spans="1:25" x14ac:dyDescent="0.35">
      <c r="A130" t="s">
        <v>2349</v>
      </c>
      <c r="B130" t="s">
        <v>59</v>
      </c>
      <c r="C130" t="s">
        <v>60</v>
      </c>
      <c r="D130" t="s">
        <v>2882</v>
      </c>
      <c r="E130" t="s">
        <v>2870</v>
      </c>
      <c r="F130" t="s">
        <v>2871</v>
      </c>
      <c r="G130">
        <v>600000</v>
      </c>
      <c r="H130">
        <v>0</v>
      </c>
      <c r="I130">
        <v>600000</v>
      </c>
      <c r="J130">
        <v>0</v>
      </c>
      <c r="K130">
        <v>0</v>
      </c>
      <c r="L130">
        <v>0</v>
      </c>
      <c r="M130">
        <v>600000</v>
      </c>
      <c r="N130">
        <v>0</v>
      </c>
      <c r="O130">
        <v>0</v>
      </c>
      <c r="S130" t="s">
        <v>41</v>
      </c>
      <c r="T130" t="s">
        <v>34</v>
      </c>
      <c r="U130" t="s">
        <v>35</v>
      </c>
      <c r="V130" t="s">
        <v>2883</v>
      </c>
      <c r="X130">
        <v>600000</v>
      </c>
      <c r="Y130">
        <v>1</v>
      </c>
    </row>
    <row r="131" spans="1:25" x14ac:dyDescent="0.35">
      <c r="A131" t="s">
        <v>2385</v>
      </c>
      <c r="B131" t="s">
        <v>59</v>
      </c>
      <c r="C131" t="s">
        <v>122</v>
      </c>
      <c r="D131" t="s">
        <v>2880</v>
      </c>
      <c r="E131" t="s">
        <v>2878</v>
      </c>
      <c r="F131" t="s">
        <v>2871</v>
      </c>
      <c r="G131">
        <v>1200000</v>
      </c>
      <c r="H131">
        <v>0</v>
      </c>
      <c r="I131">
        <v>1200000</v>
      </c>
      <c r="J131">
        <v>0</v>
      </c>
      <c r="K131">
        <v>0</v>
      </c>
      <c r="L131">
        <v>0</v>
      </c>
      <c r="M131">
        <v>1200000</v>
      </c>
      <c r="N131">
        <v>0</v>
      </c>
      <c r="O131">
        <v>0</v>
      </c>
      <c r="S131" t="s">
        <v>41</v>
      </c>
      <c r="T131" t="s">
        <v>34</v>
      </c>
      <c r="U131" t="s">
        <v>35</v>
      </c>
      <c r="V131" t="s">
        <v>2881</v>
      </c>
      <c r="X131">
        <v>600000</v>
      </c>
      <c r="Y131">
        <v>2</v>
      </c>
    </row>
    <row r="132" spans="1:25" x14ac:dyDescent="0.35">
      <c r="A132" t="s">
        <v>591</v>
      </c>
      <c r="B132" t="s">
        <v>71</v>
      </c>
      <c r="C132" t="s">
        <v>95</v>
      </c>
      <c r="D132" t="s">
        <v>607</v>
      </c>
      <c r="E132" t="s">
        <v>608</v>
      </c>
      <c r="F132" t="s">
        <v>609</v>
      </c>
      <c r="G132">
        <v>1100000</v>
      </c>
      <c r="H132">
        <v>0</v>
      </c>
      <c r="I132">
        <v>1100000</v>
      </c>
      <c r="J132">
        <v>0</v>
      </c>
      <c r="K132">
        <v>0</v>
      </c>
      <c r="L132">
        <v>0</v>
      </c>
      <c r="M132">
        <v>1100000</v>
      </c>
      <c r="N132">
        <v>0</v>
      </c>
      <c r="O132">
        <v>0</v>
      </c>
      <c r="S132" t="s">
        <v>41</v>
      </c>
      <c r="T132" t="s">
        <v>34</v>
      </c>
      <c r="U132" t="s">
        <v>35</v>
      </c>
      <c r="V132" t="s">
        <v>610</v>
      </c>
      <c r="X132">
        <v>550000</v>
      </c>
      <c r="Y132">
        <v>2</v>
      </c>
    </row>
    <row r="133" spans="1:25" x14ac:dyDescent="0.35">
      <c r="A133" t="s">
        <v>2385</v>
      </c>
      <c r="B133" t="s">
        <v>29</v>
      </c>
      <c r="C133" t="s">
        <v>43</v>
      </c>
      <c r="D133" t="s">
        <v>226</v>
      </c>
      <c r="E133" t="s">
        <v>2878</v>
      </c>
      <c r="F133" t="s">
        <v>2871</v>
      </c>
      <c r="G133">
        <v>1450000</v>
      </c>
      <c r="H133">
        <v>0</v>
      </c>
      <c r="I133">
        <v>1450000</v>
      </c>
      <c r="J133">
        <v>0</v>
      </c>
      <c r="K133">
        <v>0</v>
      </c>
      <c r="L133">
        <v>0</v>
      </c>
      <c r="M133">
        <v>1450000</v>
      </c>
      <c r="N133">
        <v>0</v>
      </c>
      <c r="O133">
        <v>0</v>
      </c>
      <c r="S133" t="s">
        <v>41</v>
      </c>
      <c r="T133" t="s">
        <v>34</v>
      </c>
      <c r="U133" t="s">
        <v>35</v>
      </c>
      <c r="V133" t="s">
        <v>2879</v>
      </c>
      <c r="X133">
        <v>725000</v>
      </c>
      <c r="Y133">
        <v>2</v>
      </c>
    </row>
    <row r="134" spans="1:25" x14ac:dyDescent="0.35">
      <c r="A134" t="s">
        <v>2250</v>
      </c>
      <c r="B134" t="s">
        <v>64</v>
      </c>
      <c r="C134" t="s">
        <v>65</v>
      </c>
      <c r="D134" t="s">
        <v>2869</v>
      </c>
      <c r="E134" t="s">
        <v>2870</v>
      </c>
      <c r="F134" t="s">
        <v>2871</v>
      </c>
      <c r="G134">
        <v>534000</v>
      </c>
      <c r="H134">
        <v>0</v>
      </c>
      <c r="I134">
        <v>534000</v>
      </c>
      <c r="J134">
        <v>0</v>
      </c>
      <c r="K134">
        <v>0</v>
      </c>
      <c r="L134">
        <v>0</v>
      </c>
      <c r="M134">
        <v>534000</v>
      </c>
      <c r="N134">
        <v>0</v>
      </c>
      <c r="O134">
        <v>0</v>
      </c>
      <c r="S134" t="s">
        <v>41</v>
      </c>
      <c r="T134" t="s">
        <v>34</v>
      </c>
      <c r="U134" t="s">
        <v>35</v>
      </c>
      <c r="V134" t="s">
        <v>2872</v>
      </c>
      <c r="X134">
        <v>534000</v>
      </c>
      <c r="Y134">
        <v>1</v>
      </c>
    </row>
    <row r="135" spans="1:25" x14ac:dyDescent="0.35">
      <c r="A135" t="s">
        <v>510</v>
      </c>
      <c r="B135" t="s">
        <v>29</v>
      </c>
      <c r="C135" t="s">
        <v>30</v>
      </c>
      <c r="D135" t="s">
        <v>620</v>
      </c>
      <c r="E135" t="s">
        <v>621</v>
      </c>
      <c r="F135" t="s">
        <v>617</v>
      </c>
      <c r="G135">
        <v>1500000</v>
      </c>
      <c r="H135">
        <v>38000</v>
      </c>
      <c r="I135">
        <v>1538000</v>
      </c>
      <c r="J135">
        <v>0</v>
      </c>
      <c r="K135">
        <v>1538000</v>
      </c>
      <c r="L135">
        <v>0</v>
      </c>
      <c r="M135">
        <v>0</v>
      </c>
      <c r="N135">
        <v>0</v>
      </c>
      <c r="O135">
        <v>0</v>
      </c>
      <c r="P135" t="s">
        <v>622</v>
      </c>
      <c r="Q135" t="s">
        <v>34</v>
      </c>
      <c r="R135" t="s">
        <v>34</v>
      </c>
      <c r="S135" t="s">
        <v>41</v>
      </c>
      <c r="T135" t="s">
        <v>34</v>
      </c>
      <c r="U135" t="s">
        <v>35</v>
      </c>
      <c r="V135" t="s">
        <v>623</v>
      </c>
      <c r="X135">
        <v>500000</v>
      </c>
      <c r="Y135">
        <v>3</v>
      </c>
    </row>
    <row r="136" spans="1:25" x14ac:dyDescent="0.35">
      <c r="A136" t="s">
        <v>2864</v>
      </c>
      <c r="B136" t="s">
        <v>71</v>
      </c>
      <c r="C136" t="s">
        <v>95</v>
      </c>
      <c r="D136" t="s">
        <v>2865</v>
      </c>
      <c r="E136" t="s">
        <v>2866</v>
      </c>
      <c r="F136" t="s">
        <v>2867</v>
      </c>
      <c r="G136">
        <v>299000</v>
      </c>
      <c r="H136">
        <v>0</v>
      </c>
      <c r="I136">
        <v>299000</v>
      </c>
      <c r="J136">
        <v>0</v>
      </c>
      <c r="K136">
        <v>0</v>
      </c>
      <c r="L136">
        <v>0</v>
      </c>
      <c r="M136">
        <v>299000</v>
      </c>
      <c r="N136">
        <v>0</v>
      </c>
      <c r="O136">
        <v>0</v>
      </c>
      <c r="P136" t="s">
        <v>34</v>
      </c>
      <c r="Q136" t="s">
        <v>34</v>
      </c>
      <c r="R136" t="s">
        <v>34</v>
      </c>
      <c r="S136" t="s">
        <v>41</v>
      </c>
      <c r="T136" t="s">
        <v>34</v>
      </c>
      <c r="U136" t="s">
        <v>35</v>
      </c>
      <c r="V136" t="s">
        <v>2868</v>
      </c>
      <c r="X136">
        <v>299000</v>
      </c>
      <c r="Y136">
        <v>1</v>
      </c>
    </row>
    <row r="137" spans="1:25" x14ac:dyDescent="0.35">
      <c r="A137" t="s">
        <v>2338</v>
      </c>
      <c r="B137" t="s">
        <v>59</v>
      </c>
      <c r="C137" t="s">
        <v>193</v>
      </c>
      <c r="D137" t="s">
        <v>226</v>
      </c>
      <c r="E137" t="s">
        <v>2861</v>
      </c>
      <c r="F137" t="s">
        <v>2852</v>
      </c>
      <c r="G137">
        <v>1100000</v>
      </c>
      <c r="H137">
        <v>0</v>
      </c>
      <c r="I137">
        <v>1100000</v>
      </c>
      <c r="J137">
        <v>0</v>
      </c>
      <c r="K137">
        <v>600000</v>
      </c>
      <c r="L137">
        <v>0</v>
      </c>
      <c r="M137">
        <v>500000</v>
      </c>
      <c r="N137">
        <v>0</v>
      </c>
      <c r="O137">
        <v>0</v>
      </c>
      <c r="S137" t="s">
        <v>41</v>
      </c>
      <c r="T137" t="s">
        <v>34</v>
      </c>
      <c r="U137" t="s">
        <v>35</v>
      </c>
      <c r="V137" t="s">
        <v>2863</v>
      </c>
      <c r="X137">
        <v>550000</v>
      </c>
      <c r="Y137">
        <v>2</v>
      </c>
    </row>
    <row r="138" spans="1:25" x14ac:dyDescent="0.35">
      <c r="A138" t="s">
        <v>543</v>
      </c>
      <c r="B138" t="s">
        <v>64</v>
      </c>
      <c r="C138" t="s">
        <v>99</v>
      </c>
      <c r="D138" t="s">
        <v>226</v>
      </c>
      <c r="E138" t="s">
        <v>634</v>
      </c>
      <c r="F138" t="s">
        <v>631</v>
      </c>
      <c r="G138">
        <v>990000</v>
      </c>
      <c r="H138">
        <v>0</v>
      </c>
      <c r="I138">
        <v>990000</v>
      </c>
      <c r="J138">
        <v>0</v>
      </c>
      <c r="K138">
        <v>0</v>
      </c>
      <c r="L138">
        <v>0</v>
      </c>
      <c r="M138">
        <v>990000</v>
      </c>
      <c r="N138">
        <v>0</v>
      </c>
      <c r="O138">
        <v>0</v>
      </c>
      <c r="S138" t="s">
        <v>41</v>
      </c>
      <c r="T138" t="s">
        <v>34</v>
      </c>
      <c r="U138" t="s">
        <v>35</v>
      </c>
      <c r="V138" t="s">
        <v>635</v>
      </c>
      <c r="X138">
        <v>495000</v>
      </c>
      <c r="Y138">
        <v>2</v>
      </c>
    </row>
    <row r="139" spans="1:25" x14ac:dyDescent="0.35">
      <c r="A139" t="s">
        <v>636</v>
      </c>
      <c r="B139" t="s">
        <v>59</v>
      </c>
      <c r="C139" t="s">
        <v>193</v>
      </c>
      <c r="D139" t="s">
        <v>637</v>
      </c>
      <c r="E139" t="s">
        <v>638</v>
      </c>
      <c r="F139" t="s">
        <v>631</v>
      </c>
      <c r="G139">
        <v>1160000</v>
      </c>
      <c r="H139">
        <v>400000</v>
      </c>
      <c r="I139">
        <v>1560000</v>
      </c>
      <c r="J139">
        <v>0</v>
      </c>
      <c r="K139">
        <v>0</v>
      </c>
      <c r="L139">
        <v>0</v>
      </c>
      <c r="M139">
        <v>1560000</v>
      </c>
      <c r="N139">
        <v>0</v>
      </c>
      <c r="O139">
        <v>0</v>
      </c>
      <c r="P139" t="s">
        <v>639</v>
      </c>
      <c r="S139" t="s">
        <v>41</v>
      </c>
      <c r="T139" t="s">
        <v>34</v>
      </c>
      <c r="U139" t="s">
        <v>35</v>
      </c>
      <c r="V139" t="s">
        <v>640</v>
      </c>
      <c r="X139">
        <v>580000</v>
      </c>
      <c r="Y139">
        <v>2</v>
      </c>
    </row>
    <row r="140" spans="1:25" x14ac:dyDescent="0.35">
      <c r="A140" t="s">
        <v>538</v>
      </c>
      <c r="B140" t="s">
        <v>59</v>
      </c>
      <c r="C140" t="s">
        <v>182</v>
      </c>
      <c r="D140" t="s">
        <v>641</v>
      </c>
      <c r="E140" t="s">
        <v>642</v>
      </c>
      <c r="F140" t="s">
        <v>643</v>
      </c>
      <c r="G140">
        <v>550000</v>
      </c>
      <c r="H140">
        <v>0</v>
      </c>
      <c r="I140">
        <v>550000</v>
      </c>
      <c r="J140">
        <v>0</v>
      </c>
      <c r="K140">
        <v>-100000</v>
      </c>
      <c r="L140">
        <v>0</v>
      </c>
      <c r="M140">
        <v>100000</v>
      </c>
      <c r="N140">
        <v>550000</v>
      </c>
      <c r="O140">
        <v>0</v>
      </c>
      <c r="S140" t="s">
        <v>41</v>
      </c>
      <c r="T140" t="s">
        <v>34</v>
      </c>
      <c r="U140" t="s">
        <v>35</v>
      </c>
      <c r="V140" t="s">
        <v>644</v>
      </c>
      <c r="X140">
        <v>550000</v>
      </c>
      <c r="Y140">
        <v>1</v>
      </c>
    </row>
    <row r="141" spans="1:25" x14ac:dyDescent="0.35">
      <c r="A141" t="s">
        <v>543</v>
      </c>
      <c r="B141" t="s">
        <v>29</v>
      </c>
      <c r="C141" t="s">
        <v>413</v>
      </c>
      <c r="D141" t="s">
        <v>645</v>
      </c>
      <c r="E141" t="s">
        <v>634</v>
      </c>
      <c r="F141" t="s">
        <v>646</v>
      </c>
      <c r="G141">
        <v>1230000</v>
      </c>
      <c r="H141">
        <v>85000</v>
      </c>
      <c r="I141">
        <v>1315000</v>
      </c>
      <c r="J141">
        <v>0</v>
      </c>
      <c r="K141">
        <v>0</v>
      </c>
      <c r="L141">
        <v>0</v>
      </c>
      <c r="M141">
        <v>1315000</v>
      </c>
      <c r="N141">
        <v>0</v>
      </c>
      <c r="O141">
        <v>0</v>
      </c>
      <c r="S141" t="s">
        <v>41</v>
      </c>
      <c r="T141" t="s">
        <v>34</v>
      </c>
      <c r="U141" t="s">
        <v>35</v>
      </c>
      <c r="V141" t="s">
        <v>647</v>
      </c>
      <c r="X141">
        <v>615000</v>
      </c>
      <c r="Y141">
        <v>2</v>
      </c>
    </row>
    <row r="142" spans="1:25" x14ac:dyDescent="0.35">
      <c r="A142" t="s">
        <v>534</v>
      </c>
      <c r="B142" t="s">
        <v>71</v>
      </c>
      <c r="C142" t="s">
        <v>95</v>
      </c>
      <c r="D142" t="s">
        <v>648</v>
      </c>
      <c r="E142" t="s">
        <v>649</v>
      </c>
      <c r="F142" t="s">
        <v>650</v>
      </c>
      <c r="G142">
        <v>790000</v>
      </c>
      <c r="H142">
        <v>0</v>
      </c>
      <c r="I142">
        <v>790000</v>
      </c>
      <c r="J142">
        <v>0</v>
      </c>
      <c r="K142">
        <v>0</v>
      </c>
      <c r="L142">
        <v>0</v>
      </c>
      <c r="M142">
        <v>790000</v>
      </c>
      <c r="N142">
        <v>0</v>
      </c>
      <c r="O142">
        <v>0</v>
      </c>
      <c r="P142" t="s">
        <v>34</v>
      </c>
      <c r="Q142" t="s">
        <v>34</v>
      </c>
      <c r="R142" t="s">
        <v>651</v>
      </c>
      <c r="S142" t="s">
        <v>41</v>
      </c>
      <c r="T142" t="s">
        <v>34</v>
      </c>
      <c r="U142" t="s">
        <v>35</v>
      </c>
      <c r="V142" t="s">
        <v>652</v>
      </c>
      <c r="X142">
        <v>790000</v>
      </c>
      <c r="Y142">
        <v>1</v>
      </c>
    </row>
    <row r="143" spans="1:25" x14ac:dyDescent="0.35">
      <c r="A143" t="s">
        <v>534</v>
      </c>
      <c r="B143" t="s">
        <v>29</v>
      </c>
      <c r="C143" t="s">
        <v>30</v>
      </c>
      <c r="D143" t="s">
        <v>648</v>
      </c>
      <c r="E143" t="s">
        <v>649</v>
      </c>
      <c r="F143" t="s">
        <v>650</v>
      </c>
      <c r="G143">
        <v>970000</v>
      </c>
      <c r="H143">
        <v>0</v>
      </c>
      <c r="I143">
        <v>970000</v>
      </c>
      <c r="J143">
        <v>0</v>
      </c>
      <c r="K143">
        <v>0</v>
      </c>
      <c r="L143">
        <v>0</v>
      </c>
      <c r="M143">
        <v>970000</v>
      </c>
      <c r="N143">
        <v>0</v>
      </c>
      <c r="O143">
        <v>0</v>
      </c>
      <c r="P143" t="s">
        <v>653</v>
      </c>
      <c r="S143" t="s">
        <v>41</v>
      </c>
      <c r="T143" t="s">
        <v>34</v>
      </c>
      <c r="U143" t="s">
        <v>35</v>
      </c>
      <c r="V143" t="s">
        <v>654</v>
      </c>
      <c r="X143">
        <v>970000</v>
      </c>
      <c r="Y143">
        <v>1</v>
      </c>
    </row>
    <row r="144" spans="1:25" x14ac:dyDescent="0.35">
      <c r="A144" t="s">
        <v>591</v>
      </c>
      <c r="B144" t="s">
        <v>71</v>
      </c>
      <c r="C144" t="s">
        <v>72</v>
      </c>
      <c r="D144" t="s">
        <v>607</v>
      </c>
      <c r="E144" t="s">
        <v>608</v>
      </c>
      <c r="F144" t="s">
        <v>655</v>
      </c>
      <c r="G144">
        <v>2200000</v>
      </c>
      <c r="H144">
        <v>200000</v>
      </c>
      <c r="I144">
        <v>2400000</v>
      </c>
      <c r="J144">
        <v>0</v>
      </c>
      <c r="K144">
        <v>200000</v>
      </c>
      <c r="L144">
        <v>0</v>
      </c>
      <c r="M144">
        <v>2200000</v>
      </c>
      <c r="N144">
        <v>0</v>
      </c>
      <c r="O144">
        <v>0</v>
      </c>
      <c r="S144" t="s">
        <v>41</v>
      </c>
      <c r="T144" t="s">
        <v>34</v>
      </c>
      <c r="U144" t="s">
        <v>35</v>
      </c>
      <c r="V144" t="s">
        <v>656</v>
      </c>
      <c r="X144">
        <v>550000</v>
      </c>
      <c r="Y144">
        <v>4</v>
      </c>
    </row>
    <row r="145" spans="1:25" x14ac:dyDescent="0.35">
      <c r="A145" t="s">
        <v>657</v>
      </c>
      <c r="B145" t="s">
        <v>64</v>
      </c>
      <c r="C145" t="s">
        <v>83</v>
      </c>
      <c r="D145" t="s">
        <v>658</v>
      </c>
      <c r="E145" t="s">
        <v>659</v>
      </c>
      <c r="F145" t="s">
        <v>660</v>
      </c>
      <c r="G145">
        <v>2835000</v>
      </c>
      <c r="H145">
        <v>399000</v>
      </c>
      <c r="I145">
        <v>3234000</v>
      </c>
      <c r="J145">
        <v>0</v>
      </c>
      <c r="K145">
        <v>5779000</v>
      </c>
      <c r="L145">
        <v>0</v>
      </c>
      <c r="M145">
        <v>500000</v>
      </c>
      <c r="N145">
        <v>0</v>
      </c>
      <c r="O145">
        <v>-3045000</v>
      </c>
      <c r="P145" t="s">
        <v>661</v>
      </c>
      <c r="Q145" t="s">
        <v>34</v>
      </c>
      <c r="R145" t="s">
        <v>662</v>
      </c>
      <c r="S145" t="s">
        <v>41</v>
      </c>
      <c r="T145" t="s">
        <v>34</v>
      </c>
      <c r="U145" t="s">
        <v>35</v>
      </c>
      <c r="V145" t="s">
        <v>663</v>
      </c>
      <c r="X145">
        <v>567000</v>
      </c>
      <c r="Y145">
        <v>5</v>
      </c>
    </row>
    <row r="146" spans="1:25" x14ac:dyDescent="0.35">
      <c r="A146" t="s">
        <v>657</v>
      </c>
      <c r="B146" t="s">
        <v>59</v>
      </c>
      <c r="C146" t="s">
        <v>122</v>
      </c>
      <c r="D146" t="s">
        <v>664</v>
      </c>
      <c r="E146" t="s">
        <v>659</v>
      </c>
      <c r="F146" t="s">
        <v>660</v>
      </c>
      <c r="G146">
        <v>3325000</v>
      </c>
      <c r="H146">
        <v>0</v>
      </c>
      <c r="I146">
        <v>3325000</v>
      </c>
      <c r="J146">
        <v>0</v>
      </c>
      <c r="K146">
        <v>280000</v>
      </c>
      <c r="L146">
        <v>0</v>
      </c>
      <c r="M146">
        <v>0</v>
      </c>
      <c r="N146">
        <v>0</v>
      </c>
      <c r="O146">
        <v>3045000</v>
      </c>
      <c r="P146" t="s">
        <v>34</v>
      </c>
      <c r="Q146" t="s">
        <v>34</v>
      </c>
      <c r="R146" t="s">
        <v>665</v>
      </c>
      <c r="S146" t="s">
        <v>41</v>
      </c>
      <c r="T146" t="s">
        <v>34</v>
      </c>
      <c r="U146" t="s">
        <v>35</v>
      </c>
      <c r="V146" t="s">
        <v>666</v>
      </c>
      <c r="X146">
        <v>665000</v>
      </c>
      <c r="Y146">
        <v>5</v>
      </c>
    </row>
    <row r="147" spans="1:25" x14ac:dyDescent="0.35">
      <c r="A147" t="s">
        <v>627</v>
      </c>
      <c r="B147" t="s">
        <v>59</v>
      </c>
      <c r="C147" t="s">
        <v>60</v>
      </c>
      <c r="D147" t="s">
        <v>667</v>
      </c>
      <c r="E147" t="s">
        <v>668</v>
      </c>
      <c r="F147" t="s">
        <v>669</v>
      </c>
      <c r="G147">
        <v>989000</v>
      </c>
      <c r="H147">
        <v>0</v>
      </c>
      <c r="I147">
        <v>989000</v>
      </c>
      <c r="J147">
        <v>0</v>
      </c>
      <c r="K147">
        <v>350000</v>
      </c>
      <c r="L147">
        <v>0</v>
      </c>
      <c r="M147">
        <v>639000</v>
      </c>
      <c r="N147">
        <v>0</v>
      </c>
      <c r="O147">
        <v>0</v>
      </c>
      <c r="P147" t="s">
        <v>34</v>
      </c>
      <c r="Q147" t="s">
        <v>34</v>
      </c>
      <c r="R147" t="s">
        <v>34</v>
      </c>
      <c r="S147" t="s">
        <v>41</v>
      </c>
      <c r="T147" t="s">
        <v>34</v>
      </c>
      <c r="U147" t="s">
        <v>35</v>
      </c>
      <c r="V147" t="s">
        <v>670</v>
      </c>
      <c r="X147">
        <v>989000</v>
      </c>
      <c r="Y147">
        <v>1</v>
      </c>
    </row>
    <row r="148" spans="1:25" x14ac:dyDescent="0.35">
      <c r="A148" t="s">
        <v>569</v>
      </c>
      <c r="B148" t="s">
        <v>29</v>
      </c>
      <c r="C148" t="s">
        <v>30</v>
      </c>
      <c r="D148" t="s">
        <v>671</v>
      </c>
      <c r="E148" t="s">
        <v>672</v>
      </c>
      <c r="F148" t="s">
        <v>673</v>
      </c>
      <c r="G148">
        <v>449000</v>
      </c>
      <c r="H148">
        <v>0</v>
      </c>
      <c r="I148">
        <v>449000</v>
      </c>
      <c r="J148">
        <v>0</v>
      </c>
      <c r="K148">
        <v>0</v>
      </c>
      <c r="L148">
        <v>0</v>
      </c>
      <c r="M148">
        <v>449000</v>
      </c>
      <c r="N148">
        <v>0</v>
      </c>
      <c r="O148">
        <v>0</v>
      </c>
      <c r="P148" t="s">
        <v>674</v>
      </c>
      <c r="Q148" t="s">
        <v>34</v>
      </c>
      <c r="R148" t="s">
        <v>675</v>
      </c>
      <c r="S148" t="s">
        <v>41</v>
      </c>
      <c r="T148" t="s">
        <v>34</v>
      </c>
      <c r="U148" t="s">
        <v>35</v>
      </c>
      <c r="V148" t="s">
        <v>676</v>
      </c>
      <c r="X148">
        <v>449000</v>
      </c>
      <c r="Y148">
        <v>1</v>
      </c>
    </row>
    <row r="149" spans="1:25" x14ac:dyDescent="0.35">
      <c r="A149" t="s">
        <v>582</v>
      </c>
      <c r="B149" t="s">
        <v>64</v>
      </c>
      <c r="C149" t="s">
        <v>65</v>
      </c>
      <c r="D149" t="s">
        <v>677</v>
      </c>
      <c r="E149" t="s">
        <v>678</v>
      </c>
      <c r="F149" t="s">
        <v>679</v>
      </c>
      <c r="G149">
        <v>450000</v>
      </c>
      <c r="H149">
        <v>0</v>
      </c>
      <c r="I149">
        <v>450000</v>
      </c>
      <c r="J149">
        <v>0</v>
      </c>
      <c r="K149">
        <v>0</v>
      </c>
      <c r="L149">
        <v>0</v>
      </c>
      <c r="M149">
        <v>450000</v>
      </c>
      <c r="N149">
        <v>0</v>
      </c>
      <c r="O149">
        <v>0</v>
      </c>
      <c r="P149" t="s">
        <v>384</v>
      </c>
      <c r="Q149" t="s">
        <v>34</v>
      </c>
      <c r="R149" t="s">
        <v>34</v>
      </c>
      <c r="S149" t="s">
        <v>41</v>
      </c>
      <c r="T149" t="s">
        <v>34</v>
      </c>
      <c r="U149" t="s">
        <v>35</v>
      </c>
      <c r="V149" t="s">
        <v>680</v>
      </c>
      <c r="X149">
        <v>450000</v>
      </c>
      <c r="Y149">
        <v>1</v>
      </c>
    </row>
    <row r="150" spans="1:25" x14ac:dyDescent="0.35">
      <c r="A150" t="s">
        <v>2338</v>
      </c>
      <c r="B150" t="s">
        <v>29</v>
      </c>
      <c r="C150" t="s">
        <v>385</v>
      </c>
      <c r="D150" t="s">
        <v>1817</v>
      </c>
      <c r="E150" t="s">
        <v>2861</v>
      </c>
      <c r="F150" t="s">
        <v>2852</v>
      </c>
      <c r="G150">
        <v>1360000</v>
      </c>
      <c r="H150">
        <v>0</v>
      </c>
      <c r="I150">
        <v>1360000</v>
      </c>
      <c r="J150">
        <v>0</v>
      </c>
      <c r="K150">
        <v>720000</v>
      </c>
      <c r="L150">
        <v>0</v>
      </c>
      <c r="M150">
        <v>640000</v>
      </c>
      <c r="N150">
        <v>0</v>
      </c>
      <c r="O150">
        <v>0</v>
      </c>
      <c r="S150" t="s">
        <v>41</v>
      </c>
      <c r="T150" t="s">
        <v>34</v>
      </c>
      <c r="U150" t="s">
        <v>35</v>
      </c>
      <c r="V150" t="s">
        <v>2862</v>
      </c>
      <c r="X150">
        <v>680000</v>
      </c>
      <c r="Y150">
        <v>2</v>
      </c>
    </row>
    <row r="151" spans="1:25" x14ac:dyDescent="0.35">
      <c r="A151" t="s">
        <v>561</v>
      </c>
      <c r="B151" t="s">
        <v>64</v>
      </c>
      <c r="C151" t="s">
        <v>99</v>
      </c>
      <c r="D151" t="s">
        <v>689</v>
      </c>
      <c r="E151" t="s">
        <v>690</v>
      </c>
      <c r="F151" t="s">
        <v>691</v>
      </c>
      <c r="G151">
        <v>495000</v>
      </c>
      <c r="H151">
        <v>0</v>
      </c>
      <c r="I151">
        <v>495000</v>
      </c>
      <c r="J151">
        <v>0</v>
      </c>
      <c r="K151">
        <v>0</v>
      </c>
      <c r="L151">
        <v>0</v>
      </c>
      <c r="M151">
        <v>495000</v>
      </c>
      <c r="N151">
        <v>0</v>
      </c>
      <c r="O151">
        <v>0</v>
      </c>
      <c r="P151" t="s">
        <v>692</v>
      </c>
      <c r="S151" t="s">
        <v>41</v>
      </c>
      <c r="T151" t="s">
        <v>34</v>
      </c>
      <c r="U151" t="s">
        <v>35</v>
      </c>
      <c r="V151" t="s">
        <v>693</v>
      </c>
      <c r="X151">
        <v>495000</v>
      </c>
      <c r="Y151">
        <v>1</v>
      </c>
    </row>
    <row r="152" spans="1:25" x14ac:dyDescent="0.35">
      <c r="A152" t="s">
        <v>2376</v>
      </c>
      <c r="B152" t="s">
        <v>71</v>
      </c>
      <c r="C152" t="s">
        <v>95</v>
      </c>
      <c r="D152" t="s">
        <v>2839</v>
      </c>
      <c r="E152" t="s">
        <v>2840</v>
      </c>
      <c r="F152" t="s">
        <v>2841</v>
      </c>
      <c r="G152">
        <v>560000</v>
      </c>
      <c r="H152">
        <v>0</v>
      </c>
      <c r="I152">
        <v>560000</v>
      </c>
      <c r="J152">
        <v>0</v>
      </c>
      <c r="K152">
        <v>0</v>
      </c>
      <c r="L152">
        <v>0</v>
      </c>
      <c r="M152">
        <v>560000</v>
      </c>
      <c r="N152">
        <v>0</v>
      </c>
      <c r="O152">
        <v>0</v>
      </c>
      <c r="P152" t="s">
        <v>2842</v>
      </c>
      <c r="S152" t="s">
        <v>41</v>
      </c>
      <c r="T152" t="s">
        <v>34</v>
      </c>
      <c r="U152" t="s">
        <v>35</v>
      </c>
      <c r="V152" t="s">
        <v>2843</v>
      </c>
      <c r="X152">
        <v>560000</v>
      </c>
      <c r="Y152">
        <v>1</v>
      </c>
    </row>
    <row r="153" spans="1:25" x14ac:dyDescent="0.35">
      <c r="A153" t="s">
        <v>2834</v>
      </c>
      <c r="B153" t="s">
        <v>64</v>
      </c>
      <c r="C153" t="s">
        <v>99</v>
      </c>
      <c r="D153" t="s">
        <v>2835</v>
      </c>
      <c r="E153" t="s">
        <v>2836</v>
      </c>
      <c r="F153" t="s">
        <v>2837</v>
      </c>
      <c r="G153">
        <v>899200</v>
      </c>
      <c r="H153">
        <v>0</v>
      </c>
      <c r="I153">
        <v>899200</v>
      </c>
      <c r="J153">
        <v>0</v>
      </c>
      <c r="K153">
        <v>0</v>
      </c>
      <c r="L153">
        <v>0</v>
      </c>
      <c r="M153">
        <v>899200</v>
      </c>
      <c r="N153">
        <v>0</v>
      </c>
      <c r="O153">
        <v>0</v>
      </c>
      <c r="S153" t="s">
        <v>41</v>
      </c>
      <c r="T153" t="s">
        <v>34</v>
      </c>
      <c r="U153" t="s">
        <v>35</v>
      </c>
      <c r="V153" t="s">
        <v>2838</v>
      </c>
      <c r="X153">
        <v>449600</v>
      </c>
      <c r="Y153">
        <v>2</v>
      </c>
    </row>
    <row r="154" spans="1:25" x14ac:dyDescent="0.35">
      <c r="A154" t="s">
        <v>2360</v>
      </c>
      <c r="B154" t="s">
        <v>64</v>
      </c>
      <c r="C154" t="s">
        <v>65</v>
      </c>
      <c r="D154" t="s">
        <v>2828</v>
      </c>
      <c r="E154" t="s">
        <v>2829</v>
      </c>
      <c r="F154" t="s">
        <v>2830</v>
      </c>
      <c r="G154">
        <v>500000</v>
      </c>
      <c r="H154">
        <v>0</v>
      </c>
      <c r="I154">
        <v>500000</v>
      </c>
      <c r="J154">
        <v>0</v>
      </c>
      <c r="K154">
        <v>0</v>
      </c>
      <c r="L154">
        <v>0</v>
      </c>
      <c r="M154">
        <v>500000</v>
      </c>
      <c r="N154">
        <v>0</v>
      </c>
      <c r="O154">
        <v>0</v>
      </c>
      <c r="P154" t="s">
        <v>2831</v>
      </c>
      <c r="Q154" t="s">
        <v>34</v>
      </c>
      <c r="R154" t="s">
        <v>2832</v>
      </c>
      <c r="S154" t="s">
        <v>41</v>
      </c>
      <c r="T154" t="s">
        <v>34</v>
      </c>
      <c r="U154" t="s">
        <v>35</v>
      </c>
      <c r="V154" t="s">
        <v>2833</v>
      </c>
      <c r="X154">
        <v>500000</v>
      </c>
      <c r="Y154">
        <v>1</v>
      </c>
    </row>
    <row r="155" spans="1:25" x14ac:dyDescent="0.35">
      <c r="A155" t="s">
        <v>585</v>
      </c>
      <c r="B155" t="s">
        <v>64</v>
      </c>
      <c r="C155" t="s">
        <v>83</v>
      </c>
      <c r="D155" t="s">
        <v>704</v>
      </c>
      <c r="E155" t="s">
        <v>705</v>
      </c>
      <c r="F155" t="s">
        <v>706</v>
      </c>
      <c r="G155">
        <v>1000000</v>
      </c>
      <c r="H155">
        <v>0</v>
      </c>
      <c r="I155">
        <v>1000000</v>
      </c>
      <c r="J155">
        <v>0</v>
      </c>
      <c r="K155">
        <v>500000</v>
      </c>
      <c r="L155">
        <v>0</v>
      </c>
      <c r="M155">
        <v>500000</v>
      </c>
      <c r="N155">
        <v>0</v>
      </c>
      <c r="O155">
        <v>0</v>
      </c>
      <c r="P155" t="s">
        <v>707</v>
      </c>
      <c r="S155" t="s">
        <v>41</v>
      </c>
      <c r="T155" t="s">
        <v>34</v>
      </c>
      <c r="U155" t="s">
        <v>35</v>
      </c>
      <c r="V155" t="s">
        <v>708</v>
      </c>
      <c r="X155">
        <v>500000</v>
      </c>
      <c r="Y155">
        <v>2</v>
      </c>
    </row>
    <row r="156" spans="1:25" x14ac:dyDescent="0.35">
      <c r="A156" t="s">
        <v>2291</v>
      </c>
      <c r="B156" t="s">
        <v>59</v>
      </c>
      <c r="C156" t="s">
        <v>122</v>
      </c>
      <c r="D156" t="s">
        <v>2820</v>
      </c>
      <c r="E156" t="s">
        <v>2821</v>
      </c>
      <c r="F156" t="s">
        <v>2822</v>
      </c>
      <c r="G156">
        <v>539000</v>
      </c>
      <c r="H156">
        <v>0</v>
      </c>
      <c r="I156">
        <v>539000</v>
      </c>
      <c r="J156">
        <v>0</v>
      </c>
      <c r="K156">
        <v>0</v>
      </c>
      <c r="L156">
        <v>0</v>
      </c>
      <c r="M156">
        <v>539000</v>
      </c>
      <c r="N156">
        <v>0</v>
      </c>
      <c r="O156">
        <v>0</v>
      </c>
      <c r="S156" t="s">
        <v>41</v>
      </c>
      <c r="T156" t="s">
        <v>34</v>
      </c>
      <c r="U156" t="s">
        <v>35</v>
      </c>
      <c r="V156" t="s">
        <v>2823</v>
      </c>
      <c r="X156">
        <v>539000</v>
      </c>
      <c r="Y156">
        <v>1</v>
      </c>
    </row>
    <row r="157" spans="1:25" x14ac:dyDescent="0.35">
      <c r="A157" t="s">
        <v>602</v>
      </c>
      <c r="B157" t="s">
        <v>59</v>
      </c>
      <c r="C157" t="s">
        <v>182</v>
      </c>
      <c r="D157" t="s">
        <v>709</v>
      </c>
      <c r="E157" t="s">
        <v>710</v>
      </c>
      <c r="F157" t="s">
        <v>711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34</v>
      </c>
      <c r="Q157" t="s">
        <v>34</v>
      </c>
      <c r="R157" t="s">
        <v>712</v>
      </c>
      <c r="S157" t="s">
        <v>41</v>
      </c>
      <c r="T157" t="s">
        <v>34</v>
      </c>
      <c r="U157" t="s">
        <v>35</v>
      </c>
      <c r="V157" t="s">
        <v>715</v>
      </c>
      <c r="X157">
        <v>0</v>
      </c>
      <c r="Y157">
        <v>1</v>
      </c>
    </row>
    <row r="158" spans="1:25" x14ac:dyDescent="0.35">
      <c r="A158" t="s">
        <v>610</v>
      </c>
      <c r="B158" t="s">
        <v>59</v>
      </c>
      <c r="C158" t="s">
        <v>122</v>
      </c>
      <c r="D158" t="s">
        <v>716</v>
      </c>
      <c r="E158" t="s">
        <v>717</v>
      </c>
      <c r="F158" t="s">
        <v>718</v>
      </c>
      <c r="G158">
        <v>585000</v>
      </c>
      <c r="H158">
        <v>200000</v>
      </c>
      <c r="I158">
        <v>785000</v>
      </c>
      <c r="J158">
        <v>0</v>
      </c>
      <c r="K158">
        <v>0</v>
      </c>
      <c r="L158">
        <v>0</v>
      </c>
      <c r="M158">
        <v>785000</v>
      </c>
      <c r="N158">
        <v>0</v>
      </c>
      <c r="O158">
        <v>0</v>
      </c>
      <c r="P158" t="s">
        <v>719</v>
      </c>
      <c r="Q158" t="s">
        <v>34</v>
      </c>
      <c r="R158" t="s">
        <v>34</v>
      </c>
      <c r="S158" t="s">
        <v>41</v>
      </c>
      <c r="T158" t="s">
        <v>34</v>
      </c>
      <c r="U158" t="s">
        <v>35</v>
      </c>
      <c r="V158" t="s">
        <v>720</v>
      </c>
      <c r="X158">
        <v>585000</v>
      </c>
      <c r="Y158">
        <v>1</v>
      </c>
    </row>
    <row r="159" spans="1:25" x14ac:dyDescent="0.35">
      <c r="A159" t="s">
        <v>2354</v>
      </c>
      <c r="B159" t="s">
        <v>59</v>
      </c>
      <c r="C159" t="s">
        <v>182</v>
      </c>
      <c r="D159" t="s">
        <v>2816</v>
      </c>
      <c r="E159" t="s">
        <v>2817</v>
      </c>
      <c r="F159" t="s">
        <v>2818</v>
      </c>
      <c r="G159">
        <v>350000</v>
      </c>
      <c r="H159">
        <v>0</v>
      </c>
      <c r="I159">
        <v>350000</v>
      </c>
      <c r="J159">
        <v>0</v>
      </c>
      <c r="K159">
        <v>0</v>
      </c>
      <c r="L159">
        <v>0</v>
      </c>
      <c r="M159">
        <v>350000</v>
      </c>
      <c r="N159">
        <v>0</v>
      </c>
      <c r="O159">
        <v>0</v>
      </c>
      <c r="S159" t="s">
        <v>41</v>
      </c>
      <c r="T159" t="s">
        <v>34</v>
      </c>
      <c r="U159" t="s">
        <v>35</v>
      </c>
      <c r="V159" t="s">
        <v>2819</v>
      </c>
      <c r="X159">
        <v>350000</v>
      </c>
      <c r="Y159">
        <v>1</v>
      </c>
    </row>
    <row r="160" spans="1:25" x14ac:dyDescent="0.35">
      <c r="A160" t="s">
        <v>2405</v>
      </c>
      <c r="B160" t="s">
        <v>64</v>
      </c>
      <c r="C160" t="s">
        <v>65</v>
      </c>
      <c r="D160" t="s">
        <v>1660</v>
      </c>
      <c r="E160" t="s">
        <v>2813</v>
      </c>
      <c r="F160" t="s">
        <v>2814</v>
      </c>
      <c r="G160">
        <v>455000</v>
      </c>
      <c r="H160">
        <v>0</v>
      </c>
      <c r="I160">
        <v>455000</v>
      </c>
      <c r="J160">
        <v>0</v>
      </c>
      <c r="K160">
        <v>0</v>
      </c>
      <c r="L160">
        <v>0</v>
      </c>
      <c r="M160">
        <v>455000</v>
      </c>
      <c r="N160">
        <v>0</v>
      </c>
      <c r="O160">
        <v>0</v>
      </c>
      <c r="P160" t="s">
        <v>1663</v>
      </c>
      <c r="Q160" t="s">
        <v>34</v>
      </c>
      <c r="R160" t="s">
        <v>1664</v>
      </c>
      <c r="S160" t="s">
        <v>41</v>
      </c>
      <c r="T160" t="s">
        <v>34</v>
      </c>
      <c r="U160" t="s">
        <v>35</v>
      </c>
      <c r="V160" t="s">
        <v>2815</v>
      </c>
      <c r="X160">
        <v>455000</v>
      </c>
      <c r="Y160">
        <v>1</v>
      </c>
    </row>
    <row r="161" spans="1:25" x14ac:dyDescent="0.35">
      <c r="A161" t="s">
        <v>2241</v>
      </c>
      <c r="B161" t="s">
        <v>64</v>
      </c>
      <c r="C161" t="s">
        <v>89</v>
      </c>
      <c r="D161" t="s">
        <v>2800</v>
      </c>
      <c r="E161" t="s">
        <v>2801</v>
      </c>
      <c r="F161" t="s">
        <v>2802</v>
      </c>
      <c r="G161">
        <v>2066000</v>
      </c>
      <c r="H161">
        <v>0</v>
      </c>
      <c r="I161">
        <v>2066000</v>
      </c>
      <c r="J161">
        <v>0</v>
      </c>
      <c r="K161">
        <v>0</v>
      </c>
      <c r="L161">
        <v>0</v>
      </c>
      <c r="M161">
        <v>2066000</v>
      </c>
      <c r="N161">
        <v>0</v>
      </c>
      <c r="O161">
        <v>0</v>
      </c>
      <c r="P161" t="s">
        <v>2803</v>
      </c>
      <c r="Q161" t="s">
        <v>2804</v>
      </c>
      <c r="R161" t="s">
        <v>34</v>
      </c>
      <c r="S161" t="s">
        <v>41</v>
      </c>
      <c r="T161" t="s">
        <v>34</v>
      </c>
      <c r="U161" t="s">
        <v>35</v>
      </c>
      <c r="V161" t="s">
        <v>2805</v>
      </c>
      <c r="W161" t="s">
        <v>2806</v>
      </c>
      <c r="X161">
        <v>516500</v>
      </c>
      <c r="Y161">
        <v>4</v>
      </c>
    </row>
    <row r="162" spans="1:25" x14ac:dyDescent="0.35">
      <c r="A162" t="s">
        <v>647</v>
      </c>
      <c r="B162" t="s">
        <v>29</v>
      </c>
      <c r="C162" t="s">
        <v>30</v>
      </c>
      <c r="D162" t="s">
        <v>741</v>
      </c>
      <c r="E162" t="s">
        <v>742</v>
      </c>
      <c r="F162" t="s">
        <v>743</v>
      </c>
      <c r="G162">
        <v>696172</v>
      </c>
      <c r="H162">
        <v>0</v>
      </c>
      <c r="I162">
        <v>696172</v>
      </c>
      <c r="J162">
        <v>0</v>
      </c>
      <c r="K162">
        <v>0</v>
      </c>
      <c r="L162">
        <v>0</v>
      </c>
      <c r="M162">
        <v>0</v>
      </c>
      <c r="N162">
        <v>696172</v>
      </c>
      <c r="O162">
        <v>0</v>
      </c>
      <c r="S162" t="s">
        <v>41</v>
      </c>
      <c r="T162" t="s">
        <v>34</v>
      </c>
      <c r="U162" t="s">
        <v>35</v>
      </c>
      <c r="V162" t="s">
        <v>413</v>
      </c>
      <c r="X162">
        <v>696172</v>
      </c>
      <c r="Y162">
        <v>1</v>
      </c>
    </row>
    <row r="163" spans="1:25" x14ac:dyDescent="0.35">
      <c r="A163" t="s">
        <v>2402</v>
      </c>
      <c r="B163" t="s">
        <v>71</v>
      </c>
      <c r="C163" t="s">
        <v>72</v>
      </c>
      <c r="D163" t="s">
        <v>2796</v>
      </c>
      <c r="E163" t="s">
        <v>2797</v>
      </c>
      <c r="F163" t="s">
        <v>2798</v>
      </c>
      <c r="G163">
        <v>479000</v>
      </c>
      <c r="H163">
        <v>0</v>
      </c>
      <c r="I163">
        <v>479000</v>
      </c>
      <c r="J163">
        <v>0</v>
      </c>
      <c r="K163">
        <v>0</v>
      </c>
      <c r="L163">
        <v>0</v>
      </c>
      <c r="M163">
        <v>479000</v>
      </c>
      <c r="N163">
        <v>0</v>
      </c>
      <c r="O163">
        <v>0</v>
      </c>
      <c r="S163" t="s">
        <v>41</v>
      </c>
      <c r="T163" t="s">
        <v>34</v>
      </c>
      <c r="U163" t="s">
        <v>35</v>
      </c>
      <c r="V163" t="s">
        <v>2799</v>
      </c>
      <c r="X163">
        <v>479000</v>
      </c>
      <c r="Y163">
        <v>1</v>
      </c>
    </row>
    <row r="164" spans="1:25" x14ac:dyDescent="0.35">
      <c r="A164" t="s">
        <v>583</v>
      </c>
      <c r="B164" t="s">
        <v>64</v>
      </c>
      <c r="C164" t="s">
        <v>89</v>
      </c>
      <c r="D164" t="s">
        <v>682</v>
      </c>
      <c r="E164" t="s">
        <v>748</v>
      </c>
      <c r="F164" t="s">
        <v>749</v>
      </c>
      <c r="G164">
        <v>1575000</v>
      </c>
      <c r="H164">
        <v>0</v>
      </c>
      <c r="I164">
        <v>1575000</v>
      </c>
      <c r="J164">
        <v>0</v>
      </c>
      <c r="K164">
        <v>1575000</v>
      </c>
      <c r="L164">
        <v>0</v>
      </c>
      <c r="M164">
        <v>0</v>
      </c>
      <c r="N164">
        <v>0</v>
      </c>
      <c r="O164">
        <v>0</v>
      </c>
      <c r="P164" t="s">
        <v>685</v>
      </c>
      <c r="Q164" t="s">
        <v>34</v>
      </c>
      <c r="R164" t="s">
        <v>686</v>
      </c>
      <c r="S164" t="s">
        <v>41</v>
      </c>
      <c r="T164" t="s">
        <v>34</v>
      </c>
      <c r="U164" t="s">
        <v>35</v>
      </c>
      <c r="V164" t="s">
        <v>750</v>
      </c>
      <c r="X164">
        <v>525000</v>
      </c>
      <c r="Y164">
        <v>3</v>
      </c>
    </row>
    <row r="165" spans="1:25" x14ac:dyDescent="0.35">
      <c r="A165" t="s">
        <v>615</v>
      </c>
      <c r="B165" t="s">
        <v>64</v>
      </c>
      <c r="C165" t="s">
        <v>65</v>
      </c>
      <c r="D165" t="s">
        <v>751</v>
      </c>
      <c r="E165" t="s">
        <v>752</v>
      </c>
      <c r="F165" t="s">
        <v>753</v>
      </c>
      <c r="G165">
        <v>680000</v>
      </c>
      <c r="H165">
        <v>0</v>
      </c>
      <c r="I165">
        <v>680000</v>
      </c>
      <c r="J165">
        <v>0</v>
      </c>
      <c r="K165">
        <v>680000</v>
      </c>
      <c r="L165">
        <v>0</v>
      </c>
      <c r="M165">
        <v>0</v>
      </c>
      <c r="N165">
        <v>0</v>
      </c>
      <c r="O165">
        <v>0</v>
      </c>
      <c r="P165" t="s">
        <v>34</v>
      </c>
      <c r="Q165" t="s">
        <v>34</v>
      </c>
      <c r="R165" t="s">
        <v>754</v>
      </c>
      <c r="S165" t="s">
        <v>41</v>
      </c>
      <c r="T165" t="s">
        <v>34</v>
      </c>
      <c r="U165" t="s">
        <v>35</v>
      </c>
      <c r="V165" t="s">
        <v>755</v>
      </c>
      <c r="X165">
        <v>680000</v>
      </c>
      <c r="Y165">
        <v>1</v>
      </c>
    </row>
    <row r="166" spans="1:25" x14ac:dyDescent="0.35">
      <c r="A166" t="s">
        <v>2265</v>
      </c>
      <c r="B166" t="s">
        <v>29</v>
      </c>
      <c r="C166" t="s">
        <v>110</v>
      </c>
      <c r="D166" t="s">
        <v>2793</v>
      </c>
      <c r="E166" t="s">
        <v>2757</v>
      </c>
      <c r="F166" t="s">
        <v>2790</v>
      </c>
      <c r="G166">
        <v>5243000</v>
      </c>
      <c r="H166">
        <v>0</v>
      </c>
      <c r="I166">
        <v>5243000</v>
      </c>
      <c r="J166">
        <v>0</v>
      </c>
      <c r="K166">
        <v>4494000</v>
      </c>
      <c r="L166">
        <v>0</v>
      </c>
      <c r="M166">
        <v>749000</v>
      </c>
      <c r="N166">
        <v>0</v>
      </c>
      <c r="O166">
        <v>0</v>
      </c>
      <c r="P166" t="s">
        <v>34</v>
      </c>
      <c r="Q166" t="s">
        <v>34</v>
      </c>
      <c r="R166" t="s">
        <v>2794</v>
      </c>
      <c r="S166" t="s">
        <v>41</v>
      </c>
      <c r="T166" t="s">
        <v>34</v>
      </c>
      <c r="U166" t="s">
        <v>35</v>
      </c>
      <c r="V166" t="s">
        <v>2795</v>
      </c>
      <c r="X166">
        <v>873833.33330000006</v>
      </c>
      <c r="Y166">
        <v>6</v>
      </c>
    </row>
    <row r="167" spans="1:25" x14ac:dyDescent="0.35">
      <c r="A167" t="s">
        <v>761</v>
      </c>
      <c r="B167" t="s">
        <v>64</v>
      </c>
      <c r="C167" t="s">
        <v>83</v>
      </c>
      <c r="D167" t="s">
        <v>762</v>
      </c>
      <c r="E167" t="s">
        <v>763</v>
      </c>
      <c r="F167" t="s">
        <v>764</v>
      </c>
      <c r="G167">
        <v>1098000</v>
      </c>
      <c r="H167">
        <v>0</v>
      </c>
      <c r="I167">
        <v>1098000</v>
      </c>
      <c r="J167">
        <v>0</v>
      </c>
      <c r="K167">
        <v>498000</v>
      </c>
      <c r="L167">
        <v>0</v>
      </c>
      <c r="M167">
        <v>600000</v>
      </c>
      <c r="N167">
        <v>0</v>
      </c>
      <c r="O167">
        <v>0</v>
      </c>
      <c r="P167" t="s">
        <v>765</v>
      </c>
      <c r="Q167" t="s">
        <v>34</v>
      </c>
      <c r="R167" t="s">
        <v>34</v>
      </c>
      <c r="S167" t="s">
        <v>41</v>
      </c>
      <c r="T167" t="s">
        <v>34</v>
      </c>
      <c r="U167" t="s">
        <v>35</v>
      </c>
      <c r="V167" t="s">
        <v>557</v>
      </c>
      <c r="X167">
        <v>549000</v>
      </c>
      <c r="Y167">
        <v>2</v>
      </c>
    </row>
    <row r="168" spans="1:25" x14ac:dyDescent="0.35">
      <c r="A168" t="s">
        <v>652</v>
      </c>
      <c r="B168" t="s">
        <v>59</v>
      </c>
      <c r="C168" t="s">
        <v>60</v>
      </c>
      <c r="D168" t="s">
        <v>766</v>
      </c>
      <c r="E168" t="s">
        <v>767</v>
      </c>
      <c r="F168" t="s">
        <v>764</v>
      </c>
      <c r="G168">
        <v>1000000</v>
      </c>
      <c r="H168">
        <v>0</v>
      </c>
      <c r="I168">
        <v>1000000</v>
      </c>
      <c r="J168">
        <v>0</v>
      </c>
      <c r="K168">
        <v>1000000</v>
      </c>
      <c r="L168">
        <v>0</v>
      </c>
      <c r="M168">
        <v>0</v>
      </c>
      <c r="N168">
        <v>0</v>
      </c>
      <c r="O168">
        <v>0</v>
      </c>
      <c r="P168" t="s">
        <v>34</v>
      </c>
      <c r="Q168" t="s">
        <v>34</v>
      </c>
      <c r="R168" t="s">
        <v>768</v>
      </c>
      <c r="S168" t="s">
        <v>41</v>
      </c>
      <c r="T168" t="s">
        <v>34</v>
      </c>
      <c r="U168" t="s">
        <v>35</v>
      </c>
      <c r="V168" t="s">
        <v>769</v>
      </c>
      <c r="X168">
        <v>500000</v>
      </c>
      <c r="Y168">
        <v>2</v>
      </c>
    </row>
    <row r="169" spans="1:25" x14ac:dyDescent="0.35">
      <c r="A169" t="s">
        <v>2265</v>
      </c>
      <c r="B169" t="s">
        <v>29</v>
      </c>
      <c r="C169" t="s">
        <v>30</v>
      </c>
      <c r="D169" t="s">
        <v>2789</v>
      </c>
      <c r="E169" t="s">
        <v>2757</v>
      </c>
      <c r="F169" t="s">
        <v>2790</v>
      </c>
      <c r="G169">
        <v>5211000</v>
      </c>
      <c r="H169">
        <v>0</v>
      </c>
      <c r="I169">
        <v>5211000</v>
      </c>
      <c r="J169">
        <v>0</v>
      </c>
      <c r="K169">
        <v>-4538000</v>
      </c>
      <c r="L169">
        <v>0</v>
      </c>
      <c r="M169">
        <v>9749000</v>
      </c>
      <c r="N169">
        <v>0</v>
      </c>
      <c r="O169">
        <v>0</v>
      </c>
      <c r="P169" t="s">
        <v>34</v>
      </c>
      <c r="Q169" t="s">
        <v>34</v>
      </c>
      <c r="R169" t="s">
        <v>2791</v>
      </c>
      <c r="S169" t="s">
        <v>41</v>
      </c>
      <c r="T169" t="s">
        <v>34</v>
      </c>
      <c r="U169" t="s">
        <v>35</v>
      </c>
      <c r="V169" t="s">
        <v>2792</v>
      </c>
      <c r="X169">
        <v>868500</v>
      </c>
      <c r="Y169">
        <v>6</v>
      </c>
    </row>
    <row r="170" spans="1:25" x14ac:dyDescent="0.35">
      <c r="A170" t="s">
        <v>640</v>
      </c>
      <c r="B170" t="s">
        <v>29</v>
      </c>
      <c r="C170" t="s">
        <v>43</v>
      </c>
      <c r="D170" t="s">
        <v>776</v>
      </c>
      <c r="E170" t="s">
        <v>777</v>
      </c>
      <c r="F170" t="s">
        <v>778</v>
      </c>
      <c r="G170">
        <v>1700000</v>
      </c>
      <c r="H170">
        <v>0</v>
      </c>
      <c r="I170">
        <v>1700000</v>
      </c>
      <c r="J170">
        <v>0</v>
      </c>
      <c r="K170">
        <v>0</v>
      </c>
      <c r="L170">
        <v>0</v>
      </c>
      <c r="M170">
        <v>1700000</v>
      </c>
      <c r="N170">
        <v>0</v>
      </c>
      <c r="O170">
        <v>0</v>
      </c>
      <c r="P170" t="s">
        <v>779</v>
      </c>
      <c r="Q170" t="s">
        <v>34</v>
      </c>
      <c r="R170" t="s">
        <v>34</v>
      </c>
      <c r="S170" t="s">
        <v>41</v>
      </c>
      <c r="T170" t="s">
        <v>34</v>
      </c>
      <c r="U170" t="s">
        <v>35</v>
      </c>
      <c r="V170" t="s">
        <v>780</v>
      </c>
      <c r="X170">
        <v>850000</v>
      </c>
      <c r="Y170">
        <v>2</v>
      </c>
    </row>
    <row r="171" spans="1:25" x14ac:dyDescent="0.35">
      <c r="A171" t="s">
        <v>2312</v>
      </c>
      <c r="B171" t="s">
        <v>64</v>
      </c>
      <c r="C171" t="s">
        <v>76</v>
      </c>
      <c r="D171" t="s">
        <v>2784</v>
      </c>
      <c r="E171" t="s">
        <v>2785</v>
      </c>
      <c r="F171" t="s">
        <v>2786</v>
      </c>
      <c r="G171">
        <v>400000</v>
      </c>
      <c r="H171">
        <v>0</v>
      </c>
      <c r="I171">
        <v>400000</v>
      </c>
      <c r="J171">
        <v>0</v>
      </c>
      <c r="K171">
        <v>0</v>
      </c>
      <c r="L171">
        <v>0</v>
      </c>
      <c r="M171">
        <v>400000</v>
      </c>
      <c r="N171">
        <v>0</v>
      </c>
      <c r="O171">
        <v>0</v>
      </c>
      <c r="P171" t="s">
        <v>2787</v>
      </c>
      <c r="Q171" t="s">
        <v>34</v>
      </c>
      <c r="R171" t="s">
        <v>34</v>
      </c>
      <c r="S171" t="s">
        <v>41</v>
      </c>
      <c r="T171" t="s">
        <v>34</v>
      </c>
      <c r="U171" t="s">
        <v>35</v>
      </c>
      <c r="V171" t="s">
        <v>2788</v>
      </c>
      <c r="X171">
        <v>400000</v>
      </c>
      <c r="Y171">
        <v>1</v>
      </c>
    </row>
    <row r="172" spans="1:25" x14ac:dyDescent="0.35">
      <c r="A172" t="s">
        <v>670</v>
      </c>
      <c r="B172" t="s">
        <v>71</v>
      </c>
      <c r="C172" t="s">
        <v>95</v>
      </c>
      <c r="D172" t="s">
        <v>788</v>
      </c>
      <c r="E172" t="s">
        <v>789</v>
      </c>
      <c r="F172" t="s">
        <v>778</v>
      </c>
      <c r="G172">
        <v>629000</v>
      </c>
      <c r="H172">
        <v>0</v>
      </c>
      <c r="I172">
        <v>629000</v>
      </c>
      <c r="J172">
        <v>0</v>
      </c>
      <c r="K172">
        <v>-61000</v>
      </c>
      <c r="L172">
        <v>0</v>
      </c>
      <c r="M172">
        <v>690000</v>
      </c>
      <c r="N172">
        <v>0</v>
      </c>
      <c r="O172">
        <v>0</v>
      </c>
      <c r="P172" t="s">
        <v>790</v>
      </c>
      <c r="Q172" t="s">
        <v>34</v>
      </c>
      <c r="R172" t="s">
        <v>791</v>
      </c>
      <c r="S172" t="s">
        <v>41</v>
      </c>
      <c r="T172" t="s">
        <v>34</v>
      </c>
      <c r="U172" t="s">
        <v>35</v>
      </c>
      <c r="V172" t="s">
        <v>792</v>
      </c>
      <c r="X172">
        <v>629000</v>
      </c>
      <c r="Y172">
        <v>1</v>
      </c>
    </row>
    <row r="173" spans="1:25" x14ac:dyDescent="0.35">
      <c r="A173" t="s">
        <v>793</v>
      </c>
      <c r="B173" t="s">
        <v>59</v>
      </c>
      <c r="C173" t="s">
        <v>182</v>
      </c>
      <c r="D173" t="s">
        <v>794</v>
      </c>
      <c r="E173" t="s">
        <v>795</v>
      </c>
      <c r="F173" t="s">
        <v>796</v>
      </c>
      <c r="G173">
        <v>1662000</v>
      </c>
      <c r="H173">
        <v>0</v>
      </c>
      <c r="I173">
        <v>1662000</v>
      </c>
      <c r="J173">
        <v>0</v>
      </c>
      <c r="K173">
        <v>0</v>
      </c>
      <c r="L173">
        <v>0</v>
      </c>
      <c r="M173">
        <v>0</v>
      </c>
      <c r="N173">
        <v>1662000</v>
      </c>
      <c r="O173">
        <v>0</v>
      </c>
      <c r="P173" t="s">
        <v>34</v>
      </c>
      <c r="Q173" t="s">
        <v>34</v>
      </c>
      <c r="R173" t="s">
        <v>797</v>
      </c>
      <c r="S173" t="s">
        <v>41</v>
      </c>
      <c r="T173" t="s">
        <v>34</v>
      </c>
      <c r="U173" t="s">
        <v>35</v>
      </c>
      <c r="V173" t="s">
        <v>798</v>
      </c>
      <c r="X173">
        <v>554000</v>
      </c>
      <c r="Y173">
        <v>3</v>
      </c>
    </row>
    <row r="174" spans="1:25" x14ac:dyDescent="0.35">
      <c r="A174" t="s">
        <v>394</v>
      </c>
      <c r="B174" t="s">
        <v>64</v>
      </c>
      <c r="C174" t="s">
        <v>65</v>
      </c>
      <c r="D174" t="s">
        <v>799</v>
      </c>
      <c r="E174" t="s">
        <v>800</v>
      </c>
      <c r="F174" t="s">
        <v>801</v>
      </c>
      <c r="G174">
        <v>549000</v>
      </c>
      <c r="H174">
        <v>0</v>
      </c>
      <c r="I174">
        <v>494100</v>
      </c>
      <c r="J174">
        <v>0</v>
      </c>
      <c r="K174">
        <v>0</v>
      </c>
      <c r="L174">
        <v>0</v>
      </c>
      <c r="M174">
        <v>494100</v>
      </c>
      <c r="N174">
        <v>0</v>
      </c>
      <c r="O174">
        <v>0</v>
      </c>
      <c r="P174" t="s">
        <v>802</v>
      </c>
      <c r="Q174" t="s">
        <v>803</v>
      </c>
      <c r="R174" t="s">
        <v>804</v>
      </c>
      <c r="S174" t="s">
        <v>41</v>
      </c>
      <c r="T174" t="s">
        <v>34</v>
      </c>
      <c r="U174" t="s">
        <v>35</v>
      </c>
      <c r="V174" t="s">
        <v>173</v>
      </c>
      <c r="W174" t="s">
        <v>805</v>
      </c>
      <c r="X174">
        <v>549000</v>
      </c>
      <c r="Y174">
        <v>1</v>
      </c>
    </row>
    <row r="175" spans="1:25" x14ac:dyDescent="0.35">
      <c r="A175" t="s">
        <v>394</v>
      </c>
      <c r="B175" t="s">
        <v>64</v>
      </c>
      <c r="C175" t="s">
        <v>83</v>
      </c>
      <c r="D175" t="s">
        <v>806</v>
      </c>
      <c r="E175" t="s">
        <v>800</v>
      </c>
      <c r="F175" t="s">
        <v>801</v>
      </c>
      <c r="G175">
        <v>549000</v>
      </c>
      <c r="H175">
        <v>0</v>
      </c>
      <c r="I175">
        <v>494100</v>
      </c>
      <c r="J175">
        <v>0</v>
      </c>
      <c r="K175">
        <v>488200</v>
      </c>
      <c r="L175">
        <v>0</v>
      </c>
      <c r="M175">
        <v>5900</v>
      </c>
      <c r="N175">
        <v>0</v>
      </c>
      <c r="O175">
        <v>0</v>
      </c>
      <c r="P175" t="s">
        <v>34</v>
      </c>
      <c r="Q175" t="s">
        <v>34</v>
      </c>
      <c r="R175" t="s">
        <v>807</v>
      </c>
      <c r="S175" t="s">
        <v>41</v>
      </c>
      <c r="T175" t="s">
        <v>34</v>
      </c>
      <c r="U175" t="s">
        <v>35</v>
      </c>
      <c r="V175" t="s">
        <v>193</v>
      </c>
      <c r="W175" t="s">
        <v>805</v>
      </c>
      <c r="X175">
        <v>549000</v>
      </c>
      <c r="Y175">
        <v>1</v>
      </c>
    </row>
    <row r="176" spans="1:25" x14ac:dyDescent="0.35">
      <c r="A176" t="s">
        <v>708</v>
      </c>
      <c r="B176" t="s">
        <v>71</v>
      </c>
      <c r="C176" t="s">
        <v>95</v>
      </c>
      <c r="D176" t="s">
        <v>808</v>
      </c>
      <c r="E176" t="s">
        <v>809</v>
      </c>
      <c r="F176" t="s">
        <v>810</v>
      </c>
      <c r="G176">
        <v>585000</v>
      </c>
      <c r="H176">
        <v>0</v>
      </c>
      <c r="I176">
        <v>585000</v>
      </c>
      <c r="J176">
        <v>0</v>
      </c>
      <c r="K176">
        <v>0</v>
      </c>
      <c r="L176">
        <v>0</v>
      </c>
      <c r="M176">
        <v>585000</v>
      </c>
      <c r="N176">
        <v>0</v>
      </c>
      <c r="O176">
        <v>0</v>
      </c>
      <c r="P176" t="s">
        <v>34</v>
      </c>
      <c r="Q176" t="s">
        <v>34</v>
      </c>
      <c r="R176" t="s">
        <v>34</v>
      </c>
      <c r="S176" t="s">
        <v>41</v>
      </c>
      <c r="T176" t="s">
        <v>34</v>
      </c>
      <c r="U176" t="s">
        <v>35</v>
      </c>
      <c r="V176" t="s">
        <v>811</v>
      </c>
      <c r="X176">
        <v>585000</v>
      </c>
      <c r="Y176">
        <v>1</v>
      </c>
    </row>
    <row r="177" spans="1:25" x14ac:dyDescent="0.35">
      <c r="A177" t="s">
        <v>739</v>
      </c>
      <c r="B177" t="s">
        <v>59</v>
      </c>
      <c r="C177" t="s">
        <v>60</v>
      </c>
      <c r="D177" t="s">
        <v>812</v>
      </c>
      <c r="E177" t="s">
        <v>813</v>
      </c>
      <c r="F177" t="s">
        <v>814</v>
      </c>
      <c r="G177">
        <v>1000000</v>
      </c>
      <c r="H177">
        <v>0</v>
      </c>
      <c r="I177">
        <v>1000000</v>
      </c>
      <c r="J177">
        <v>0</v>
      </c>
      <c r="K177">
        <v>1000000</v>
      </c>
      <c r="L177">
        <v>0</v>
      </c>
      <c r="M177">
        <v>0</v>
      </c>
      <c r="N177">
        <v>0</v>
      </c>
      <c r="O177">
        <v>0</v>
      </c>
      <c r="S177" t="s">
        <v>41</v>
      </c>
      <c r="T177" t="s">
        <v>34</v>
      </c>
      <c r="U177" t="s">
        <v>35</v>
      </c>
      <c r="V177" t="s">
        <v>815</v>
      </c>
      <c r="X177">
        <v>500000</v>
      </c>
      <c r="Y177">
        <v>2</v>
      </c>
    </row>
    <row r="178" spans="1:25" x14ac:dyDescent="0.35">
      <c r="A178" t="s">
        <v>739</v>
      </c>
      <c r="B178" t="s">
        <v>29</v>
      </c>
      <c r="C178" t="s">
        <v>37</v>
      </c>
      <c r="D178" t="s">
        <v>226</v>
      </c>
      <c r="E178" t="s">
        <v>813</v>
      </c>
      <c r="F178" t="s">
        <v>814</v>
      </c>
      <c r="G178">
        <v>1500000</v>
      </c>
      <c r="H178">
        <v>0</v>
      </c>
      <c r="I178">
        <v>1500000</v>
      </c>
      <c r="J178">
        <v>0</v>
      </c>
      <c r="K178">
        <v>1500000</v>
      </c>
      <c r="L178">
        <v>0</v>
      </c>
      <c r="M178">
        <v>0</v>
      </c>
      <c r="N178">
        <v>0</v>
      </c>
      <c r="O178">
        <v>0</v>
      </c>
      <c r="S178" t="s">
        <v>41</v>
      </c>
      <c r="T178" t="s">
        <v>34</v>
      </c>
      <c r="U178" t="s">
        <v>35</v>
      </c>
      <c r="V178" t="s">
        <v>816</v>
      </c>
      <c r="X178">
        <v>750000</v>
      </c>
      <c r="Y178">
        <v>2</v>
      </c>
    </row>
    <row r="179" spans="1:25" x14ac:dyDescent="0.35">
      <c r="A179" t="s">
        <v>732</v>
      </c>
      <c r="B179" t="s">
        <v>59</v>
      </c>
      <c r="C179" t="s">
        <v>182</v>
      </c>
      <c r="D179" t="s">
        <v>817</v>
      </c>
      <c r="E179" t="s">
        <v>818</v>
      </c>
      <c r="F179" t="s">
        <v>814</v>
      </c>
      <c r="G179">
        <v>500000</v>
      </c>
      <c r="H179">
        <v>0</v>
      </c>
      <c r="I179">
        <v>500000</v>
      </c>
      <c r="J179">
        <v>0</v>
      </c>
      <c r="K179">
        <v>500000</v>
      </c>
      <c r="L179">
        <v>0</v>
      </c>
      <c r="M179">
        <v>0</v>
      </c>
      <c r="N179">
        <v>0</v>
      </c>
      <c r="O179">
        <v>0</v>
      </c>
      <c r="P179" t="s">
        <v>34</v>
      </c>
      <c r="Q179" t="s">
        <v>34</v>
      </c>
      <c r="R179" t="s">
        <v>34</v>
      </c>
      <c r="S179" t="s">
        <v>41</v>
      </c>
      <c r="T179" t="s">
        <v>34</v>
      </c>
      <c r="U179" t="s">
        <v>35</v>
      </c>
      <c r="V179" t="s">
        <v>819</v>
      </c>
      <c r="X179">
        <v>500000</v>
      </c>
      <c r="Y179">
        <v>1</v>
      </c>
    </row>
    <row r="180" spans="1:25" x14ac:dyDescent="0.35">
      <c r="A180" t="s">
        <v>820</v>
      </c>
      <c r="B180" t="s">
        <v>59</v>
      </c>
      <c r="C180" t="s">
        <v>182</v>
      </c>
      <c r="D180" t="s">
        <v>821</v>
      </c>
      <c r="E180" t="s">
        <v>822</v>
      </c>
      <c r="F180" t="s">
        <v>823</v>
      </c>
      <c r="G180">
        <v>400000</v>
      </c>
      <c r="H180">
        <v>0</v>
      </c>
      <c r="I180">
        <v>400000</v>
      </c>
      <c r="J180">
        <v>0</v>
      </c>
      <c r="K180">
        <v>400000</v>
      </c>
      <c r="L180">
        <v>0</v>
      </c>
      <c r="M180">
        <v>0</v>
      </c>
      <c r="N180">
        <v>0</v>
      </c>
      <c r="O180">
        <v>0</v>
      </c>
      <c r="S180" t="s">
        <v>41</v>
      </c>
      <c r="T180" t="s">
        <v>34</v>
      </c>
      <c r="U180" t="s">
        <v>35</v>
      </c>
      <c r="V180" t="s">
        <v>824</v>
      </c>
      <c r="X180">
        <v>400000</v>
      </c>
      <c r="Y180">
        <v>1</v>
      </c>
    </row>
    <row r="181" spans="1:25" x14ac:dyDescent="0.35">
      <c r="A181" t="s">
        <v>635</v>
      </c>
      <c r="B181" t="s">
        <v>59</v>
      </c>
      <c r="C181" t="s">
        <v>193</v>
      </c>
      <c r="D181" t="s">
        <v>825</v>
      </c>
      <c r="E181" t="s">
        <v>826</v>
      </c>
      <c r="F181" t="s">
        <v>827</v>
      </c>
      <c r="G181">
        <v>1150000</v>
      </c>
      <c r="H181">
        <v>0</v>
      </c>
      <c r="I181">
        <v>1150000</v>
      </c>
      <c r="J181">
        <v>0</v>
      </c>
      <c r="K181">
        <v>650000</v>
      </c>
      <c r="L181">
        <v>0</v>
      </c>
      <c r="M181">
        <v>500000</v>
      </c>
      <c r="N181">
        <v>0</v>
      </c>
      <c r="O181">
        <v>0</v>
      </c>
      <c r="P181" t="s">
        <v>828</v>
      </c>
      <c r="Q181" t="s">
        <v>34</v>
      </c>
      <c r="R181" t="s">
        <v>829</v>
      </c>
      <c r="S181" t="s">
        <v>41</v>
      </c>
      <c r="T181" t="s">
        <v>34</v>
      </c>
      <c r="U181" t="s">
        <v>35</v>
      </c>
      <c r="V181" t="s">
        <v>182</v>
      </c>
      <c r="X181">
        <v>575000</v>
      </c>
      <c r="Y181">
        <v>2</v>
      </c>
    </row>
    <row r="182" spans="1:25" x14ac:dyDescent="0.35">
      <c r="A182" t="s">
        <v>2316</v>
      </c>
      <c r="B182" t="s">
        <v>64</v>
      </c>
      <c r="C182" t="s">
        <v>76</v>
      </c>
      <c r="D182" t="s">
        <v>2773</v>
      </c>
      <c r="E182" t="s">
        <v>2774</v>
      </c>
      <c r="F182" t="s">
        <v>2775</v>
      </c>
      <c r="G182">
        <v>350000</v>
      </c>
      <c r="H182">
        <v>0</v>
      </c>
      <c r="I182">
        <v>350000</v>
      </c>
      <c r="J182">
        <v>0</v>
      </c>
      <c r="K182">
        <v>0</v>
      </c>
      <c r="L182">
        <v>0</v>
      </c>
      <c r="M182">
        <v>350000</v>
      </c>
      <c r="N182">
        <v>0</v>
      </c>
      <c r="O182">
        <v>0</v>
      </c>
      <c r="P182" t="s">
        <v>2776</v>
      </c>
      <c r="Q182" t="s">
        <v>34</v>
      </c>
      <c r="R182" t="s">
        <v>34</v>
      </c>
      <c r="S182" t="s">
        <v>41</v>
      </c>
      <c r="T182" t="s">
        <v>34</v>
      </c>
      <c r="U182" t="s">
        <v>35</v>
      </c>
      <c r="V182" t="s">
        <v>2777</v>
      </c>
      <c r="X182">
        <v>350000</v>
      </c>
      <c r="Y182">
        <v>1</v>
      </c>
    </row>
    <row r="183" spans="1:25" x14ac:dyDescent="0.35">
      <c r="A183" t="s">
        <v>687</v>
      </c>
      <c r="B183" t="s">
        <v>64</v>
      </c>
      <c r="C183" t="s">
        <v>83</v>
      </c>
      <c r="D183" t="s">
        <v>835</v>
      </c>
      <c r="E183" t="s">
        <v>836</v>
      </c>
      <c r="F183" t="s">
        <v>837</v>
      </c>
      <c r="G183">
        <v>1098000</v>
      </c>
      <c r="H183">
        <v>0</v>
      </c>
      <c r="I183">
        <v>988200</v>
      </c>
      <c r="J183">
        <v>0</v>
      </c>
      <c r="K183">
        <v>488200</v>
      </c>
      <c r="L183">
        <v>0</v>
      </c>
      <c r="M183">
        <v>500000</v>
      </c>
      <c r="N183">
        <v>0</v>
      </c>
      <c r="O183">
        <v>0</v>
      </c>
      <c r="P183" t="s">
        <v>838</v>
      </c>
      <c r="Q183" t="s">
        <v>839</v>
      </c>
      <c r="R183" t="s">
        <v>840</v>
      </c>
      <c r="S183" t="s">
        <v>41</v>
      </c>
      <c r="T183" t="s">
        <v>34</v>
      </c>
      <c r="U183" t="s">
        <v>35</v>
      </c>
      <c r="V183" t="s">
        <v>841</v>
      </c>
      <c r="W183" t="s">
        <v>842</v>
      </c>
      <c r="X183">
        <v>549000</v>
      </c>
      <c r="Y183">
        <v>2</v>
      </c>
    </row>
    <row r="184" spans="1:25" x14ac:dyDescent="0.35">
      <c r="A184" t="s">
        <v>843</v>
      </c>
      <c r="B184" t="s">
        <v>64</v>
      </c>
      <c r="C184" t="s">
        <v>99</v>
      </c>
      <c r="D184" t="s">
        <v>844</v>
      </c>
      <c r="E184" t="s">
        <v>845</v>
      </c>
      <c r="F184" t="s">
        <v>846</v>
      </c>
      <c r="G184">
        <v>2470000</v>
      </c>
      <c r="H184">
        <v>0</v>
      </c>
      <c r="I184">
        <v>2470000</v>
      </c>
      <c r="J184">
        <v>0</v>
      </c>
      <c r="K184">
        <v>0</v>
      </c>
      <c r="L184">
        <v>0</v>
      </c>
      <c r="M184">
        <v>2470000</v>
      </c>
      <c r="N184">
        <v>0</v>
      </c>
      <c r="O184">
        <v>0</v>
      </c>
      <c r="P184" t="s">
        <v>847</v>
      </c>
      <c r="Q184" t="s">
        <v>34</v>
      </c>
      <c r="R184" t="s">
        <v>34</v>
      </c>
      <c r="S184" t="s">
        <v>41</v>
      </c>
      <c r="T184" t="s">
        <v>34</v>
      </c>
      <c r="U184" t="s">
        <v>35</v>
      </c>
      <c r="V184" t="s">
        <v>848</v>
      </c>
      <c r="X184">
        <v>494000</v>
      </c>
      <c r="Y184">
        <v>5</v>
      </c>
    </row>
    <row r="185" spans="1:25" x14ac:dyDescent="0.35">
      <c r="A185" t="s">
        <v>849</v>
      </c>
      <c r="B185" t="s">
        <v>59</v>
      </c>
      <c r="C185" t="s">
        <v>60</v>
      </c>
      <c r="D185" t="s">
        <v>850</v>
      </c>
      <c r="E185" t="s">
        <v>851</v>
      </c>
      <c r="F185" t="s">
        <v>852</v>
      </c>
      <c r="G185">
        <v>1100000</v>
      </c>
      <c r="H185">
        <v>0</v>
      </c>
      <c r="I185">
        <v>1100000</v>
      </c>
      <c r="J185">
        <v>0</v>
      </c>
      <c r="K185">
        <v>0</v>
      </c>
      <c r="L185">
        <v>0</v>
      </c>
      <c r="M185">
        <v>1100000</v>
      </c>
      <c r="N185">
        <v>0</v>
      </c>
      <c r="O185">
        <v>0</v>
      </c>
      <c r="P185" t="s">
        <v>853</v>
      </c>
      <c r="Q185" t="s">
        <v>34</v>
      </c>
      <c r="R185" t="s">
        <v>854</v>
      </c>
      <c r="S185" t="s">
        <v>41</v>
      </c>
      <c r="T185" t="s">
        <v>34</v>
      </c>
      <c r="U185" t="s">
        <v>35</v>
      </c>
      <c r="V185" t="s">
        <v>855</v>
      </c>
      <c r="X185">
        <v>550000</v>
      </c>
      <c r="Y185">
        <v>2</v>
      </c>
    </row>
    <row r="186" spans="1:25" x14ac:dyDescent="0.35">
      <c r="A186" t="s">
        <v>2438</v>
      </c>
      <c r="B186" t="s">
        <v>64</v>
      </c>
      <c r="C186" t="s">
        <v>83</v>
      </c>
      <c r="D186" t="s">
        <v>2764</v>
      </c>
      <c r="E186" t="s">
        <v>2664</v>
      </c>
      <c r="F186" t="s">
        <v>2758</v>
      </c>
      <c r="G186">
        <v>2100000</v>
      </c>
      <c r="H186">
        <v>200000</v>
      </c>
      <c r="I186">
        <v>2300000</v>
      </c>
      <c r="J186">
        <v>0</v>
      </c>
      <c r="K186">
        <v>2100000</v>
      </c>
      <c r="L186">
        <v>0</v>
      </c>
      <c r="M186">
        <v>200000</v>
      </c>
      <c r="N186">
        <v>0</v>
      </c>
      <c r="O186">
        <v>0</v>
      </c>
      <c r="P186" t="s">
        <v>34</v>
      </c>
      <c r="Q186" t="s">
        <v>34</v>
      </c>
      <c r="R186" t="s">
        <v>34</v>
      </c>
      <c r="S186" t="s">
        <v>41</v>
      </c>
      <c r="T186" t="s">
        <v>34</v>
      </c>
      <c r="U186" t="s">
        <v>35</v>
      </c>
      <c r="V186" t="s">
        <v>2765</v>
      </c>
      <c r="X186">
        <v>420000</v>
      </c>
      <c r="Y186">
        <v>5</v>
      </c>
    </row>
    <row r="187" spans="1:25" x14ac:dyDescent="0.35">
      <c r="A187" t="s">
        <v>2438</v>
      </c>
      <c r="B187" t="s">
        <v>59</v>
      </c>
      <c r="C187" t="s">
        <v>122</v>
      </c>
      <c r="D187" t="s">
        <v>2761</v>
      </c>
      <c r="E187" t="s">
        <v>2762</v>
      </c>
      <c r="F187" t="s">
        <v>2758</v>
      </c>
      <c r="G187">
        <v>2500000</v>
      </c>
      <c r="H187">
        <v>0</v>
      </c>
      <c r="I187">
        <v>2500000</v>
      </c>
      <c r="J187">
        <v>0</v>
      </c>
      <c r="K187">
        <v>2500000</v>
      </c>
      <c r="L187">
        <v>0</v>
      </c>
      <c r="M187">
        <v>0</v>
      </c>
      <c r="N187">
        <v>0</v>
      </c>
      <c r="O187">
        <v>0</v>
      </c>
      <c r="P187" t="s">
        <v>34</v>
      </c>
      <c r="Q187" t="s">
        <v>34</v>
      </c>
      <c r="R187" t="s">
        <v>34</v>
      </c>
      <c r="S187" t="s">
        <v>41</v>
      </c>
      <c r="T187" t="s">
        <v>34</v>
      </c>
      <c r="U187" t="s">
        <v>35</v>
      </c>
      <c r="V187" t="s">
        <v>2763</v>
      </c>
      <c r="X187">
        <v>500000</v>
      </c>
      <c r="Y187">
        <v>5</v>
      </c>
    </row>
    <row r="188" spans="1:25" x14ac:dyDescent="0.35">
      <c r="A188" t="s">
        <v>2265</v>
      </c>
      <c r="B188" t="s">
        <v>64</v>
      </c>
      <c r="C188" t="s">
        <v>173</v>
      </c>
      <c r="D188" t="s">
        <v>2756</v>
      </c>
      <c r="E188" t="s">
        <v>2757</v>
      </c>
      <c r="F188" t="s">
        <v>2758</v>
      </c>
      <c r="G188">
        <v>3144000</v>
      </c>
      <c r="H188">
        <v>70000</v>
      </c>
      <c r="I188">
        <v>3214000</v>
      </c>
      <c r="J188">
        <v>0</v>
      </c>
      <c r="K188">
        <v>2214000</v>
      </c>
      <c r="L188">
        <v>0</v>
      </c>
      <c r="M188">
        <v>1000000</v>
      </c>
      <c r="N188">
        <v>0</v>
      </c>
      <c r="O188">
        <v>0</v>
      </c>
      <c r="P188" t="s">
        <v>34</v>
      </c>
      <c r="Q188" t="s">
        <v>34</v>
      </c>
      <c r="R188" t="s">
        <v>2759</v>
      </c>
      <c r="S188" t="s">
        <v>41</v>
      </c>
      <c r="T188" t="s">
        <v>34</v>
      </c>
      <c r="U188" t="s">
        <v>35</v>
      </c>
      <c r="V188" t="s">
        <v>2760</v>
      </c>
      <c r="X188">
        <v>524000</v>
      </c>
      <c r="Y188">
        <v>6</v>
      </c>
    </row>
    <row r="189" spans="1:25" x14ac:dyDescent="0.35">
      <c r="A189" t="s">
        <v>2260</v>
      </c>
      <c r="B189" t="s">
        <v>71</v>
      </c>
      <c r="C189" t="s">
        <v>72</v>
      </c>
      <c r="D189" t="s">
        <v>2731</v>
      </c>
      <c r="E189" t="s">
        <v>2732</v>
      </c>
      <c r="F189" t="s">
        <v>2728</v>
      </c>
      <c r="G189">
        <v>3250000</v>
      </c>
      <c r="H189">
        <v>640000</v>
      </c>
      <c r="I189">
        <v>3890000</v>
      </c>
      <c r="J189">
        <v>0</v>
      </c>
      <c r="K189">
        <v>3890000</v>
      </c>
      <c r="L189">
        <v>0</v>
      </c>
      <c r="M189">
        <v>0</v>
      </c>
      <c r="N189">
        <v>0</v>
      </c>
      <c r="O189">
        <v>0</v>
      </c>
      <c r="P189" t="s">
        <v>2733</v>
      </c>
      <c r="Q189" t="s">
        <v>34</v>
      </c>
      <c r="R189" t="s">
        <v>2734</v>
      </c>
      <c r="S189" t="s">
        <v>41</v>
      </c>
      <c r="T189" t="s">
        <v>34</v>
      </c>
      <c r="U189" t="s">
        <v>35</v>
      </c>
      <c r="V189" t="s">
        <v>2735</v>
      </c>
      <c r="X189">
        <v>650000</v>
      </c>
      <c r="Y189">
        <v>5</v>
      </c>
    </row>
    <row r="190" spans="1:25" x14ac:dyDescent="0.35">
      <c r="A190" t="s">
        <v>676</v>
      </c>
      <c r="B190" t="s">
        <v>71</v>
      </c>
      <c r="C190" t="s">
        <v>95</v>
      </c>
      <c r="D190" t="s">
        <v>882</v>
      </c>
      <c r="E190" t="s">
        <v>868</v>
      </c>
      <c r="F190" t="s">
        <v>883</v>
      </c>
      <c r="G190">
        <v>500000</v>
      </c>
      <c r="H190">
        <v>0</v>
      </c>
      <c r="I190">
        <v>500000</v>
      </c>
      <c r="J190">
        <v>0</v>
      </c>
      <c r="K190">
        <v>0</v>
      </c>
      <c r="L190">
        <v>0</v>
      </c>
      <c r="M190">
        <v>500000</v>
      </c>
      <c r="N190">
        <v>0</v>
      </c>
      <c r="O190">
        <v>0</v>
      </c>
      <c r="P190" t="s">
        <v>884</v>
      </c>
      <c r="Q190" t="s">
        <v>34</v>
      </c>
      <c r="R190" t="s">
        <v>34</v>
      </c>
      <c r="S190" t="s">
        <v>41</v>
      </c>
      <c r="T190" t="s">
        <v>34</v>
      </c>
      <c r="U190" t="s">
        <v>35</v>
      </c>
      <c r="V190" t="s">
        <v>885</v>
      </c>
      <c r="X190">
        <v>500000</v>
      </c>
      <c r="Y190">
        <v>1</v>
      </c>
    </row>
    <row r="191" spans="1:25" x14ac:dyDescent="0.35">
      <c r="A191" t="s">
        <v>2725</v>
      </c>
      <c r="B191" t="s">
        <v>64</v>
      </c>
      <c r="C191" t="s">
        <v>99</v>
      </c>
      <c r="D191" t="s">
        <v>2726</v>
      </c>
      <c r="E191" t="s">
        <v>2727</v>
      </c>
      <c r="F191" t="s">
        <v>2728</v>
      </c>
      <c r="G191">
        <v>444000</v>
      </c>
      <c r="H191">
        <v>40000</v>
      </c>
      <c r="I191">
        <v>484000</v>
      </c>
      <c r="J191">
        <v>0</v>
      </c>
      <c r="K191">
        <v>262000</v>
      </c>
      <c r="L191">
        <v>0</v>
      </c>
      <c r="M191">
        <v>222000</v>
      </c>
      <c r="N191">
        <v>0</v>
      </c>
      <c r="O191">
        <v>0</v>
      </c>
      <c r="P191" t="s">
        <v>34</v>
      </c>
      <c r="Q191" t="s">
        <v>34</v>
      </c>
      <c r="R191" t="s">
        <v>2729</v>
      </c>
      <c r="S191" t="s">
        <v>41</v>
      </c>
      <c r="T191" t="s">
        <v>34</v>
      </c>
      <c r="U191" t="s">
        <v>35</v>
      </c>
      <c r="V191" t="s">
        <v>2730</v>
      </c>
      <c r="X191">
        <v>444000</v>
      </c>
      <c r="Y191">
        <v>1</v>
      </c>
    </row>
    <row r="192" spans="1:25" x14ac:dyDescent="0.35">
      <c r="A192" t="s">
        <v>713</v>
      </c>
      <c r="B192" t="s">
        <v>64</v>
      </c>
      <c r="C192" t="s">
        <v>99</v>
      </c>
      <c r="D192" t="s">
        <v>891</v>
      </c>
      <c r="E192" t="s">
        <v>892</v>
      </c>
      <c r="F192" t="s">
        <v>893</v>
      </c>
      <c r="G192">
        <v>495000</v>
      </c>
      <c r="H192">
        <v>150000</v>
      </c>
      <c r="I192">
        <v>645000</v>
      </c>
      <c r="J192">
        <v>0</v>
      </c>
      <c r="K192">
        <v>150000</v>
      </c>
      <c r="L192">
        <v>0</v>
      </c>
      <c r="M192">
        <v>495000</v>
      </c>
      <c r="N192">
        <v>0</v>
      </c>
      <c r="O192">
        <v>0</v>
      </c>
      <c r="P192" t="s">
        <v>894</v>
      </c>
      <c r="Q192" t="s">
        <v>34</v>
      </c>
      <c r="R192" t="s">
        <v>895</v>
      </c>
      <c r="S192" t="s">
        <v>41</v>
      </c>
      <c r="T192" t="s">
        <v>34</v>
      </c>
      <c r="U192" t="s">
        <v>35</v>
      </c>
      <c r="V192" t="s">
        <v>896</v>
      </c>
      <c r="X192">
        <v>495000</v>
      </c>
      <c r="Y192">
        <v>1</v>
      </c>
    </row>
    <row r="193" spans="1:25" x14ac:dyDescent="0.35">
      <c r="A193" t="s">
        <v>713</v>
      </c>
      <c r="B193" t="s">
        <v>59</v>
      </c>
      <c r="C193" t="s">
        <v>60</v>
      </c>
      <c r="D193" t="s">
        <v>897</v>
      </c>
      <c r="E193" t="s">
        <v>892</v>
      </c>
      <c r="F193" t="s">
        <v>893</v>
      </c>
      <c r="G193">
        <v>495000</v>
      </c>
      <c r="H193">
        <v>0</v>
      </c>
      <c r="I193">
        <v>495000</v>
      </c>
      <c r="J193">
        <v>0</v>
      </c>
      <c r="K193">
        <v>0</v>
      </c>
      <c r="L193">
        <v>0</v>
      </c>
      <c r="M193">
        <v>495000</v>
      </c>
      <c r="N193">
        <v>0</v>
      </c>
      <c r="O193">
        <v>0</v>
      </c>
      <c r="P193" t="s">
        <v>894</v>
      </c>
      <c r="Q193" t="s">
        <v>34</v>
      </c>
      <c r="R193" t="s">
        <v>898</v>
      </c>
      <c r="S193" t="s">
        <v>41</v>
      </c>
      <c r="T193" t="s">
        <v>34</v>
      </c>
      <c r="U193" t="s">
        <v>35</v>
      </c>
      <c r="V193" t="s">
        <v>899</v>
      </c>
      <c r="X193">
        <v>495000</v>
      </c>
      <c r="Y193">
        <v>1</v>
      </c>
    </row>
    <row r="194" spans="1:25" x14ac:dyDescent="0.35">
      <c r="A194" t="s">
        <v>726</v>
      </c>
      <c r="B194" t="s">
        <v>59</v>
      </c>
      <c r="C194" t="s">
        <v>193</v>
      </c>
      <c r="D194" t="s">
        <v>900</v>
      </c>
      <c r="E194" t="s">
        <v>901</v>
      </c>
      <c r="F194" t="s">
        <v>902</v>
      </c>
      <c r="G194">
        <v>495000</v>
      </c>
      <c r="H194">
        <v>0</v>
      </c>
      <c r="I194">
        <v>495000</v>
      </c>
      <c r="J194">
        <v>0</v>
      </c>
      <c r="K194">
        <v>295000</v>
      </c>
      <c r="L194">
        <v>0</v>
      </c>
      <c r="M194">
        <v>200000</v>
      </c>
      <c r="N194">
        <v>0</v>
      </c>
      <c r="O194">
        <v>0</v>
      </c>
      <c r="P194" t="s">
        <v>903</v>
      </c>
      <c r="Q194" t="s">
        <v>34</v>
      </c>
      <c r="R194" t="s">
        <v>904</v>
      </c>
      <c r="S194" t="s">
        <v>41</v>
      </c>
      <c r="T194" t="s">
        <v>34</v>
      </c>
      <c r="U194" t="s">
        <v>35</v>
      </c>
      <c r="V194" t="s">
        <v>905</v>
      </c>
      <c r="X194">
        <v>495000</v>
      </c>
      <c r="Y194">
        <v>1</v>
      </c>
    </row>
    <row r="195" spans="1:25" x14ac:dyDescent="0.35">
      <c r="A195" t="s">
        <v>798</v>
      </c>
      <c r="B195" t="s">
        <v>29</v>
      </c>
      <c r="C195" t="s">
        <v>385</v>
      </c>
      <c r="D195" t="s">
        <v>900</v>
      </c>
      <c r="E195" t="s">
        <v>906</v>
      </c>
      <c r="F195" t="s">
        <v>907</v>
      </c>
      <c r="G195">
        <v>550000</v>
      </c>
      <c r="H195">
        <v>0</v>
      </c>
      <c r="I195">
        <v>550000</v>
      </c>
      <c r="J195">
        <v>0</v>
      </c>
      <c r="K195">
        <v>550000</v>
      </c>
      <c r="L195">
        <v>0</v>
      </c>
      <c r="M195">
        <v>0</v>
      </c>
      <c r="N195">
        <v>0</v>
      </c>
      <c r="O195">
        <v>0</v>
      </c>
      <c r="P195" t="s">
        <v>903</v>
      </c>
      <c r="Q195" t="s">
        <v>34</v>
      </c>
      <c r="R195" t="s">
        <v>904</v>
      </c>
      <c r="S195" t="s">
        <v>41</v>
      </c>
      <c r="T195" t="s">
        <v>34</v>
      </c>
      <c r="U195" t="s">
        <v>35</v>
      </c>
      <c r="V195" t="s">
        <v>908</v>
      </c>
      <c r="X195">
        <v>550000</v>
      </c>
      <c r="Y195">
        <v>1</v>
      </c>
    </row>
    <row r="196" spans="1:25" x14ac:dyDescent="0.35">
      <c r="A196" t="s">
        <v>848</v>
      </c>
      <c r="B196" t="s">
        <v>71</v>
      </c>
      <c r="C196" t="s">
        <v>72</v>
      </c>
      <c r="D196" t="s">
        <v>226</v>
      </c>
      <c r="E196" t="s">
        <v>909</v>
      </c>
      <c r="F196" t="s">
        <v>910</v>
      </c>
      <c r="G196">
        <v>350000</v>
      </c>
      <c r="H196">
        <v>0</v>
      </c>
      <c r="I196">
        <v>350000</v>
      </c>
      <c r="J196">
        <v>0</v>
      </c>
      <c r="K196">
        <v>350000</v>
      </c>
      <c r="L196">
        <v>0</v>
      </c>
      <c r="M196">
        <v>0</v>
      </c>
      <c r="N196">
        <v>0</v>
      </c>
      <c r="O196">
        <v>0</v>
      </c>
      <c r="S196" t="s">
        <v>41</v>
      </c>
      <c r="T196" t="s">
        <v>34</v>
      </c>
      <c r="U196" t="s">
        <v>35</v>
      </c>
      <c r="V196" t="s">
        <v>911</v>
      </c>
      <c r="X196">
        <v>350000</v>
      </c>
      <c r="Y196">
        <v>1</v>
      </c>
    </row>
    <row r="197" spans="1:25" x14ac:dyDescent="0.35">
      <c r="A197" t="s">
        <v>2281</v>
      </c>
      <c r="B197" t="s">
        <v>64</v>
      </c>
      <c r="C197" t="s">
        <v>76</v>
      </c>
      <c r="D197" t="s">
        <v>226</v>
      </c>
      <c r="E197" t="s">
        <v>2716</v>
      </c>
      <c r="F197" t="s">
        <v>2707</v>
      </c>
      <c r="G197">
        <v>550000</v>
      </c>
      <c r="H197">
        <v>0</v>
      </c>
      <c r="I197">
        <v>550000</v>
      </c>
      <c r="J197">
        <v>0</v>
      </c>
      <c r="K197">
        <v>0</v>
      </c>
      <c r="L197">
        <v>0</v>
      </c>
      <c r="M197">
        <v>550000</v>
      </c>
      <c r="N197">
        <v>0</v>
      </c>
      <c r="O197">
        <v>0</v>
      </c>
      <c r="S197" t="s">
        <v>41</v>
      </c>
      <c r="T197" t="s">
        <v>34</v>
      </c>
      <c r="U197" t="s">
        <v>35</v>
      </c>
      <c r="V197" t="s">
        <v>2717</v>
      </c>
      <c r="X197">
        <v>550000</v>
      </c>
      <c r="Y197">
        <v>1</v>
      </c>
    </row>
    <row r="198" spans="1:25" x14ac:dyDescent="0.35">
      <c r="A198" t="s">
        <v>918</v>
      </c>
      <c r="B198" t="s">
        <v>71</v>
      </c>
      <c r="C198" t="s">
        <v>95</v>
      </c>
      <c r="D198" t="s">
        <v>887</v>
      </c>
      <c r="E198" t="s">
        <v>919</v>
      </c>
      <c r="F198" t="s">
        <v>913</v>
      </c>
      <c r="G198">
        <v>629000</v>
      </c>
      <c r="H198">
        <v>0</v>
      </c>
      <c r="I198">
        <v>629000</v>
      </c>
      <c r="J198">
        <v>0</v>
      </c>
      <c r="K198">
        <v>329000</v>
      </c>
      <c r="L198">
        <v>0</v>
      </c>
      <c r="M198">
        <v>300000</v>
      </c>
      <c r="N198">
        <v>0</v>
      </c>
      <c r="O198">
        <v>0</v>
      </c>
      <c r="S198" t="s">
        <v>41</v>
      </c>
      <c r="T198" t="s">
        <v>34</v>
      </c>
      <c r="U198" t="s">
        <v>35</v>
      </c>
      <c r="V198" t="s">
        <v>920</v>
      </c>
      <c r="X198">
        <v>629000</v>
      </c>
      <c r="Y198">
        <v>1</v>
      </c>
    </row>
    <row r="199" spans="1:25" x14ac:dyDescent="0.35">
      <c r="A199" t="s">
        <v>921</v>
      </c>
      <c r="B199" t="s">
        <v>29</v>
      </c>
      <c r="C199" t="s">
        <v>30</v>
      </c>
      <c r="D199" t="s">
        <v>922</v>
      </c>
      <c r="E199" t="s">
        <v>923</v>
      </c>
      <c r="F199" t="s">
        <v>924</v>
      </c>
      <c r="G199">
        <v>2025000</v>
      </c>
      <c r="H199">
        <v>0</v>
      </c>
      <c r="I199">
        <v>2025000</v>
      </c>
      <c r="J199">
        <v>0</v>
      </c>
      <c r="K199">
        <v>1350000</v>
      </c>
      <c r="L199">
        <v>0</v>
      </c>
      <c r="M199">
        <v>675000</v>
      </c>
      <c r="N199">
        <v>0</v>
      </c>
      <c r="O199">
        <v>0</v>
      </c>
      <c r="P199" t="s">
        <v>925</v>
      </c>
      <c r="Q199" t="s">
        <v>34</v>
      </c>
      <c r="R199" t="s">
        <v>926</v>
      </c>
      <c r="S199" t="s">
        <v>41</v>
      </c>
      <c r="T199" t="s">
        <v>34</v>
      </c>
      <c r="U199" t="s">
        <v>35</v>
      </c>
      <c r="V199" t="s">
        <v>927</v>
      </c>
      <c r="X199">
        <v>675000</v>
      </c>
      <c r="Y199">
        <v>3</v>
      </c>
    </row>
    <row r="200" spans="1:25" x14ac:dyDescent="0.35">
      <c r="A200" t="s">
        <v>816</v>
      </c>
      <c r="B200" t="s">
        <v>59</v>
      </c>
      <c r="C200" t="s">
        <v>122</v>
      </c>
      <c r="D200" t="s">
        <v>928</v>
      </c>
      <c r="E200" t="s">
        <v>929</v>
      </c>
      <c r="F200" t="s">
        <v>924</v>
      </c>
      <c r="G200">
        <v>400000</v>
      </c>
      <c r="H200">
        <v>0</v>
      </c>
      <c r="I200">
        <v>400000</v>
      </c>
      <c r="J200">
        <v>0</v>
      </c>
      <c r="K200">
        <v>400000</v>
      </c>
      <c r="L200">
        <v>0</v>
      </c>
      <c r="M200">
        <v>0</v>
      </c>
      <c r="N200">
        <v>0</v>
      </c>
      <c r="O200">
        <v>0</v>
      </c>
      <c r="P200" t="s">
        <v>34</v>
      </c>
      <c r="Q200" t="s">
        <v>34</v>
      </c>
      <c r="R200" t="s">
        <v>930</v>
      </c>
      <c r="S200" t="s">
        <v>41</v>
      </c>
      <c r="T200" t="s">
        <v>34</v>
      </c>
      <c r="U200" t="s">
        <v>35</v>
      </c>
      <c r="V200" t="s">
        <v>931</v>
      </c>
      <c r="X200">
        <v>400000</v>
      </c>
      <c r="Y200">
        <v>1</v>
      </c>
    </row>
    <row r="201" spans="1:25" x14ac:dyDescent="0.35">
      <c r="A201" t="s">
        <v>841</v>
      </c>
      <c r="B201" t="s">
        <v>59</v>
      </c>
      <c r="C201" t="s">
        <v>193</v>
      </c>
      <c r="D201" t="s">
        <v>932</v>
      </c>
      <c r="E201" t="s">
        <v>933</v>
      </c>
      <c r="F201" t="s">
        <v>934</v>
      </c>
      <c r="G201">
        <v>585000</v>
      </c>
      <c r="H201">
        <v>0</v>
      </c>
      <c r="I201">
        <v>585000</v>
      </c>
      <c r="J201">
        <v>0</v>
      </c>
      <c r="K201">
        <v>0</v>
      </c>
      <c r="L201">
        <v>0</v>
      </c>
      <c r="M201">
        <v>585000</v>
      </c>
      <c r="N201">
        <v>0</v>
      </c>
      <c r="O201">
        <v>0</v>
      </c>
      <c r="P201" t="s">
        <v>935</v>
      </c>
      <c r="Q201" t="s">
        <v>34</v>
      </c>
      <c r="R201" t="s">
        <v>936</v>
      </c>
      <c r="S201" t="s">
        <v>41</v>
      </c>
      <c r="T201" t="s">
        <v>34</v>
      </c>
      <c r="U201" t="s">
        <v>35</v>
      </c>
      <c r="V201" t="s">
        <v>937</v>
      </c>
      <c r="X201">
        <v>585000</v>
      </c>
      <c r="Y201">
        <v>1</v>
      </c>
    </row>
    <row r="202" spans="1:25" x14ac:dyDescent="0.35">
      <c r="A202" t="s">
        <v>2281</v>
      </c>
      <c r="B202" t="s">
        <v>59</v>
      </c>
      <c r="C202" t="s">
        <v>193</v>
      </c>
      <c r="D202" t="s">
        <v>2713</v>
      </c>
      <c r="E202" t="s">
        <v>2714</v>
      </c>
      <c r="F202" t="s">
        <v>2707</v>
      </c>
      <c r="G202">
        <v>550000</v>
      </c>
      <c r="H202">
        <v>0</v>
      </c>
      <c r="I202">
        <v>550000</v>
      </c>
      <c r="J202">
        <v>0</v>
      </c>
      <c r="K202">
        <v>0</v>
      </c>
      <c r="L202">
        <v>0</v>
      </c>
      <c r="M202">
        <v>550000</v>
      </c>
      <c r="N202">
        <v>0</v>
      </c>
      <c r="O202">
        <v>0</v>
      </c>
      <c r="P202" t="s">
        <v>34</v>
      </c>
      <c r="Q202" t="s">
        <v>34</v>
      </c>
      <c r="R202" t="s">
        <v>34</v>
      </c>
      <c r="S202" t="s">
        <v>41</v>
      </c>
      <c r="T202" t="s">
        <v>34</v>
      </c>
      <c r="U202" t="s">
        <v>35</v>
      </c>
      <c r="V202" t="s">
        <v>2715</v>
      </c>
      <c r="X202">
        <v>550000</v>
      </c>
      <c r="Y202">
        <v>1</v>
      </c>
    </row>
    <row r="203" spans="1:25" x14ac:dyDescent="0.35">
      <c r="A203" t="s">
        <v>2281</v>
      </c>
      <c r="B203" t="s">
        <v>64</v>
      </c>
      <c r="C203" t="s">
        <v>65</v>
      </c>
      <c r="D203" t="s">
        <v>226</v>
      </c>
      <c r="E203" t="s">
        <v>2702</v>
      </c>
      <c r="F203" t="s">
        <v>2703</v>
      </c>
      <c r="G203">
        <v>550000</v>
      </c>
      <c r="H203">
        <v>0</v>
      </c>
      <c r="I203">
        <v>550000</v>
      </c>
      <c r="J203">
        <v>0</v>
      </c>
      <c r="K203">
        <v>0</v>
      </c>
      <c r="L203">
        <v>0</v>
      </c>
      <c r="M203">
        <v>550000</v>
      </c>
      <c r="N203">
        <v>0</v>
      </c>
      <c r="O203">
        <v>0</v>
      </c>
      <c r="S203" t="s">
        <v>41</v>
      </c>
      <c r="T203" t="s">
        <v>34</v>
      </c>
      <c r="U203" t="s">
        <v>35</v>
      </c>
      <c r="V203" t="s">
        <v>2704</v>
      </c>
      <c r="X203">
        <v>550000</v>
      </c>
      <c r="Y203">
        <v>1</v>
      </c>
    </row>
    <row r="204" spans="1:25" x14ac:dyDescent="0.35">
      <c r="A204" t="s">
        <v>952</v>
      </c>
      <c r="B204" t="s">
        <v>29</v>
      </c>
      <c r="C204" t="s">
        <v>37</v>
      </c>
      <c r="D204" t="s">
        <v>953</v>
      </c>
      <c r="E204" t="s">
        <v>954</v>
      </c>
      <c r="F204" t="s">
        <v>940</v>
      </c>
      <c r="G204">
        <v>850000</v>
      </c>
      <c r="H204">
        <v>0</v>
      </c>
      <c r="I204">
        <v>850000</v>
      </c>
      <c r="J204">
        <v>0</v>
      </c>
      <c r="K204">
        <v>400000</v>
      </c>
      <c r="L204">
        <v>0</v>
      </c>
      <c r="M204">
        <v>450000</v>
      </c>
      <c r="N204">
        <v>0</v>
      </c>
      <c r="O204">
        <v>0</v>
      </c>
      <c r="P204" t="s">
        <v>955</v>
      </c>
      <c r="Q204" t="s">
        <v>34</v>
      </c>
      <c r="R204" t="s">
        <v>956</v>
      </c>
      <c r="S204" t="s">
        <v>41</v>
      </c>
      <c r="T204" t="s">
        <v>34</v>
      </c>
      <c r="U204" t="s">
        <v>35</v>
      </c>
      <c r="V204" t="s">
        <v>957</v>
      </c>
      <c r="X204">
        <v>850000</v>
      </c>
      <c r="Y204">
        <v>1</v>
      </c>
    </row>
    <row r="205" spans="1:25" x14ac:dyDescent="0.35">
      <c r="A205" t="s">
        <v>958</v>
      </c>
      <c r="B205" t="s">
        <v>71</v>
      </c>
      <c r="C205" t="s">
        <v>95</v>
      </c>
      <c r="D205" t="s">
        <v>959</v>
      </c>
      <c r="E205" t="s">
        <v>960</v>
      </c>
      <c r="F205" t="s">
        <v>961</v>
      </c>
      <c r="G205">
        <v>300000</v>
      </c>
      <c r="H205">
        <v>0</v>
      </c>
      <c r="I205">
        <v>300000</v>
      </c>
      <c r="J205">
        <v>0</v>
      </c>
      <c r="K205">
        <v>300000</v>
      </c>
      <c r="L205">
        <v>0</v>
      </c>
      <c r="M205">
        <v>0</v>
      </c>
      <c r="N205">
        <v>0</v>
      </c>
      <c r="O205">
        <v>0</v>
      </c>
      <c r="P205" t="s">
        <v>962</v>
      </c>
      <c r="S205" t="s">
        <v>41</v>
      </c>
      <c r="T205" t="s">
        <v>34</v>
      </c>
      <c r="U205" t="s">
        <v>35</v>
      </c>
      <c r="V205" t="s">
        <v>963</v>
      </c>
      <c r="X205">
        <v>300000</v>
      </c>
      <c r="Y205">
        <v>1</v>
      </c>
    </row>
    <row r="206" spans="1:25" x14ac:dyDescent="0.35">
      <c r="A206" t="s">
        <v>2299</v>
      </c>
      <c r="B206" t="s">
        <v>29</v>
      </c>
      <c r="C206" t="s">
        <v>385</v>
      </c>
      <c r="D206" t="s">
        <v>2054</v>
      </c>
      <c r="E206" t="s">
        <v>2699</v>
      </c>
      <c r="F206" t="s">
        <v>2700</v>
      </c>
      <c r="G206">
        <v>650000</v>
      </c>
      <c r="H206">
        <v>0</v>
      </c>
      <c r="I206">
        <v>650000</v>
      </c>
      <c r="J206">
        <v>0</v>
      </c>
      <c r="K206">
        <v>0</v>
      </c>
      <c r="L206">
        <v>0</v>
      </c>
      <c r="M206">
        <v>650000</v>
      </c>
      <c r="N206">
        <v>0</v>
      </c>
      <c r="O206">
        <v>0</v>
      </c>
      <c r="P206" t="s">
        <v>2056</v>
      </c>
      <c r="Q206" t="s">
        <v>34</v>
      </c>
      <c r="R206" t="s">
        <v>2057</v>
      </c>
      <c r="S206" t="s">
        <v>41</v>
      </c>
      <c r="T206" t="s">
        <v>34</v>
      </c>
      <c r="U206" t="s">
        <v>35</v>
      </c>
      <c r="V206" t="s">
        <v>2701</v>
      </c>
      <c r="X206">
        <v>650000</v>
      </c>
      <c r="Y206">
        <v>1</v>
      </c>
    </row>
    <row r="207" spans="1:25" x14ac:dyDescent="0.35">
      <c r="A207" t="s">
        <v>623</v>
      </c>
      <c r="B207" t="s">
        <v>64</v>
      </c>
      <c r="C207" t="s">
        <v>83</v>
      </c>
      <c r="D207" t="s">
        <v>970</v>
      </c>
      <c r="E207" t="s">
        <v>971</v>
      </c>
      <c r="F207" t="s">
        <v>972</v>
      </c>
      <c r="G207">
        <v>494000</v>
      </c>
      <c r="H207">
        <v>200000</v>
      </c>
      <c r="I207">
        <v>694000</v>
      </c>
      <c r="J207">
        <v>0</v>
      </c>
      <c r="K207">
        <v>0</v>
      </c>
      <c r="L207">
        <v>0</v>
      </c>
      <c r="M207">
        <v>500000</v>
      </c>
      <c r="N207">
        <v>194000</v>
      </c>
      <c r="O207">
        <v>0</v>
      </c>
      <c r="S207" t="s">
        <v>41</v>
      </c>
      <c r="T207" t="s">
        <v>34</v>
      </c>
      <c r="U207" t="s">
        <v>35</v>
      </c>
      <c r="V207" t="s">
        <v>973</v>
      </c>
      <c r="X207">
        <v>494000</v>
      </c>
      <c r="Y207">
        <v>1</v>
      </c>
    </row>
    <row r="208" spans="1:25" x14ac:dyDescent="0.35">
      <c r="A208" t="s">
        <v>974</v>
      </c>
      <c r="B208" t="s">
        <v>71</v>
      </c>
      <c r="C208" t="s">
        <v>72</v>
      </c>
      <c r="D208" t="s">
        <v>975</v>
      </c>
      <c r="E208" t="s">
        <v>976</v>
      </c>
      <c r="F208" t="s">
        <v>977</v>
      </c>
      <c r="G208">
        <v>1260000</v>
      </c>
      <c r="H208">
        <v>0</v>
      </c>
      <c r="I208">
        <v>1260000</v>
      </c>
      <c r="J208">
        <v>0</v>
      </c>
      <c r="K208">
        <v>0</v>
      </c>
      <c r="L208">
        <v>0</v>
      </c>
      <c r="M208">
        <v>0</v>
      </c>
      <c r="N208">
        <v>1260000</v>
      </c>
      <c r="O208">
        <v>0</v>
      </c>
      <c r="P208" t="s">
        <v>34</v>
      </c>
      <c r="Q208" t="s">
        <v>34</v>
      </c>
      <c r="R208" t="s">
        <v>978</v>
      </c>
      <c r="S208" t="s">
        <v>41</v>
      </c>
      <c r="T208" t="s">
        <v>34</v>
      </c>
      <c r="U208" t="s">
        <v>35</v>
      </c>
      <c r="V208" t="s">
        <v>979</v>
      </c>
      <c r="X208">
        <v>630000</v>
      </c>
      <c r="Y208">
        <v>2</v>
      </c>
    </row>
    <row r="209" spans="1:25" x14ac:dyDescent="0.35">
      <c r="A209" t="s">
        <v>811</v>
      </c>
      <c r="B209" t="s">
        <v>59</v>
      </c>
      <c r="C209" t="s">
        <v>122</v>
      </c>
      <c r="D209" t="s">
        <v>850</v>
      </c>
      <c r="E209" t="s">
        <v>980</v>
      </c>
      <c r="F209" t="s">
        <v>977</v>
      </c>
      <c r="G209">
        <v>1000000</v>
      </c>
      <c r="H209">
        <v>0</v>
      </c>
      <c r="I209">
        <v>1000000</v>
      </c>
      <c r="J209">
        <v>0</v>
      </c>
      <c r="K209">
        <v>1000000</v>
      </c>
      <c r="L209">
        <v>0</v>
      </c>
      <c r="M209">
        <v>0</v>
      </c>
      <c r="N209">
        <v>0</v>
      </c>
      <c r="O209">
        <v>0</v>
      </c>
      <c r="P209" t="s">
        <v>853</v>
      </c>
      <c r="Q209" t="s">
        <v>34</v>
      </c>
      <c r="R209" t="s">
        <v>854</v>
      </c>
      <c r="S209" t="s">
        <v>41</v>
      </c>
      <c r="T209" t="s">
        <v>34</v>
      </c>
      <c r="U209" t="s">
        <v>35</v>
      </c>
      <c r="V209" t="s">
        <v>981</v>
      </c>
      <c r="X209">
        <v>1000000</v>
      </c>
      <c r="Y209">
        <v>1</v>
      </c>
    </row>
    <row r="210" spans="1:25" x14ac:dyDescent="0.35">
      <c r="A210" t="s">
        <v>786</v>
      </c>
      <c r="B210" t="s">
        <v>29</v>
      </c>
      <c r="C210" t="s">
        <v>30</v>
      </c>
      <c r="D210" t="s">
        <v>982</v>
      </c>
      <c r="E210" t="s">
        <v>983</v>
      </c>
      <c r="F210" t="s">
        <v>984</v>
      </c>
      <c r="G210">
        <v>1400000</v>
      </c>
      <c r="H210">
        <v>0</v>
      </c>
      <c r="I210">
        <v>1400000</v>
      </c>
      <c r="J210">
        <v>0</v>
      </c>
      <c r="K210">
        <v>1400000</v>
      </c>
      <c r="L210">
        <v>0</v>
      </c>
      <c r="M210">
        <v>0</v>
      </c>
      <c r="N210">
        <v>0</v>
      </c>
      <c r="O210">
        <v>0</v>
      </c>
      <c r="S210" t="s">
        <v>41</v>
      </c>
      <c r="T210" t="s">
        <v>34</v>
      </c>
      <c r="U210" t="s">
        <v>35</v>
      </c>
      <c r="V210" t="s">
        <v>985</v>
      </c>
      <c r="X210">
        <v>700000</v>
      </c>
      <c r="Y210">
        <v>2</v>
      </c>
    </row>
    <row r="211" spans="1:25" x14ac:dyDescent="0.35">
      <c r="A211" t="s">
        <v>786</v>
      </c>
      <c r="B211" t="s">
        <v>29</v>
      </c>
      <c r="C211" t="s">
        <v>37</v>
      </c>
      <c r="D211" t="s">
        <v>226</v>
      </c>
      <c r="E211" t="s">
        <v>983</v>
      </c>
      <c r="F211" t="s">
        <v>984</v>
      </c>
      <c r="G211">
        <v>1400000</v>
      </c>
      <c r="H211">
        <v>0</v>
      </c>
      <c r="I211">
        <v>1400000</v>
      </c>
      <c r="J211">
        <v>0</v>
      </c>
      <c r="K211">
        <v>1400000</v>
      </c>
      <c r="L211">
        <v>0</v>
      </c>
      <c r="M211">
        <v>0</v>
      </c>
      <c r="N211">
        <v>0</v>
      </c>
      <c r="O211">
        <v>0</v>
      </c>
      <c r="S211" t="s">
        <v>41</v>
      </c>
      <c r="T211" t="s">
        <v>34</v>
      </c>
      <c r="U211" t="s">
        <v>35</v>
      </c>
      <c r="V211" t="s">
        <v>986</v>
      </c>
      <c r="X211">
        <v>700000</v>
      </c>
      <c r="Y211">
        <v>2</v>
      </c>
    </row>
    <row r="212" spans="1:25" x14ac:dyDescent="0.35">
      <c r="A212" t="s">
        <v>987</v>
      </c>
      <c r="B212" t="s">
        <v>71</v>
      </c>
      <c r="C212" t="s">
        <v>95</v>
      </c>
      <c r="D212" t="s">
        <v>975</v>
      </c>
      <c r="E212" t="s">
        <v>988</v>
      </c>
      <c r="F212" t="s">
        <v>989</v>
      </c>
      <c r="G212">
        <v>585000</v>
      </c>
      <c r="H212">
        <v>0</v>
      </c>
      <c r="I212">
        <v>585000</v>
      </c>
      <c r="J212">
        <v>0</v>
      </c>
      <c r="K212">
        <v>0</v>
      </c>
      <c r="L212">
        <v>0</v>
      </c>
      <c r="M212">
        <v>0</v>
      </c>
      <c r="N212">
        <v>585000</v>
      </c>
      <c r="O212">
        <v>0</v>
      </c>
      <c r="P212" t="s">
        <v>34</v>
      </c>
      <c r="Q212" t="s">
        <v>34</v>
      </c>
      <c r="R212" t="s">
        <v>978</v>
      </c>
      <c r="S212" t="s">
        <v>41</v>
      </c>
      <c r="T212" t="s">
        <v>34</v>
      </c>
      <c r="U212" t="s">
        <v>35</v>
      </c>
      <c r="V212" t="s">
        <v>990</v>
      </c>
      <c r="X212">
        <v>585000</v>
      </c>
      <c r="Y212">
        <v>1</v>
      </c>
    </row>
    <row r="213" spans="1:25" x14ac:dyDescent="0.35">
      <c r="A213" t="s">
        <v>2682</v>
      </c>
      <c r="B213" t="s">
        <v>59</v>
      </c>
      <c r="C213" t="s">
        <v>60</v>
      </c>
      <c r="D213" t="s">
        <v>2683</v>
      </c>
      <c r="E213" t="s">
        <v>2684</v>
      </c>
      <c r="F213" t="s">
        <v>2685</v>
      </c>
      <c r="G213">
        <v>809000</v>
      </c>
      <c r="H213">
        <v>0</v>
      </c>
      <c r="I213">
        <v>776550</v>
      </c>
      <c r="J213">
        <v>0</v>
      </c>
      <c r="K213">
        <v>0</v>
      </c>
      <c r="L213">
        <v>0</v>
      </c>
      <c r="M213">
        <v>776550</v>
      </c>
      <c r="N213">
        <v>0</v>
      </c>
      <c r="O213">
        <v>0</v>
      </c>
      <c r="P213" t="s">
        <v>2686</v>
      </c>
      <c r="Q213" t="s">
        <v>2687</v>
      </c>
      <c r="R213" t="s">
        <v>2688</v>
      </c>
      <c r="S213" t="s">
        <v>41</v>
      </c>
      <c r="T213" t="s">
        <v>34</v>
      </c>
      <c r="U213" t="s">
        <v>35</v>
      </c>
      <c r="V213" t="s">
        <v>2689</v>
      </c>
      <c r="W213" t="s">
        <v>2690</v>
      </c>
      <c r="X213">
        <v>809000</v>
      </c>
      <c r="Y213">
        <v>1</v>
      </c>
    </row>
    <row r="214" spans="1:25" x14ac:dyDescent="0.35">
      <c r="A214" t="s">
        <v>89</v>
      </c>
      <c r="B214" t="s">
        <v>64</v>
      </c>
      <c r="C214" t="s">
        <v>65</v>
      </c>
      <c r="D214" t="s">
        <v>2667</v>
      </c>
      <c r="E214" t="s">
        <v>2668</v>
      </c>
      <c r="F214" t="s">
        <v>2669</v>
      </c>
      <c r="G214">
        <v>460000</v>
      </c>
      <c r="H214">
        <v>0</v>
      </c>
      <c r="I214">
        <v>460000</v>
      </c>
      <c r="J214">
        <v>0</v>
      </c>
      <c r="K214">
        <v>0</v>
      </c>
      <c r="L214">
        <v>0</v>
      </c>
      <c r="M214">
        <v>460000</v>
      </c>
      <c r="N214">
        <v>0</v>
      </c>
      <c r="O214">
        <v>0</v>
      </c>
      <c r="P214" t="s">
        <v>34</v>
      </c>
      <c r="Q214" t="s">
        <v>34</v>
      </c>
      <c r="R214" t="s">
        <v>34</v>
      </c>
      <c r="S214" t="s">
        <v>41</v>
      </c>
      <c r="T214" t="s">
        <v>34</v>
      </c>
      <c r="U214" t="s">
        <v>35</v>
      </c>
      <c r="V214" t="s">
        <v>2670</v>
      </c>
      <c r="X214">
        <v>460000</v>
      </c>
      <c r="Y214">
        <v>1</v>
      </c>
    </row>
    <row r="215" spans="1:25" x14ac:dyDescent="0.35">
      <c r="A215" t="s">
        <v>2209</v>
      </c>
      <c r="B215" t="s">
        <v>64</v>
      </c>
      <c r="C215" t="s">
        <v>76</v>
      </c>
      <c r="D215" t="s">
        <v>2663</v>
      </c>
      <c r="E215" t="s">
        <v>2664</v>
      </c>
      <c r="F215" t="s">
        <v>2665</v>
      </c>
      <c r="G215">
        <v>1120000</v>
      </c>
      <c r="H215">
        <v>0</v>
      </c>
      <c r="I215">
        <v>1120000</v>
      </c>
      <c r="J215">
        <v>0</v>
      </c>
      <c r="K215">
        <v>0</v>
      </c>
      <c r="L215">
        <v>0</v>
      </c>
      <c r="M215">
        <v>1120000</v>
      </c>
      <c r="N215">
        <v>0</v>
      </c>
      <c r="O215">
        <v>0</v>
      </c>
      <c r="P215" t="s">
        <v>34</v>
      </c>
      <c r="Q215" t="s">
        <v>34</v>
      </c>
      <c r="R215" t="s">
        <v>34</v>
      </c>
      <c r="S215" t="s">
        <v>41</v>
      </c>
      <c r="T215" t="s">
        <v>34</v>
      </c>
      <c r="U215" t="s">
        <v>35</v>
      </c>
      <c r="V215" t="s">
        <v>2666</v>
      </c>
      <c r="X215">
        <v>560000</v>
      </c>
      <c r="Y215">
        <v>2</v>
      </c>
    </row>
    <row r="216" spans="1:25" x14ac:dyDescent="0.35">
      <c r="A216" t="s">
        <v>95</v>
      </c>
      <c r="B216" t="s">
        <v>71</v>
      </c>
      <c r="C216" t="s">
        <v>1086</v>
      </c>
      <c r="D216" t="s">
        <v>2659</v>
      </c>
      <c r="E216" t="s">
        <v>2660</v>
      </c>
      <c r="F216" t="s">
        <v>2661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S216" t="s">
        <v>41</v>
      </c>
      <c r="T216" t="s">
        <v>34</v>
      </c>
      <c r="U216" t="s">
        <v>35</v>
      </c>
      <c r="V216" t="s">
        <v>2662</v>
      </c>
      <c r="X216">
        <v>0</v>
      </c>
      <c r="Y216">
        <v>1</v>
      </c>
    </row>
    <row r="217" spans="1:25" x14ac:dyDescent="0.35">
      <c r="A217" t="s">
        <v>2286</v>
      </c>
      <c r="B217" t="s">
        <v>64</v>
      </c>
      <c r="C217" t="s">
        <v>99</v>
      </c>
      <c r="D217" t="s">
        <v>2655</v>
      </c>
      <c r="E217" t="s">
        <v>2656</v>
      </c>
      <c r="F217" t="s">
        <v>2657</v>
      </c>
      <c r="G217">
        <v>350000</v>
      </c>
      <c r="H217">
        <v>0</v>
      </c>
      <c r="I217">
        <v>350000</v>
      </c>
      <c r="J217">
        <v>0</v>
      </c>
      <c r="K217">
        <v>350000</v>
      </c>
      <c r="L217">
        <v>0</v>
      </c>
      <c r="M217">
        <v>0</v>
      </c>
      <c r="N217">
        <v>0</v>
      </c>
      <c r="O217">
        <v>0</v>
      </c>
      <c r="P217" t="s">
        <v>34</v>
      </c>
      <c r="Q217" t="s">
        <v>34</v>
      </c>
      <c r="R217" t="s">
        <v>34</v>
      </c>
      <c r="S217" t="s">
        <v>41</v>
      </c>
      <c r="T217" t="s">
        <v>34</v>
      </c>
      <c r="U217" t="s">
        <v>35</v>
      </c>
      <c r="V217" t="s">
        <v>2658</v>
      </c>
      <c r="X217">
        <v>350000</v>
      </c>
      <c r="Y217">
        <v>1</v>
      </c>
    </row>
    <row r="218" spans="1:25" x14ac:dyDescent="0.35">
      <c r="A218" t="s">
        <v>824</v>
      </c>
      <c r="B218" t="s">
        <v>64</v>
      </c>
      <c r="C218" t="s">
        <v>173</v>
      </c>
      <c r="D218" t="s">
        <v>794</v>
      </c>
      <c r="E218" t="s">
        <v>1009</v>
      </c>
      <c r="F218" t="s">
        <v>1010</v>
      </c>
      <c r="G218">
        <v>495000</v>
      </c>
      <c r="H218">
        <v>0</v>
      </c>
      <c r="I218">
        <v>495000</v>
      </c>
      <c r="J218">
        <v>0</v>
      </c>
      <c r="K218">
        <v>0</v>
      </c>
      <c r="L218">
        <v>0</v>
      </c>
      <c r="M218">
        <v>0</v>
      </c>
      <c r="N218">
        <v>495000</v>
      </c>
      <c r="O218">
        <v>0</v>
      </c>
      <c r="P218" t="s">
        <v>34</v>
      </c>
      <c r="Q218" t="s">
        <v>34</v>
      </c>
      <c r="R218" t="s">
        <v>797</v>
      </c>
      <c r="S218" t="s">
        <v>41</v>
      </c>
      <c r="T218" t="s">
        <v>34</v>
      </c>
      <c r="U218" t="s">
        <v>35</v>
      </c>
      <c r="V218" t="s">
        <v>1011</v>
      </c>
      <c r="X218">
        <v>495000</v>
      </c>
      <c r="Y218">
        <v>1</v>
      </c>
    </row>
    <row r="219" spans="1:25" x14ac:dyDescent="0.35">
      <c r="A219" t="s">
        <v>973</v>
      </c>
      <c r="B219" t="s">
        <v>59</v>
      </c>
      <c r="C219" t="s">
        <v>182</v>
      </c>
      <c r="D219" t="s">
        <v>1012</v>
      </c>
      <c r="E219" t="s">
        <v>1013</v>
      </c>
      <c r="F219" t="s">
        <v>1014</v>
      </c>
      <c r="G219">
        <v>3465000</v>
      </c>
      <c r="H219">
        <v>550000</v>
      </c>
      <c r="I219">
        <v>4015000</v>
      </c>
      <c r="J219">
        <v>0</v>
      </c>
      <c r="K219">
        <v>0</v>
      </c>
      <c r="L219">
        <v>0</v>
      </c>
      <c r="M219">
        <v>4015000</v>
      </c>
      <c r="N219">
        <v>0</v>
      </c>
      <c r="O219">
        <v>0</v>
      </c>
      <c r="P219" t="s">
        <v>1015</v>
      </c>
      <c r="S219" t="s">
        <v>41</v>
      </c>
      <c r="T219" t="s">
        <v>34</v>
      </c>
      <c r="U219" t="s">
        <v>35</v>
      </c>
      <c r="V219" t="s">
        <v>1016</v>
      </c>
      <c r="X219">
        <v>495000</v>
      </c>
      <c r="Y219">
        <v>7</v>
      </c>
    </row>
    <row r="220" spans="1:25" x14ac:dyDescent="0.35">
      <c r="A220" t="s">
        <v>2197</v>
      </c>
      <c r="B220" t="s">
        <v>29</v>
      </c>
      <c r="C220" t="s">
        <v>43</v>
      </c>
      <c r="D220" t="s">
        <v>2635</v>
      </c>
      <c r="E220" t="s">
        <v>2619</v>
      </c>
      <c r="F220" t="s">
        <v>2636</v>
      </c>
      <c r="G220">
        <v>2160000</v>
      </c>
      <c r="H220">
        <v>175000</v>
      </c>
      <c r="I220">
        <v>2335000</v>
      </c>
      <c r="J220">
        <v>0</v>
      </c>
      <c r="K220">
        <v>0</v>
      </c>
      <c r="L220">
        <v>0</v>
      </c>
      <c r="M220">
        <v>2335000</v>
      </c>
      <c r="N220">
        <v>0</v>
      </c>
      <c r="O220">
        <v>0</v>
      </c>
      <c r="P220" t="s">
        <v>2637</v>
      </c>
      <c r="Q220" t="s">
        <v>34</v>
      </c>
      <c r="R220" t="s">
        <v>34</v>
      </c>
      <c r="S220" t="s">
        <v>41</v>
      </c>
      <c r="T220" t="s">
        <v>34</v>
      </c>
      <c r="U220" t="s">
        <v>35</v>
      </c>
      <c r="V220" t="s">
        <v>2638</v>
      </c>
      <c r="X220">
        <v>720000</v>
      </c>
      <c r="Y220">
        <v>3</v>
      </c>
    </row>
    <row r="221" spans="1:25" x14ac:dyDescent="0.35">
      <c r="A221" t="s">
        <v>2630</v>
      </c>
      <c r="B221" t="s">
        <v>64</v>
      </c>
      <c r="C221" t="s">
        <v>76</v>
      </c>
      <c r="D221" t="s">
        <v>2631</v>
      </c>
      <c r="E221" t="s">
        <v>2632</v>
      </c>
      <c r="F221" t="s">
        <v>2633</v>
      </c>
      <c r="G221">
        <v>549000</v>
      </c>
      <c r="H221">
        <v>0</v>
      </c>
      <c r="I221">
        <v>549000</v>
      </c>
      <c r="J221">
        <v>0</v>
      </c>
      <c r="K221">
        <v>549000</v>
      </c>
      <c r="L221">
        <v>0</v>
      </c>
      <c r="M221">
        <v>0</v>
      </c>
      <c r="N221">
        <v>0</v>
      </c>
      <c r="O221">
        <v>0</v>
      </c>
      <c r="P221" t="s">
        <v>34</v>
      </c>
      <c r="Q221" t="s">
        <v>34</v>
      </c>
      <c r="R221" t="s">
        <v>34</v>
      </c>
      <c r="S221" t="s">
        <v>41</v>
      </c>
      <c r="T221" t="s">
        <v>34</v>
      </c>
      <c r="U221" t="s">
        <v>35</v>
      </c>
      <c r="V221" t="s">
        <v>2634</v>
      </c>
      <c r="X221">
        <v>549000</v>
      </c>
      <c r="Y221">
        <v>1</v>
      </c>
    </row>
    <row r="222" spans="1:25" x14ac:dyDescent="0.35">
      <c r="A222" t="s">
        <v>890</v>
      </c>
      <c r="B222" t="s">
        <v>29</v>
      </c>
      <c r="C222" t="s">
        <v>30</v>
      </c>
      <c r="D222" t="s">
        <v>1021</v>
      </c>
      <c r="E222" t="s">
        <v>1022</v>
      </c>
      <c r="F222" t="s">
        <v>1023</v>
      </c>
      <c r="G222">
        <v>770000</v>
      </c>
      <c r="H222">
        <v>0</v>
      </c>
      <c r="I222">
        <v>770000</v>
      </c>
      <c r="J222">
        <v>0</v>
      </c>
      <c r="K222">
        <v>0</v>
      </c>
      <c r="L222">
        <v>0</v>
      </c>
      <c r="M222">
        <v>770000</v>
      </c>
      <c r="N222">
        <v>0</v>
      </c>
      <c r="O222">
        <v>0</v>
      </c>
      <c r="P222" t="s">
        <v>1024</v>
      </c>
      <c r="S222" t="s">
        <v>41</v>
      </c>
      <c r="T222" t="s">
        <v>34</v>
      </c>
      <c r="U222" t="s">
        <v>35</v>
      </c>
      <c r="V222" t="s">
        <v>1025</v>
      </c>
      <c r="X222">
        <v>770000</v>
      </c>
      <c r="Y222">
        <v>1</v>
      </c>
    </row>
    <row r="223" spans="1:25" x14ac:dyDescent="0.35">
      <c r="A223" t="s">
        <v>644</v>
      </c>
      <c r="B223" t="s">
        <v>64</v>
      </c>
      <c r="C223" t="s">
        <v>76</v>
      </c>
      <c r="D223" t="s">
        <v>861</v>
      </c>
      <c r="E223" t="s">
        <v>868</v>
      </c>
      <c r="F223" t="s">
        <v>1026</v>
      </c>
      <c r="G223">
        <v>3600000</v>
      </c>
      <c r="H223">
        <v>0</v>
      </c>
      <c r="I223">
        <v>3600000</v>
      </c>
      <c r="J223">
        <v>0</v>
      </c>
      <c r="K223">
        <v>0</v>
      </c>
      <c r="L223">
        <v>0</v>
      </c>
      <c r="M223">
        <v>3600000</v>
      </c>
      <c r="N223">
        <v>0</v>
      </c>
      <c r="O223">
        <v>0</v>
      </c>
      <c r="P223" t="s">
        <v>864</v>
      </c>
      <c r="Q223" t="s">
        <v>34</v>
      </c>
      <c r="R223" t="s">
        <v>865</v>
      </c>
      <c r="S223" t="s">
        <v>41</v>
      </c>
      <c r="T223" t="s">
        <v>34</v>
      </c>
      <c r="U223" t="s">
        <v>35</v>
      </c>
      <c r="V223" t="s">
        <v>918</v>
      </c>
      <c r="X223">
        <v>514285.71419999999</v>
      </c>
      <c r="Y223">
        <v>7</v>
      </c>
    </row>
    <row r="224" spans="1:25" x14ac:dyDescent="0.35">
      <c r="A224" t="s">
        <v>819</v>
      </c>
      <c r="B224" t="s">
        <v>59</v>
      </c>
      <c r="C224" t="s">
        <v>193</v>
      </c>
      <c r="D224" t="s">
        <v>1027</v>
      </c>
      <c r="E224" t="s">
        <v>1028</v>
      </c>
      <c r="F224" t="s">
        <v>1029</v>
      </c>
      <c r="G224">
        <v>495000</v>
      </c>
      <c r="H224">
        <v>0</v>
      </c>
      <c r="I224">
        <v>495000</v>
      </c>
      <c r="J224">
        <v>0</v>
      </c>
      <c r="K224">
        <v>245000</v>
      </c>
      <c r="L224">
        <v>0</v>
      </c>
      <c r="M224">
        <v>250000</v>
      </c>
      <c r="N224">
        <v>0</v>
      </c>
      <c r="O224">
        <v>0</v>
      </c>
      <c r="P224" t="s">
        <v>1030</v>
      </c>
      <c r="Q224" t="s">
        <v>34</v>
      </c>
      <c r="R224" t="s">
        <v>34</v>
      </c>
      <c r="S224" t="s">
        <v>41</v>
      </c>
      <c r="T224" t="s">
        <v>34</v>
      </c>
      <c r="U224" t="s">
        <v>35</v>
      </c>
      <c r="V224" t="s">
        <v>1031</v>
      </c>
      <c r="X224">
        <v>495000</v>
      </c>
      <c r="Y224">
        <v>1</v>
      </c>
    </row>
    <row r="225" spans="1:25" x14ac:dyDescent="0.35">
      <c r="A225" t="s">
        <v>1016</v>
      </c>
      <c r="B225" t="s">
        <v>71</v>
      </c>
      <c r="C225" t="s">
        <v>72</v>
      </c>
      <c r="D225" t="s">
        <v>1032</v>
      </c>
      <c r="E225" t="s">
        <v>1033</v>
      </c>
      <c r="F225" t="s">
        <v>1029</v>
      </c>
      <c r="G225">
        <v>580000</v>
      </c>
      <c r="H225">
        <v>0</v>
      </c>
      <c r="I225">
        <v>580000</v>
      </c>
      <c r="J225">
        <v>0</v>
      </c>
      <c r="K225">
        <v>0</v>
      </c>
      <c r="L225">
        <v>0</v>
      </c>
      <c r="M225">
        <v>580000</v>
      </c>
      <c r="N225">
        <v>0</v>
      </c>
      <c r="O225">
        <v>0</v>
      </c>
      <c r="P225" t="s">
        <v>1034</v>
      </c>
      <c r="S225" t="s">
        <v>41</v>
      </c>
      <c r="T225" t="s">
        <v>34</v>
      </c>
      <c r="U225" t="s">
        <v>35</v>
      </c>
      <c r="V225" t="s">
        <v>1035</v>
      </c>
      <c r="X225">
        <v>580000</v>
      </c>
      <c r="Y225">
        <v>1</v>
      </c>
    </row>
    <row r="226" spans="1:25" x14ac:dyDescent="0.35">
      <c r="A226" t="s">
        <v>1036</v>
      </c>
      <c r="B226" t="s">
        <v>29</v>
      </c>
      <c r="C226" t="s">
        <v>43</v>
      </c>
      <c r="D226" t="s">
        <v>1037</v>
      </c>
      <c r="E226" t="s">
        <v>1038</v>
      </c>
      <c r="F226" t="s">
        <v>1039</v>
      </c>
      <c r="G226">
        <v>2400000</v>
      </c>
      <c r="H226">
        <v>30000</v>
      </c>
      <c r="I226">
        <v>2430000</v>
      </c>
      <c r="J226">
        <v>0</v>
      </c>
      <c r="K226">
        <v>2430000</v>
      </c>
      <c r="L226">
        <v>0</v>
      </c>
      <c r="M226">
        <v>0</v>
      </c>
      <c r="N226">
        <v>0</v>
      </c>
      <c r="O226">
        <v>0</v>
      </c>
      <c r="P226" t="s">
        <v>34</v>
      </c>
      <c r="Q226" t="s">
        <v>34</v>
      </c>
      <c r="R226" t="s">
        <v>34</v>
      </c>
      <c r="S226" t="s">
        <v>41</v>
      </c>
      <c r="T226" t="s">
        <v>34</v>
      </c>
      <c r="U226" t="s">
        <v>35</v>
      </c>
      <c r="V226" t="s">
        <v>1040</v>
      </c>
      <c r="X226">
        <v>800000</v>
      </c>
      <c r="Y226">
        <v>3</v>
      </c>
    </row>
    <row r="227" spans="1:25" x14ac:dyDescent="0.35">
      <c r="A227" t="s">
        <v>943</v>
      </c>
      <c r="B227" t="s">
        <v>59</v>
      </c>
      <c r="C227" t="s">
        <v>122</v>
      </c>
      <c r="D227" t="s">
        <v>1041</v>
      </c>
      <c r="E227" t="s">
        <v>1042</v>
      </c>
      <c r="F227" t="s">
        <v>1039</v>
      </c>
      <c r="G227">
        <v>1200000</v>
      </c>
      <c r="H227">
        <v>0</v>
      </c>
      <c r="I227">
        <v>1200000</v>
      </c>
      <c r="J227">
        <v>0</v>
      </c>
      <c r="K227">
        <v>1200000</v>
      </c>
      <c r="L227">
        <v>0</v>
      </c>
      <c r="M227">
        <v>0</v>
      </c>
      <c r="N227">
        <v>0</v>
      </c>
      <c r="O227">
        <v>0</v>
      </c>
      <c r="P227" t="s">
        <v>34</v>
      </c>
      <c r="Q227" t="s">
        <v>34</v>
      </c>
      <c r="R227" t="s">
        <v>34</v>
      </c>
      <c r="S227" t="s">
        <v>41</v>
      </c>
      <c r="T227" t="s">
        <v>34</v>
      </c>
      <c r="U227" t="s">
        <v>35</v>
      </c>
      <c r="V227" t="s">
        <v>1043</v>
      </c>
      <c r="X227">
        <v>1200000</v>
      </c>
      <c r="Y227">
        <v>1</v>
      </c>
    </row>
    <row r="228" spans="1:25" x14ac:dyDescent="0.35">
      <c r="A228" t="s">
        <v>2204</v>
      </c>
      <c r="B228" t="s">
        <v>64</v>
      </c>
      <c r="C228" t="s">
        <v>83</v>
      </c>
      <c r="D228" t="s">
        <v>2573</v>
      </c>
      <c r="E228" t="s">
        <v>2628</v>
      </c>
      <c r="F228" t="s">
        <v>2626</v>
      </c>
      <c r="G228">
        <v>1498000</v>
      </c>
      <c r="H228">
        <v>0</v>
      </c>
      <c r="I228">
        <v>1498000</v>
      </c>
      <c r="J228">
        <v>0</v>
      </c>
      <c r="K228">
        <v>0</v>
      </c>
      <c r="L228">
        <v>0</v>
      </c>
      <c r="M228">
        <v>1498000</v>
      </c>
      <c r="N228">
        <v>0</v>
      </c>
      <c r="O228">
        <v>0</v>
      </c>
      <c r="P228" t="s">
        <v>34</v>
      </c>
      <c r="Q228" t="s">
        <v>34</v>
      </c>
      <c r="R228" t="s">
        <v>34</v>
      </c>
      <c r="S228" t="s">
        <v>41</v>
      </c>
      <c r="T228" t="s">
        <v>34</v>
      </c>
      <c r="U228" t="s">
        <v>35</v>
      </c>
      <c r="V228" t="s">
        <v>2629</v>
      </c>
      <c r="X228">
        <v>749000</v>
      </c>
      <c r="Y228">
        <v>2</v>
      </c>
    </row>
    <row r="229" spans="1:25" x14ac:dyDescent="0.35">
      <c r="A229" t="s">
        <v>908</v>
      </c>
      <c r="B229" t="s">
        <v>71</v>
      </c>
      <c r="C229" t="s">
        <v>95</v>
      </c>
      <c r="D229" t="s">
        <v>1048</v>
      </c>
      <c r="E229" t="s">
        <v>1049</v>
      </c>
      <c r="F229" t="s">
        <v>1050</v>
      </c>
      <c r="G229">
        <v>430000</v>
      </c>
      <c r="H229">
        <v>0</v>
      </c>
      <c r="I229">
        <v>430000</v>
      </c>
      <c r="J229">
        <v>0</v>
      </c>
      <c r="K229">
        <v>430000</v>
      </c>
      <c r="L229">
        <v>0</v>
      </c>
      <c r="M229">
        <v>0</v>
      </c>
      <c r="N229">
        <v>0</v>
      </c>
      <c r="O229">
        <v>0</v>
      </c>
      <c r="S229" t="s">
        <v>41</v>
      </c>
      <c r="T229" t="s">
        <v>34</v>
      </c>
      <c r="U229" t="s">
        <v>35</v>
      </c>
      <c r="V229" t="s">
        <v>1051</v>
      </c>
      <c r="X229">
        <v>430000</v>
      </c>
      <c r="Y229">
        <v>1</v>
      </c>
    </row>
    <row r="230" spans="1:25" x14ac:dyDescent="0.35">
      <c r="A230" t="s">
        <v>769</v>
      </c>
      <c r="B230" t="s">
        <v>64</v>
      </c>
      <c r="C230" t="s">
        <v>99</v>
      </c>
      <c r="D230" t="s">
        <v>226</v>
      </c>
      <c r="E230" t="s">
        <v>1052</v>
      </c>
      <c r="F230" t="s">
        <v>1053</v>
      </c>
      <c r="G230">
        <v>1485000</v>
      </c>
      <c r="H230">
        <v>0</v>
      </c>
      <c r="I230">
        <v>1485000</v>
      </c>
      <c r="J230">
        <v>0</v>
      </c>
      <c r="K230">
        <v>1485000</v>
      </c>
      <c r="L230">
        <v>0</v>
      </c>
      <c r="M230">
        <v>0</v>
      </c>
      <c r="N230">
        <v>0</v>
      </c>
      <c r="O230">
        <v>0</v>
      </c>
      <c r="S230" t="s">
        <v>41</v>
      </c>
      <c r="T230" t="s">
        <v>34</v>
      </c>
      <c r="U230" t="s">
        <v>35</v>
      </c>
      <c r="V230" t="s">
        <v>1054</v>
      </c>
      <c r="X230">
        <v>495000</v>
      </c>
      <c r="Y230">
        <v>3</v>
      </c>
    </row>
    <row r="231" spans="1:25" x14ac:dyDescent="0.35">
      <c r="A231" t="s">
        <v>769</v>
      </c>
      <c r="B231" t="s">
        <v>59</v>
      </c>
      <c r="C231" t="s">
        <v>182</v>
      </c>
      <c r="D231" t="s">
        <v>1055</v>
      </c>
      <c r="E231" t="s">
        <v>1052</v>
      </c>
      <c r="F231" t="s">
        <v>1053</v>
      </c>
      <c r="G231">
        <v>1485000</v>
      </c>
      <c r="H231">
        <v>110000</v>
      </c>
      <c r="I231">
        <v>1595000</v>
      </c>
      <c r="J231">
        <v>0</v>
      </c>
      <c r="K231">
        <v>1095000</v>
      </c>
      <c r="L231">
        <v>0</v>
      </c>
      <c r="M231">
        <v>500000</v>
      </c>
      <c r="N231">
        <v>0</v>
      </c>
      <c r="O231">
        <v>0</v>
      </c>
      <c r="P231" t="s">
        <v>1056</v>
      </c>
      <c r="Q231" t="s">
        <v>34</v>
      </c>
      <c r="R231" t="s">
        <v>34</v>
      </c>
      <c r="S231" t="s">
        <v>41</v>
      </c>
      <c r="T231" t="s">
        <v>34</v>
      </c>
      <c r="U231" t="s">
        <v>35</v>
      </c>
      <c r="V231" t="s">
        <v>1057</v>
      </c>
      <c r="X231">
        <v>495000</v>
      </c>
      <c r="Y231">
        <v>3</v>
      </c>
    </row>
    <row r="232" spans="1:25" x14ac:dyDescent="0.35">
      <c r="A232" t="s">
        <v>937</v>
      </c>
      <c r="B232" t="s">
        <v>29</v>
      </c>
      <c r="C232" t="s">
        <v>43</v>
      </c>
      <c r="D232" t="s">
        <v>1058</v>
      </c>
      <c r="E232" t="s">
        <v>1059</v>
      </c>
      <c r="F232" t="s">
        <v>1060</v>
      </c>
      <c r="G232">
        <v>899000</v>
      </c>
      <c r="H232">
        <v>0</v>
      </c>
      <c r="I232">
        <v>899000</v>
      </c>
      <c r="J232">
        <v>0</v>
      </c>
      <c r="K232">
        <v>0</v>
      </c>
      <c r="L232">
        <v>0</v>
      </c>
      <c r="M232">
        <v>899000</v>
      </c>
      <c r="N232">
        <v>0</v>
      </c>
      <c r="O232">
        <v>0</v>
      </c>
      <c r="P232" t="s">
        <v>1061</v>
      </c>
      <c r="Q232" t="s">
        <v>34</v>
      </c>
      <c r="R232" t="s">
        <v>1062</v>
      </c>
      <c r="S232" t="s">
        <v>41</v>
      </c>
      <c r="T232" t="s">
        <v>34</v>
      </c>
      <c r="U232" t="s">
        <v>35</v>
      </c>
      <c r="V232" t="s">
        <v>1063</v>
      </c>
      <c r="X232">
        <v>899000</v>
      </c>
      <c r="Y232">
        <v>1</v>
      </c>
    </row>
    <row r="233" spans="1:25" x14ac:dyDescent="0.35">
      <c r="A233" t="s">
        <v>880</v>
      </c>
      <c r="B233" t="s">
        <v>64</v>
      </c>
      <c r="C233" t="s">
        <v>76</v>
      </c>
      <c r="D233" t="s">
        <v>1064</v>
      </c>
      <c r="E233" t="s">
        <v>1065</v>
      </c>
      <c r="F233" t="s">
        <v>1066</v>
      </c>
      <c r="G233">
        <v>1198000</v>
      </c>
      <c r="H233">
        <v>0</v>
      </c>
      <c r="I233">
        <v>1078200</v>
      </c>
      <c r="J233">
        <v>0</v>
      </c>
      <c r="K233">
        <v>0</v>
      </c>
      <c r="L233">
        <v>0</v>
      </c>
      <c r="M233">
        <v>1078200</v>
      </c>
      <c r="N233">
        <v>0</v>
      </c>
      <c r="O233">
        <v>0</v>
      </c>
      <c r="P233" t="s">
        <v>1067</v>
      </c>
      <c r="Q233" t="s">
        <v>1068</v>
      </c>
      <c r="R233" t="s">
        <v>1069</v>
      </c>
      <c r="S233" t="s">
        <v>41</v>
      </c>
      <c r="T233" t="s">
        <v>34</v>
      </c>
      <c r="U233" t="s">
        <v>35</v>
      </c>
      <c r="V233" t="s">
        <v>1070</v>
      </c>
      <c r="W233" t="s">
        <v>1071</v>
      </c>
      <c r="X233">
        <v>599000</v>
      </c>
      <c r="Y233">
        <v>2</v>
      </c>
    </row>
    <row r="234" spans="1:25" x14ac:dyDescent="0.35">
      <c r="A234" t="s">
        <v>873</v>
      </c>
      <c r="B234" t="s">
        <v>29</v>
      </c>
      <c r="C234" t="s">
        <v>413</v>
      </c>
      <c r="D234" t="s">
        <v>1072</v>
      </c>
      <c r="E234" t="s">
        <v>1073</v>
      </c>
      <c r="F234" t="s">
        <v>1074</v>
      </c>
      <c r="G234">
        <v>649000</v>
      </c>
      <c r="H234">
        <v>0</v>
      </c>
      <c r="I234">
        <v>584100</v>
      </c>
      <c r="J234">
        <v>0</v>
      </c>
      <c r="K234">
        <v>0</v>
      </c>
      <c r="L234">
        <v>0</v>
      </c>
      <c r="M234">
        <v>584100</v>
      </c>
      <c r="N234">
        <v>0</v>
      </c>
      <c r="O234">
        <v>0</v>
      </c>
      <c r="P234" t="s">
        <v>1075</v>
      </c>
      <c r="Q234" t="s">
        <v>1076</v>
      </c>
      <c r="R234" t="s">
        <v>1077</v>
      </c>
      <c r="S234" t="s">
        <v>41</v>
      </c>
      <c r="T234" t="s">
        <v>34</v>
      </c>
      <c r="U234" t="s">
        <v>35</v>
      </c>
      <c r="V234" t="s">
        <v>1078</v>
      </c>
      <c r="W234" t="s">
        <v>1079</v>
      </c>
      <c r="X234">
        <v>649000</v>
      </c>
      <c r="Y234">
        <v>1</v>
      </c>
    </row>
    <row r="235" spans="1:25" x14ac:dyDescent="0.35">
      <c r="A235" t="s">
        <v>899</v>
      </c>
      <c r="B235" t="s">
        <v>71</v>
      </c>
      <c r="C235" t="s">
        <v>72</v>
      </c>
      <c r="D235" t="s">
        <v>1080</v>
      </c>
      <c r="E235" t="s">
        <v>1081</v>
      </c>
      <c r="F235" t="s">
        <v>1082</v>
      </c>
      <c r="G235">
        <v>674100</v>
      </c>
      <c r="H235">
        <v>0</v>
      </c>
      <c r="I235">
        <v>674100</v>
      </c>
      <c r="J235">
        <v>0</v>
      </c>
      <c r="K235">
        <v>0</v>
      </c>
      <c r="L235">
        <v>0</v>
      </c>
      <c r="M235">
        <v>674100</v>
      </c>
      <c r="N235">
        <v>0</v>
      </c>
      <c r="O235">
        <v>0</v>
      </c>
      <c r="P235" t="s">
        <v>1083</v>
      </c>
      <c r="Q235" t="s">
        <v>34</v>
      </c>
      <c r="R235" t="s">
        <v>1084</v>
      </c>
      <c r="S235" t="s">
        <v>41</v>
      </c>
      <c r="T235" t="s">
        <v>34</v>
      </c>
      <c r="U235" t="s">
        <v>35</v>
      </c>
      <c r="V235" t="s">
        <v>1085</v>
      </c>
      <c r="X235">
        <v>674100</v>
      </c>
      <c r="Y235">
        <v>1</v>
      </c>
    </row>
    <row r="236" spans="1:25" x14ac:dyDescent="0.35">
      <c r="A236" t="s">
        <v>2173</v>
      </c>
      <c r="B236" t="s">
        <v>59</v>
      </c>
      <c r="C236" t="s">
        <v>122</v>
      </c>
      <c r="D236" t="s">
        <v>226</v>
      </c>
      <c r="E236" t="s">
        <v>2625</v>
      </c>
      <c r="F236" t="s">
        <v>2626</v>
      </c>
      <c r="G236">
        <v>2200000</v>
      </c>
      <c r="H236">
        <v>350000</v>
      </c>
      <c r="I236">
        <v>2550000</v>
      </c>
      <c r="J236">
        <v>0</v>
      </c>
      <c r="K236">
        <v>100000</v>
      </c>
      <c r="L236">
        <v>0</v>
      </c>
      <c r="M236">
        <v>2450000</v>
      </c>
      <c r="N236">
        <v>0</v>
      </c>
      <c r="O236">
        <v>0</v>
      </c>
      <c r="S236" t="s">
        <v>41</v>
      </c>
      <c r="T236" t="s">
        <v>34</v>
      </c>
      <c r="U236" t="s">
        <v>35</v>
      </c>
      <c r="V236" t="s">
        <v>2627</v>
      </c>
      <c r="X236">
        <v>733333.33330000006</v>
      </c>
      <c r="Y236">
        <v>3</v>
      </c>
    </row>
    <row r="237" spans="1:25" x14ac:dyDescent="0.35">
      <c r="A237" t="s">
        <v>997</v>
      </c>
      <c r="B237" t="s">
        <v>29</v>
      </c>
      <c r="C237" t="s">
        <v>43</v>
      </c>
      <c r="D237" t="s">
        <v>226</v>
      </c>
      <c r="E237" t="s">
        <v>1094</v>
      </c>
      <c r="F237" t="s">
        <v>1095</v>
      </c>
      <c r="G237">
        <v>400000</v>
      </c>
      <c r="H237">
        <v>0</v>
      </c>
      <c r="I237">
        <v>400000</v>
      </c>
      <c r="J237">
        <v>0</v>
      </c>
      <c r="K237">
        <v>400000</v>
      </c>
      <c r="L237">
        <v>0</v>
      </c>
      <c r="M237">
        <v>0</v>
      </c>
      <c r="N237">
        <v>0</v>
      </c>
      <c r="O237">
        <v>0</v>
      </c>
      <c r="S237" t="s">
        <v>41</v>
      </c>
      <c r="T237" t="s">
        <v>34</v>
      </c>
      <c r="U237" t="s">
        <v>35</v>
      </c>
      <c r="V237" t="s">
        <v>37</v>
      </c>
      <c r="X237">
        <v>400000</v>
      </c>
      <c r="Y237">
        <v>1</v>
      </c>
    </row>
    <row r="238" spans="1:25" x14ac:dyDescent="0.35">
      <c r="A238" t="s">
        <v>985</v>
      </c>
      <c r="B238" t="s">
        <v>59</v>
      </c>
      <c r="C238" t="s">
        <v>182</v>
      </c>
      <c r="D238" t="s">
        <v>1096</v>
      </c>
      <c r="E238" t="s">
        <v>1097</v>
      </c>
      <c r="F238" t="s">
        <v>1098</v>
      </c>
      <c r="G238">
        <v>580000</v>
      </c>
      <c r="H238">
        <v>0</v>
      </c>
      <c r="I238">
        <v>580000</v>
      </c>
      <c r="J238">
        <v>0</v>
      </c>
      <c r="K238">
        <v>0</v>
      </c>
      <c r="L238">
        <v>0</v>
      </c>
      <c r="M238">
        <v>580000</v>
      </c>
      <c r="N238">
        <v>0</v>
      </c>
      <c r="O238">
        <v>0</v>
      </c>
      <c r="P238" t="s">
        <v>1099</v>
      </c>
      <c r="Q238" t="s">
        <v>34</v>
      </c>
      <c r="R238" t="s">
        <v>34</v>
      </c>
      <c r="S238" t="s">
        <v>41</v>
      </c>
      <c r="T238" t="s">
        <v>34</v>
      </c>
      <c r="U238" t="s">
        <v>35</v>
      </c>
      <c r="V238" t="s">
        <v>76</v>
      </c>
      <c r="X238">
        <v>580000</v>
      </c>
      <c r="Y238">
        <v>1</v>
      </c>
    </row>
    <row r="239" spans="1:25" x14ac:dyDescent="0.35">
      <c r="A239" t="s">
        <v>927</v>
      </c>
      <c r="B239" t="s">
        <v>71</v>
      </c>
      <c r="C239" t="s">
        <v>95</v>
      </c>
      <c r="D239" t="s">
        <v>1100</v>
      </c>
      <c r="E239" t="s">
        <v>1101</v>
      </c>
      <c r="F239" t="s">
        <v>1102</v>
      </c>
      <c r="G239">
        <v>570000</v>
      </c>
      <c r="H239">
        <v>0</v>
      </c>
      <c r="I239">
        <v>570000</v>
      </c>
      <c r="J239">
        <v>0</v>
      </c>
      <c r="K239">
        <v>0</v>
      </c>
      <c r="L239">
        <v>0</v>
      </c>
      <c r="M239">
        <v>570000</v>
      </c>
      <c r="N239">
        <v>0</v>
      </c>
      <c r="O239">
        <v>0</v>
      </c>
      <c r="P239" t="s">
        <v>1103</v>
      </c>
      <c r="Q239" t="s">
        <v>34</v>
      </c>
      <c r="R239" t="s">
        <v>34</v>
      </c>
      <c r="S239" t="s">
        <v>41</v>
      </c>
      <c r="T239" t="s">
        <v>34</v>
      </c>
      <c r="U239" t="s">
        <v>35</v>
      </c>
      <c r="V239" t="s">
        <v>1104</v>
      </c>
      <c r="X239">
        <v>570000</v>
      </c>
      <c r="Y239">
        <v>1</v>
      </c>
    </row>
    <row r="240" spans="1:25" x14ac:dyDescent="0.35">
      <c r="A240" t="s">
        <v>2232</v>
      </c>
      <c r="B240" t="s">
        <v>64</v>
      </c>
      <c r="C240" t="s">
        <v>173</v>
      </c>
      <c r="D240" t="s">
        <v>2622</v>
      </c>
      <c r="E240" t="s">
        <v>2623</v>
      </c>
      <c r="F240" t="s">
        <v>2624</v>
      </c>
      <c r="G240">
        <v>350000</v>
      </c>
      <c r="H240">
        <v>0</v>
      </c>
      <c r="I240">
        <v>350000</v>
      </c>
      <c r="J240">
        <v>0</v>
      </c>
      <c r="K240">
        <v>350000</v>
      </c>
      <c r="L240">
        <v>0</v>
      </c>
      <c r="M240">
        <v>0</v>
      </c>
      <c r="N240">
        <v>0</v>
      </c>
      <c r="O240">
        <v>0</v>
      </c>
      <c r="P240" t="s">
        <v>34</v>
      </c>
      <c r="Q240" t="s">
        <v>34</v>
      </c>
      <c r="R240" t="s">
        <v>34</v>
      </c>
      <c r="S240" t="s">
        <v>41</v>
      </c>
      <c r="T240" t="s">
        <v>34</v>
      </c>
      <c r="U240" t="s">
        <v>35</v>
      </c>
      <c r="V240" t="s">
        <v>506</v>
      </c>
      <c r="X240">
        <v>350000</v>
      </c>
      <c r="Y240">
        <v>1</v>
      </c>
    </row>
    <row r="241" spans="1:25" x14ac:dyDescent="0.35">
      <c r="A241" t="s">
        <v>986</v>
      </c>
      <c r="B241" t="s">
        <v>29</v>
      </c>
      <c r="C241" t="s">
        <v>413</v>
      </c>
      <c r="D241" t="s">
        <v>1111</v>
      </c>
      <c r="E241" t="s">
        <v>1112</v>
      </c>
      <c r="F241" t="s">
        <v>1113</v>
      </c>
      <c r="G241">
        <v>490000</v>
      </c>
      <c r="H241">
        <v>0</v>
      </c>
      <c r="I241">
        <v>490000</v>
      </c>
      <c r="J241">
        <v>0</v>
      </c>
      <c r="K241">
        <v>490000</v>
      </c>
      <c r="L241">
        <v>0</v>
      </c>
      <c r="M241">
        <v>0</v>
      </c>
      <c r="N241">
        <v>0</v>
      </c>
      <c r="O241">
        <v>0</v>
      </c>
      <c r="P241" t="s">
        <v>34</v>
      </c>
      <c r="Q241" t="s">
        <v>34</v>
      </c>
      <c r="R241" t="s">
        <v>34</v>
      </c>
      <c r="S241" t="s">
        <v>41</v>
      </c>
      <c r="T241" t="s">
        <v>34</v>
      </c>
      <c r="U241" t="s">
        <v>35</v>
      </c>
      <c r="V241" t="s">
        <v>60</v>
      </c>
      <c r="X241">
        <v>490000</v>
      </c>
      <c r="Y241">
        <v>1</v>
      </c>
    </row>
    <row r="242" spans="1:25" x14ac:dyDescent="0.35">
      <c r="A242" t="s">
        <v>911</v>
      </c>
      <c r="B242" t="s">
        <v>71</v>
      </c>
      <c r="C242" t="s">
        <v>72</v>
      </c>
      <c r="D242" t="s">
        <v>1114</v>
      </c>
      <c r="E242" t="s">
        <v>1112</v>
      </c>
      <c r="F242" t="s">
        <v>1115</v>
      </c>
      <c r="G242">
        <v>650000</v>
      </c>
      <c r="H242">
        <v>15000</v>
      </c>
      <c r="I242">
        <v>665000</v>
      </c>
      <c r="J242">
        <v>0</v>
      </c>
      <c r="K242">
        <v>15000</v>
      </c>
      <c r="L242">
        <v>0</v>
      </c>
      <c r="M242">
        <v>650000</v>
      </c>
      <c r="N242">
        <v>0</v>
      </c>
      <c r="O242">
        <v>0</v>
      </c>
      <c r="P242" t="s">
        <v>1116</v>
      </c>
      <c r="Q242" t="s">
        <v>34</v>
      </c>
      <c r="R242" t="s">
        <v>34</v>
      </c>
      <c r="S242" t="s">
        <v>41</v>
      </c>
      <c r="T242" t="s">
        <v>34</v>
      </c>
      <c r="U242" t="s">
        <v>35</v>
      </c>
      <c r="V242" t="s">
        <v>1117</v>
      </c>
      <c r="X242">
        <v>650000</v>
      </c>
      <c r="Y242">
        <v>1</v>
      </c>
    </row>
    <row r="243" spans="1:25" x14ac:dyDescent="0.35">
      <c r="A243" t="s">
        <v>2178</v>
      </c>
      <c r="B243" t="s">
        <v>59</v>
      </c>
      <c r="C243" t="s">
        <v>182</v>
      </c>
      <c r="D243" t="s">
        <v>2618</v>
      </c>
      <c r="E243" t="s">
        <v>2619</v>
      </c>
      <c r="F243" t="s">
        <v>2620</v>
      </c>
      <c r="G243">
        <v>644000</v>
      </c>
      <c r="H243">
        <v>0</v>
      </c>
      <c r="I243">
        <v>644000</v>
      </c>
      <c r="J243">
        <v>0</v>
      </c>
      <c r="K243">
        <v>644000</v>
      </c>
      <c r="L243">
        <v>0</v>
      </c>
      <c r="M243">
        <v>0</v>
      </c>
      <c r="N243">
        <v>0</v>
      </c>
      <c r="O243">
        <v>0</v>
      </c>
      <c r="P243" t="s">
        <v>34</v>
      </c>
      <c r="Q243" t="s">
        <v>34</v>
      </c>
      <c r="R243" t="s">
        <v>34</v>
      </c>
      <c r="S243" t="s">
        <v>41</v>
      </c>
      <c r="T243" t="s">
        <v>34</v>
      </c>
      <c r="U243" t="s">
        <v>35</v>
      </c>
      <c r="V243" t="s">
        <v>2621</v>
      </c>
      <c r="X243">
        <v>644000</v>
      </c>
      <c r="Y243">
        <v>1</v>
      </c>
    </row>
    <row r="244" spans="1:25" x14ac:dyDescent="0.35">
      <c r="A244" t="s">
        <v>1057</v>
      </c>
      <c r="B244" t="s">
        <v>59</v>
      </c>
      <c r="C244" t="s">
        <v>193</v>
      </c>
      <c r="D244" t="s">
        <v>1127</v>
      </c>
      <c r="E244" t="s">
        <v>1128</v>
      </c>
      <c r="F244" t="s">
        <v>1129</v>
      </c>
      <c r="G244">
        <v>1070000</v>
      </c>
      <c r="H244">
        <v>29000</v>
      </c>
      <c r="I244">
        <v>1099000</v>
      </c>
      <c r="J244">
        <v>0</v>
      </c>
      <c r="K244">
        <v>0</v>
      </c>
      <c r="L244">
        <v>0</v>
      </c>
      <c r="M244">
        <v>1099000</v>
      </c>
      <c r="N244">
        <v>0</v>
      </c>
      <c r="O244">
        <v>0</v>
      </c>
      <c r="P244" t="s">
        <v>34</v>
      </c>
      <c r="Q244" t="s">
        <v>34</v>
      </c>
      <c r="R244" t="s">
        <v>34</v>
      </c>
      <c r="S244" t="s">
        <v>41</v>
      </c>
      <c r="T244" t="s">
        <v>34</v>
      </c>
      <c r="U244" t="s">
        <v>35</v>
      </c>
      <c r="V244" t="s">
        <v>1130</v>
      </c>
      <c r="X244">
        <v>535000</v>
      </c>
      <c r="Y244">
        <v>2</v>
      </c>
    </row>
    <row r="245" spans="1:25" x14ac:dyDescent="0.35">
      <c r="A245" t="s">
        <v>750</v>
      </c>
      <c r="B245" t="s">
        <v>64</v>
      </c>
      <c r="C245" t="s">
        <v>65</v>
      </c>
      <c r="D245" t="s">
        <v>1131</v>
      </c>
      <c r="E245" t="s">
        <v>1132</v>
      </c>
      <c r="F245" t="s">
        <v>1133</v>
      </c>
      <c r="G245">
        <v>6180000</v>
      </c>
      <c r="H245">
        <v>440000</v>
      </c>
      <c r="I245">
        <v>6620000</v>
      </c>
      <c r="J245">
        <v>0</v>
      </c>
      <c r="K245">
        <v>6620000</v>
      </c>
      <c r="L245">
        <v>0</v>
      </c>
      <c r="M245">
        <v>0</v>
      </c>
      <c r="N245">
        <v>0</v>
      </c>
      <c r="O245">
        <v>0</v>
      </c>
      <c r="P245" t="s">
        <v>935</v>
      </c>
      <c r="Q245" t="s">
        <v>34</v>
      </c>
      <c r="R245" t="s">
        <v>1134</v>
      </c>
      <c r="S245" t="s">
        <v>41</v>
      </c>
      <c r="T245" t="s">
        <v>34</v>
      </c>
      <c r="U245" t="s">
        <v>35</v>
      </c>
      <c r="V245" t="s">
        <v>1135</v>
      </c>
      <c r="X245">
        <v>515000</v>
      </c>
      <c r="Y245">
        <v>12</v>
      </c>
    </row>
    <row r="246" spans="1:25" x14ac:dyDescent="0.35">
      <c r="A246" t="s">
        <v>979</v>
      </c>
      <c r="B246" t="s">
        <v>64</v>
      </c>
      <c r="C246" t="s">
        <v>99</v>
      </c>
      <c r="D246" t="s">
        <v>1136</v>
      </c>
      <c r="E246" t="s">
        <v>1137</v>
      </c>
      <c r="F246" t="s">
        <v>1138</v>
      </c>
      <c r="G246">
        <v>470000</v>
      </c>
      <c r="H246">
        <v>30000</v>
      </c>
      <c r="I246">
        <v>500000</v>
      </c>
      <c r="J246">
        <v>0</v>
      </c>
      <c r="K246">
        <v>500000</v>
      </c>
      <c r="L246">
        <v>0</v>
      </c>
      <c r="M246">
        <v>0</v>
      </c>
      <c r="N246">
        <v>0</v>
      </c>
      <c r="O246">
        <v>0</v>
      </c>
      <c r="S246" t="s">
        <v>41</v>
      </c>
      <c r="T246" t="s">
        <v>34</v>
      </c>
      <c r="U246" t="s">
        <v>35</v>
      </c>
      <c r="V246" t="s">
        <v>1139</v>
      </c>
      <c r="X246">
        <v>470000</v>
      </c>
      <c r="Y246">
        <v>1</v>
      </c>
    </row>
    <row r="247" spans="1:25" x14ac:dyDescent="0.35">
      <c r="A247" t="s">
        <v>2236</v>
      </c>
      <c r="B247" t="s">
        <v>64</v>
      </c>
      <c r="C247" t="s">
        <v>99</v>
      </c>
      <c r="D247" t="s">
        <v>2614</v>
      </c>
      <c r="E247" t="s">
        <v>2615</v>
      </c>
      <c r="F247" t="s">
        <v>2616</v>
      </c>
      <c r="G247">
        <v>250000</v>
      </c>
      <c r="H247">
        <v>0</v>
      </c>
      <c r="I247">
        <v>250000</v>
      </c>
      <c r="J247">
        <v>0</v>
      </c>
      <c r="K247">
        <v>250000</v>
      </c>
      <c r="L247">
        <v>0</v>
      </c>
      <c r="M247">
        <v>0</v>
      </c>
      <c r="N247">
        <v>0</v>
      </c>
      <c r="O247">
        <v>0</v>
      </c>
      <c r="P247" t="s">
        <v>34</v>
      </c>
      <c r="Q247" t="s">
        <v>34</v>
      </c>
      <c r="R247" t="s">
        <v>34</v>
      </c>
      <c r="S247" t="s">
        <v>41</v>
      </c>
      <c r="T247" t="s">
        <v>34</v>
      </c>
      <c r="U247" t="s">
        <v>35</v>
      </c>
      <c r="V247" t="s">
        <v>2617</v>
      </c>
      <c r="X247">
        <v>250000</v>
      </c>
      <c r="Y247">
        <v>1</v>
      </c>
    </row>
    <row r="248" spans="1:25" x14ac:dyDescent="0.35">
      <c r="A248" t="s">
        <v>860</v>
      </c>
      <c r="B248" t="s">
        <v>64</v>
      </c>
      <c r="C248" t="s">
        <v>173</v>
      </c>
      <c r="D248" t="s">
        <v>1143</v>
      </c>
      <c r="E248" t="s">
        <v>1144</v>
      </c>
      <c r="F248" t="s">
        <v>1145</v>
      </c>
      <c r="G248">
        <v>1665000</v>
      </c>
      <c r="H248">
        <v>30000</v>
      </c>
      <c r="I248">
        <v>1695000</v>
      </c>
      <c r="J248">
        <v>0</v>
      </c>
      <c r="K248">
        <v>30000</v>
      </c>
      <c r="L248">
        <v>0</v>
      </c>
      <c r="M248">
        <v>1665000</v>
      </c>
      <c r="N248">
        <v>0</v>
      </c>
      <c r="O248">
        <v>0</v>
      </c>
      <c r="P248" t="s">
        <v>1146</v>
      </c>
      <c r="Q248" t="s">
        <v>34</v>
      </c>
      <c r="R248" t="s">
        <v>1147</v>
      </c>
      <c r="S248" t="s">
        <v>41</v>
      </c>
      <c r="T248" t="s">
        <v>34</v>
      </c>
      <c r="U248" t="s">
        <v>35</v>
      </c>
      <c r="V248" t="s">
        <v>1148</v>
      </c>
      <c r="X248">
        <v>555000</v>
      </c>
      <c r="Y248">
        <v>3</v>
      </c>
    </row>
    <row r="249" spans="1:25" x14ac:dyDescent="0.35">
      <c r="A249" t="s">
        <v>885</v>
      </c>
      <c r="B249" t="s">
        <v>59</v>
      </c>
      <c r="C249" t="s">
        <v>60</v>
      </c>
      <c r="D249" t="s">
        <v>946</v>
      </c>
      <c r="E249" t="s">
        <v>1149</v>
      </c>
      <c r="F249" t="s">
        <v>1150</v>
      </c>
      <c r="G249">
        <v>4680000</v>
      </c>
      <c r="H249">
        <v>135000</v>
      </c>
      <c r="I249">
        <v>4815000</v>
      </c>
      <c r="J249">
        <v>0</v>
      </c>
      <c r="K249">
        <v>0</v>
      </c>
      <c r="L249">
        <v>0</v>
      </c>
      <c r="M249">
        <v>0</v>
      </c>
      <c r="N249">
        <v>4815000</v>
      </c>
      <c r="O249">
        <v>0</v>
      </c>
      <c r="P249" t="s">
        <v>34</v>
      </c>
      <c r="Q249" t="s">
        <v>34</v>
      </c>
      <c r="R249" t="s">
        <v>34</v>
      </c>
      <c r="S249" t="s">
        <v>41</v>
      </c>
      <c r="T249" t="s">
        <v>34</v>
      </c>
      <c r="U249" t="s">
        <v>35</v>
      </c>
      <c r="V249" t="s">
        <v>1118</v>
      </c>
      <c r="X249">
        <v>585000</v>
      </c>
      <c r="Y249">
        <v>8</v>
      </c>
    </row>
    <row r="250" spans="1:25" x14ac:dyDescent="0.35">
      <c r="A250" t="s">
        <v>931</v>
      </c>
      <c r="B250" t="s">
        <v>59</v>
      </c>
      <c r="C250" t="s">
        <v>182</v>
      </c>
      <c r="D250" t="s">
        <v>1151</v>
      </c>
      <c r="E250" t="s">
        <v>1152</v>
      </c>
      <c r="F250" t="s">
        <v>1153</v>
      </c>
      <c r="G250">
        <v>549000</v>
      </c>
      <c r="H250">
        <v>215000</v>
      </c>
      <c r="I250">
        <v>710000</v>
      </c>
      <c r="J250">
        <v>0</v>
      </c>
      <c r="K250">
        <v>215000</v>
      </c>
      <c r="L250">
        <v>0</v>
      </c>
      <c r="M250">
        <v>495000</v>
      </c>
      <c r="N250">
        <v>0</v>
      </c>
      <c r="O250">
        <v>0</v>
      </c>
      <c r="P250" t="s">
        <v>1154</v>
      </c>
      <c r="Q250" t="s">
        <v>1155</v>
      </c>
      <c r="R250" t="s">
        <v>34</v>
      </c>
      <c r="S250" t="s">
        <v>41</v>
      </c>
      <c r="T250" t="s">
        <v>34</v>
      </c>
      <c r="U250" t="s">
        <v>35</v>
      </c>
      <c r="V250" t="s">
        <v>1156</v>
      </c>
      <c r="W250" t="s">
        <v>1157</v>
      </c>
      <c r="X250">
        <v>549000</v>
      </c>
      <c r="Y250">
        <v>1</v>
      </c>
    </row>
    <row r="251" spans="1:25" x14ac:dyDescent="0.35">
      <c r="A251" t="s">
        <v>2333</v>
      </c>
      <c r="B251" t="s">
        <v>29</v>
      </c>
      <c r="C251" t="s">
        <v>110</v>
      </c>
      <c r="D251" t="s">
        <v>2610</v>
      </c>
      <c r="E251" t="s">
        <v>2611</v>
      </c>
      <c r="F251" t="s">
        <v>2612</v>
      </c>
      <c r="G251">
        <v>2880000</v>
      </c>
      <c r="H251">
        <v>0</v>
      </c>
      <c r="I251">
        <v>2880000</v>
      </c>
      <c r="J251">
        <v>0</v>
      </c>
      <c r="K251">
        <v>0</v>
      </c>
      <c r="L251">
        <v>0</v>
      </c>
      <c r="M251">
        <v>0</v>
      </c>
      <c r="N251">
        <v>2880000</v>
      </c>
      <c r="O251">
        <v>0</v>
      </c>
      <c r="P251" t="s">
        <v>34</v>
      </c>
      <c r="Q251" t="s">
        <v>34</v>
      </c>
      <c r="R251" t="s">
        <v>34</v>
      </c>
      <c r="S251" t="s">
        <v>41</v>
      </c>
      <c r="T251" t="s">
        <v>34</v>
      </c>
      <c r="U251" t="s">
        <v>35</v>
      </c>
      <c r="V251" t="s">
        <v>2613</v>
      </c>
      <c r="X251">
        <v>720000</v>
      </c>
      <c r="Y251">
        <v>4</v>
      </c>
    </row>
    <row r="252" spans="1:25" x14ac:dyDescent="0.35">
      <c r="A252" t="s">
        <v>1164</v>
      </c>
      <c r="B252" t="s">
        <v>71</v>
      </c>
      <c r="C252" t="s">
        <v>72</v>
      </c>
      <c r="D252" t="s">
        <v>1048</v>
      </c>
      <c r="E252" t="s">
        <v>1165</v>
      </c>
      <c r="F252" t="s">
        <v>1166</v>
      </c>
      <c r="G252">
        <v>350000</v>
      </c>
      <c r="H252">
        <v>0</v>
      </c>
      <c r="I252">
        <v>350000</v>
      </c>
      <c r="J252">
        <v>0</v>
      </c>
      <c r="K252">
        <v>350000</v>
      </c>
      <c r="L252">
        <v>0</v>
      </c>
      <c r="M252">
        <v>0</v>
      </c>
      <c r="N252">
        <v>0</v>
      </c>
      <c r="O252">
        <v>0</v>
      </c>
      <c r="S252" t="s">
        <v>41</v>
      </c>
      <c r="T252" t="s">
        <v>34</v>
      </c>
      <c r="U252" t="s">
        <v>35</v>
      </c>
      <c r="V252" t="s">
        <v>1167</v>
      </c>
      <c r="X252">
        <v>350000</v>
      </c>
      <c r="Y252">
        <v>1</v>
      </c>
    </row>
    <row r="253" spans="1:25" x14ac:dyDescent="0.35">
      <c r="A253" t="s">
        <v>1019</v>
      </c>
      <c r="B253" t="s">
        <v>64</v>
      </c>
      <c r="C253" t="s">
        <v>76</v>
      </c>
      <c r="D253" t="s">
        <v>1168</v>
      </c>
      <c r="E253" t="s">
        <v>1169</v>
      </c>
      <c r="F253" t="s">
        <v>1170</v>
      </c>
      <c r="G253">
        <v>988000</v>
      </c>
      <c r="H253">
        <v>0</v>
      </c>
      <c r="I253">
        <v>988000</v>
      </c>
      <c r="J253">
        <v>0</v>
      </c>
      <c r="K253">
        <v>0</v>
      </c>
      <c r="L253">
        <v>0</v>
      </c>
      <c r="M253">
        <v>988000</v>
      </c>
      <c r="N253">
        <v>0</v>
      </c>
      <c r="O253">
        <v>0</v>
      </c>
      <c r="P253" t="s">
        <v>1171</v>
      </c>
      <c r="Q253" t="s">
        <v>34</v>
      </c>
      <c r="R253" t="s">
        <v>34</v>
      </c>
      <c r="S253" t="s">
        <v>41</v>
      </c>
      <c r="T253" t="s">
        <v>34</v>
      </c>
      <c r="U253" t="s">
        <v>35</v>
      </c>
      <c r="V253" t="s">
        <v>1172</v>
      </c>
      <c r="X253">
        <v>494000</v>
      </c>
      <c r="Y253">
        <v>2</v>
      </c>
    </row>
    <row r="254" spans="1:25" x14ac:dyDescent="0.35">
      <c r="A254" t="s">
        <v>963</v>
      </c>
      <c r="B254" t="s">
        <v>29</v>
      </c>
      <c r="C254" t="s">
        <v>30</v>
      </c>
      <c r="D254" t="s">
        <v>1173</v>
      </c>
      <c r="E254" t="s">
        <v>1174</v>
      </c>
      <c r="F254" t="s">
        <v>1170</v>
      </c>
      <c r="G254">
        <v>450000</v>
      </c>
      <c r="H254">
        <v>0</v>
      </c>
      <c r="I254">
        <v>450000</v>
      </c>
      <c r="J254">
        <v>0</v>
      </c>
      <c r="K254">
        <v>0</v>
      </c>
      <c r="L254">
        <v>0</v>
      </c>
      <c r="M254">
        <v>450000</v>
      </c>
      <c r="N254">
        <v>0</v>
      </c>
      <c r="O254">
        <v>0</v>
      </c>
      <c r="P254" t="s">
        <v>935</v>
      </c>
      <c r="Q254" t="s">
        <v>34</v>
      </c>
      <c r="R254" t="s">
        <v>1175</v>
      </c>
      <c r="S254" t="s">
        <v>41</v>
      </c>
      <c r="T254" t="s">
        <v>34</v>
      </c>
      <c r="U254" t="s">
        <v>35</v>
      </c>
      <c r="V254" t="s">
        <v>1176</v>
      </c>
      <c r="X254">
        <v>450000</v>
      </c>
      <c r="Y254">
        <v>1</v>
      </c>
    </row>
    <row r="255" spans="1:25" x14ac:dyDescent="0.35">
      <c r="A255" t="s">
        <v>1040</v>
      </c>
      <c r="B255" t="s">
        <v>29</v>
      </c>
      <c r="C255" t="s">
        <v>30</v>
      </c>
      <c r="D255" t="s">
        <v>1048</v>
      </c>
      <c r="E255" t="s">
        <v>1177</v>
      </c>
      <c r="F255" t="s">
        <v>1178</v>
      </c>
      <c r="G255">
        <v>350000</v>
      </c>
      <c r="H255">
        <v>0</v>
      </c>
      <c r="I255">
        <v>350000</v>
      </c>
      <c r="J255">
        <v>0</v>
      </c>
      <c r="K255">
        <v>350000</v>
      </c>
      <c r="L255">
        <v>0</v>
      </c>
      <c r="M255">
        <v>0</v>
      </c>
      <c r="N255">
        <v>0</v>
      </c>
      <c r="O255">
        <v>0</v>
      </c>
      <c r="S255" t="s">
        <v>41</v>
      </c>
      <c r="T255" t="s">
        <v>34</v>
      </c>
      <c r="U255" t="s">
        <v>35</v>
      </c>
      <c r="V255" t="s">
        <v>1179</v>
      </c>
      <c r="X255">
        <v>350000</v>
      </c>
      <c r="Y255">
        <v>1</v>
      </c>
    </row>
    <row r="256" spans="1:25" x14ac:dyDescent="0.35">
      <c r="A256" t="s">
        <v>1180</v>
      </c>
      <c r="B256" t="s">
        <v>59</v>
      </c>
      <c r="C256" t="s">
        <v>60</v>
      </c>
      <c r="D256" t="s">
        <v>1181</v>
      </c>
      <c r="E256" t="s">
        <v>1182</v>
      </c>
      <c r="F256" t="s">
        <v>1183</v>
      </c>
      <c r="G256">
        <v>990000</v>
      </c>
      <c r="H256">
        <v>0</v>
      </c>
      <c r="I256">
        <v>990000</v>
      </c>
      <c r="J256">
        <v>0</v>
      </c>
      <c r="K256">
        <v>990000</v>
      </c>
      <c r="L256">
        <v>0</v>
      </c>
      <c r="M256">
        <v>0</v>
      </c>
      <c r="N256">
        <v>0</v>
      </c>
      <c r="O256">
        <v>0</v>
      </c>
      <c r="P256" t="s">
        <v>1184</v>
      </c>
      <c r="Q256" t="s">
        <v>34</v>
      </c>
      <c r="R256" t="s">
        <v>1185</v>
      </c>
      <c r="S256" t="s">
        <v>41</v>
      </c>
      <c r="T256" t="s">
        <v>34</v>
      </c>
      <c r="U256" t="s">
        <v>35</v>
      </c>
      <c r="V256" t="s">
        <v>1186</v>
      </c>
      <c r="X256">
        <v>495000</v>
      </c>
      <c r="Y256">
        <v>2</v>
      </c>
    </row>
    <row r="257" spans="1:25" x14ac:dyDescent="0.35">
      <c r="A257" t="s">
        <v>1187</v>
      </c>
      <c r="B257" t="s">
        <v>59</v>
      </c>
      <c r="C257" t="s">
        <v>193</v>
      </c>
      <c r="D257" t="s">
        <v>226</v>
      </c>
      <c r="E257" t="s">
        <v>1188</v>
      </c>
      <c r="F257" t="s">
        <v>1189</v>
      </c>
      <c r="G257">
        <v>990000</v>
      </c>
      <c r="H257">
        <v>0</v>
      </c>
      <c r="I257">
        <v>990000</v>
      </c>
      <c r="J257">
        <v>0</v>
      </c>
      <c r="K257">
        <v>0</v>
      </c>
      <c r="L257">
        <v>0</v>
      </c>
      <c r="M257">
        <v>990000</v>
      </c>
      <c r="N257">
        <v>0</v>
      </c>
      <c r="O257">
        <v>0</v>
      </c>
      <c r="P257" t="s">
        <v>34</v>
      </c>
      <c r="Q257" t="s">
        <v>34</v>
      </c>
      <c r="R257" t="s">
        <v>34</v>
      </c>
      <c r="S257" t="s">
        <v>41</v>
      </c>
      <c r="T257" t="s">
        <v>34</v>
      </c>
      <c r="U257" t="s">
        <v>35</v>
      </c>
      <c r="V257" t="s">
        <v>1190</v>
      </c>
      <c r="X257">
        <v>495000</v>
      </c>
      <c r="Y257">
        <v>2</v>
      </c>
    </row>
    <row r="258" spans="1:25" x14ac:dyDescent="0.35">
      <c r="A258" t="s">
        <v>1187</v>
      </c>
      <c r="B258" t="s">
        <v>64</v>
      </c>
      <c r="C258" t="s">
        <v>173</v>
      </c>
      <c r="D258" t="s">
        <v>1191</v>
      </c>
      <c r="E258" t="s">
        <v>1188</v>
      </c>
      <c r="F258" t="s">
        <v>1189</v>
      </c>
      <c r="G258">
        <v>990000</v>
      </c>
      <c r="H258">
        <v>0</v>
      </c>
      <c r="I258">
        <v>990000</v>
      </c>
      <c r="J258">
        <v>0</v>
      </c>
      <c r="K258">
        <v>0</v>
      </c>
      <c r="L258">
        <v>0</v>
      </c>
      <c r="M258">
        <v>990000</v>
      </c>
      <c r="N258">
        <v>0</v>
      </c>
      <c r="O258">
        <v>0</v>
      </c>
      <c r="P258" t="s">
        <v>1192</v>
      </c>
      <c r="Q258" t="s">
        <v>34</v>
      </c>
      <c r="R258" t="s">
        <v>34</v>
      </c>
      <c r="S258" t="s">
        <v>41</v>
      </c>
      <c r="T258" t="s">
        <v>34</v>
      </c>
      <c r="U258" t="s">
        <v>35</v>
      </c>
      <c r="V258" t="s">
        <v>1193</v>
      </c>
      <c r="X258">
        <v>495000</v>
      </c>
      <c r="Y258">
        <v>2</v>
      </c>
    </row>
    <row r="259" spans="1:25" x14ac:dyDescent="0.35">
      <c r="A259" t="s">
        <v>1194</v>
      </c>
      <c r="B259" t="s">
        <v>64</v>
      </c>
      <c r="C259" t="s">
        <v>76</v>
      </c>
      <c r="D259" t="s">
        <v>1195</v>
      </c>
      <c r="E259" t="s">
        <v>1196</v>
      </c>
      <c r="F259" t="s">
        <v>1189</v>
      </c>
      <c r="G259">
        <v>470000</v>
      </c>
      <c r="H259">
        <v>0</v>
      </c>
      <c r="I259">
        <v>470000</v>
      </c>
      <c r="J259">
        <v>0</v>
      </c>
      <c r="K259">
        <v>470000</v>
      </c>
      <c r="L259">
        <v>0</v>
      </c>
      <c r="M259">
        <v>0</v>
      </c>
      <c r="N259">
        <v>0</v>
      </c>
      <c r="O259">
        <v>0</v>
      </c>
      <c r="P259" t="s">
        <v>34</v>
      </c>
      <c r="Q259" t="s">
        <v>34</v>
      </c>
      <c r="R259" t="s">
        <v>1197</v>
      </c>
      <c r="S259" t="s">
        <v>41</v>
      </c>
      <c r="T259" t="s">
        <v>34</v>
      </c>
      <c r="U259" t="s">
        <v>35</v>
      </c>
      <c r="V259" t="s">
        <v>1198</v>
      </c>
      <c r="X259">
        <v>470000</v>
      </c>
      <c r="Y259">
        <v>1</v>
      </c>
    </row>
    <row r="260" spans="1:25" x14ac:dyDescent="0.35">
      <c r="A260" t="s">
        <v>1199</v>
      </c>
      <c r="B260" t="s">
        <v>71</v>
      </c>
      <c r="C260" t="s">
        <v>95</v>
      </c>
      <c r="D260" t="s">
        <v>1200</v>
      </c>
      <c r="E260" t="s">
        <v>1201</v>
      </c>
      <c r="F260" t="s">
        <v>1202</v>
      </c>
      <c r="G260">
        <v>560000</v>
      </c>
      <c r="H260">
        <v>0</v>
      </c>
      <c r="I260">
        <v>560000</v>
      </c>
      <c r="J260">
        <v>0</v>
      </c>
      <c r="K260">
        <v>560000</v>
      </c>
      <c r="L260">
        <v>0</v>
      </c>
      <c r="M260">
        <v>0</v>
      </c>
      <c r="N260">
        <v>0</v>
      </c>
      <c r="O260">
        <v>0</v>
      </c>
      <c r="S260" t="s">
        <v>41</v>
      </c>
      <c r="T260" t="s">
        <v>34</v>
      </c>
      <c r="U260" t="s">
        <v>35</v>
      </c>
      <c r="V260" t="s">
        <v>1203</v>
      </c>
      <c r="X260">
        <v>560000</v>
      </c>
      <c r="Y260">
        <v>1</v>
      </c>
    </row>
    <row r="261" spans="1:25" x14ac:dyDescent="0.35">
      <c r="A261" t="s">
        <v>2604</v>
      </c>
      <c r="B261" t="s">
        <v>71</v>
      </c>
      <c r="C261" t="s">
        <v>95</v>
      </c>
      <c r="D261" t="s">
        <v>2605</v>
      </c>
      <c r="E261" t="s">
        <v>2606</v>
      </c>
      <c r="F261" t="s">
        <v>2607</v>
      </c>
      <c r="G261">
        <v>1258000</v>
      </c>
      <c r="H261">
        <v>0</v>
      </c>
      <c r="I261">
        <v>1258000</v>
      </c>
      <c r="J261">
        <v>0</v>
      </c>
      <c r="K261">
        <v>0</v>
      </c>
      <c r="L261">
        <v>0</v>
      </c>
      <c r="M261">
        <v>1258000</v>
      </c>
      <c r="N261">
        <v>0</v>
      </c>
      <c r="O261">
        <v>0</v>
      </c>
      <c r="P261" t="s">
        <v>2608</v>
      </c>
      <c r="Q261" t="s">
        <v>34</v>
      </c>
      <c r="R261" t="s">
        <v>34</v>
      </c>
      <c r="S261" t="s">
        <v>41</v>
      </c>
      <c r="T261" t="s">
        <v>34</v>
      </c>
      <c r="U261" t="s">
        <v>35</v>
      </c>
      <c r="V261" t="s">
        <v>2609</v>
      </c>
      <c r="X261">
        <v>629000</v>
      </c>
      <c r="Y261">
        <v>2</v>
      </c>
    </row>
    <row r="262" spans="1:25" x14ac:dyDescent="0.35">
      <c r="A262" t="s">
        <v>1208</v>
      </c>
      <c r="B262" t="s">
        <v>29</v>
      </c>
      <c r="C262" t="s">
        <v>413</v>
      </c>
      <c r="D262" t="s">
        <v>1209</v>
      </c>
      <c r="E262" t="s">
        <v>1210</v>
      </c>
      <c r="F262" t="s">
        <v>1211</v>
      </c>
      <c r="G262">
        <v>3240000</v>
      </c>
      <c r="H262">
        <v>0</v>
      </c>
      <c r="I262">
        <v>3240000</v>
      </c>
      <c r="J262">
        <v>0</v>
      </c>
      <c r="K262">
        <v>0</v>
      </c>
      <c r="L262">
        <v>0</v>
      </c>
      <c r="M262">
        <v>3240000</v>
      </c>
      <c r="N262">
        <v>0</v>
      </c>
      <c r="O262">
        <v>0</v>
      </c>
      <c r="P262" t="s">
        <v>1212</v>
      </c>
      <c r="Q262" t="s">
        <v>34</v>
      </c>
      <c r="R262" t="s">
        <v>34</v>
      </c>
      <c r="S262" t="s">
        <v>41</v>
      </c>
      <c r="T262" t="s">
        <v>34</v>
      </c>
      <c r="U262" t="s">
        <v>35</v>
      </c>
      <c r="V262" t="s">
        <v>1213</v>
      </c>
      <c r="X262">
        <v>810000</v>
      </c>
      <c r="Y262">
        <v>4</v>
      </c>
    </row>
    <row r="263" spans="1:25" x14ac:dyDescent="0.35">
      <c r="A263" t="s">
        <v>2108</v>
      </c>
      <c r="B263" t="s">
        <v>64</v>
      </c>
      <c r="C263" t="s">
        <v>65</v>
      </c>
      <c r="D263" t="s">
        <v>100</v>
      </c>
      <c r="E263" t="s">
        <v>2599</v>
      </c>
      <c r="F263" t="s">
        <v>2593</v>
      </c>
      <c r="G263">
        <v>1078000</v>
      </c>
      <c r="H263">
        <v>0</v>
      </c>
      <c r="I263">
        <v>1078000</v>
      </c>
      <c r="J263">
        <v>0</v>
      </c>
      <c r="K263">
        <v>0</v>
      </c>
      <c r="L263">
        <v>0</v>
      </c>
      <c r="M263">
        <v>1078000</v>
      </c>
      <c r="N263">
        <v>0</v>
      </c>
      <c r="O263">
        <v>0</v>
      </c>
      <c r="P263" t="s">
        <v>34</v>
      </c>
      <c r="Q263" t="s">
        <v>34</v>
      </c>
      <c r="R263" t="s">
        <v>34</v>
      </c>
      <c r="S263" t="s">
        <v>41</v>
      </c>
      <c r="T263" t="s">
        <v>34</v>
      </c>
      <c r="U263" t="s">
        <v>35</v>
      </c>
      <c r="V263" t="s">
        <v>2600</v>
      </c>
      <c r="X263">
        <v>539000</v>
      </c>
      <c r="Y263">
        <v>2</v>
      </c>
    </row>
    <row r="264" spans="1:25" x14ac:dyDescent="0.35">
      <c r="A264" t="s">
        <v>1222</v>
      </c>
      <c r="B264" t="s">
        <v>59</v>
      </c>
      <c r="C264" t="s">
        <v>122</v>
      </c>
      <c r="D264" t="s">
        <v>1223</v>
      </c>
      <c r="E264" t="s">
        <v>1188</v>
      </c>
      <c r="F264" t="s">
        <v>1224</v>
      </c>
      <c r="G264">
        <v>1655000</v>
      </c>
      <c r="H264">
        <v>0</v>
      </c>
      <c r="I264">
        <v>1655000</v>
      </c>
      <c r="J264">
        <v>0</v>
      </c>
      <c r="K264">
        <v>0</v>
      </c>
      <c r="L264">
        <v>0</v>
      </c>
      <c r="M264">
        <v>1655000</v>
      </c>
      <c r="N264">
        <v>0</v>
      </c>
      <c r="O264">
        <v>0</v>
      </c>
      <c r="P264" t="s">
        <v>1225</v>
      </c>
      <c r="Q264" t="s">
        <v>34</v>
      </c>
      <c r="R264" t="s">
        <v>34</v>
      </c>
      <c r="S264" t="s">
        <v>41</v>
      </c>
      <c r="T264" t="s">
        <v>34</v>
      </c>
      <c r="U264" t="s">
        <v>35</v>
      </c>
      <c r="V264" t="s">
        <v>1226</v>
      </c>
      <c r="X264">
        <v>551666.6666</v>
      </c>
      <c r="Y264">
        <v>3</v>
      </c>
    </row>
    <row r="265" spans="1:25" x14ac:dyDescent="0.35">
      <c r="A265" t="s">
        <v>1222</v>
      </c>
      <c r="B265" t="s">
        <v>29</v>
      </c>
      <c r="C265" t="s">
        <v>43</v>
      </c>
      <c r="D265" t="s">
        <v>226</v>
      </c>
      <c r="E265" t="s">
        <v>1188</v>
      </c>
      <c r="F265" t="s">
        <v>1224</v>
      </c>
      <c r="G265">
        <v>2220000</v>
      </c>
      <c r="H265">
        <v>0</v>
      </c>
      <c r="I265">
        <v>2220000</v>
      </c>
      <c r="J265">
        <v>0</v>
      </c>
      <c r="K265">
        <v>155000</v>
      </c>
      <c r="L265">
        <v>0</v>
      </c>
      <c r="M265">
        <v>2065000</v>
      </c>
      <c r="N265">
        <v>0</v>
      </c>
      <c r="O265">
        <v>0</v>
      </c>
      <c r="P265" t="s">
        <v>34</v>
      </c>
      <c r="Q265" t="s">
        <v>34</v>
      </c>
      <c r="R265" t="s">
        <v>34</v>
      </c>
      <c r="S265" t="s">
        <v>41</v>
      </c>
      <c r="T265" t="s">
        <v>34</v>
      </c>
      <c r="U265" t="s">
        <v>35</v>
      </c>
      <c r="V265" t="s">
        <v>1227</v>
      </c>
      <c r="X265">
        <v>740000</v>
      </c>
      <c r="Y265">
        <v>3</v>
      </c>
    </row>
    <row r="266" spans="1:25" x14ac:dyDescent="0.35">
      <c r="A266" t="s">
        <v>990</v>
      </c>
      <c r="B266" t="s">
        <v>29</v>
      </c>
      <c r="C266" t="s">
        <v>30</v>
      </c>
      <c r="D266" t="s">
        <v>1228</v>
      </c>
      <c r="E266" t="s">
        <v>1229</v>
      </c>
      <c r="F266" t="s">
        <v>1230</v>
      </c>
      <c r="G266">
        <v>750000</v>
      </c>
      <c r="H266">
        <v>0</v>
      </c>
      <c r="I266">
        <v>750000</v>
      </c>
      <c r="J266">
        <v>0</v>
      </c>
      <c r="K266">
        <v>750000</v>
      </c>
      <c r="L266">
        <v>0</v>
      </c>
      <c r="M266">
        <v>0</v>
      </c>
      <c r="N266">
        <v>0</v>
      </c>
      <c r="O266">
        <v>0</v>
      </c>
      <c r="P266" t="s">
        <v>34</v>
      </c>
      <c r="Q266" t="s">
        <v>34</v>
      </c>
      <c r="R266" t="s">
        <v>34</v>
      </c>
      <c r="S266" t="s">
        <v>41</v>
      </c>
      <c r="T266" t="s">
        <v>34</v>
      </c>
      <c r="U266" t="s">
        <v>35</v>
      </c>
      <c r="V266" t="s">
        <v>1231</v>
      </c>
      <c r="X266">
        <v>750000</v>
      </c>
      <c r="Y266">
        <v>1</v>
      </c>
    </row>
    <row r="267" spans="1:25" x14ac:dyDescent="0.35">
      <c r="A267" t="s">
        <v>1232</v>
      </c>
      <c r="B267" t="s">
        <v>64</v>
      </c>
      <c r="C267" t="s">
        <v>99</v>
      </c>
      <c r="D267" t="s">
        <v>1233</v>
      </c>
      <c r="E267" t="s">
        <v>1234</v>
      </c>
      <c r="F267" t="s">
        <v>1235</v>
      </c>
      <c r="G267">
        <v>495000</v>
      </c>
      <c r="H267">
        <v>0</v>
      </c>
      <c r="I267">
        <v>495000</v>
      </c>
      <c r="J267">
        <v>0</v>
      </c>
      <c r="K267">
        <v>495000</v>
      </c>
      <c r="L267">
        <v>0</v>
      </c>
      <c r="M267">
        <v>0</v>
      </c>
      <c r="N267">
        <v>0</v>
      </c>
      <c r="O267">
        <v>0</v>
      </c>
      <c r="P267" t="s">
        <v>34</v>
      </c>
      <c r="Q267" t="s">
        <v>34</v>
      </c>
      <c r="R267" t="s">
        <v>34</v>
      </c>
      <c r="S267" t="s">
        <v>41</v>
      </c>
      <c r="T267" t="s">
        <v>34</v>
      </c>
      <c r="U267" t="s">
        <v>35</v>
      </c>
      <c r="V267" t="s">
        <v>1236</v>
      </c>
      <c r="X267">
        <v>495000</v>
      </c>
      <c r="Y267">
        <v>1</v>
      </c>
    </row>
    <row r="268" spans="1:25" x14ac:dyDescent="0.35">
      <c r="A268" t="s">
        <v>1011</v>
      </c>
      <c r="B268" t="s">
        <v>29</v>
      </c>
      <c r="C268" t="s">
        <v>30</v>
      </c>
      <c r="D268" t="s">
        <v>1237</v>
      </c>
      <c r="E268" t="s">
        <v>1238</v>
      </c>
      <c r="F268" t="s">
        <v>1239</v>
      </c>
      <c r="G268">
        <v>350000</v>
      </c>
      <c r="H268">
        <v>0</v>
      </c>
      <c r="I268">
        <v>350000</v>
      </c>
      <c r="J268">
        <v>0</v>
      </c>
      <c r="K268">
        <v>0</v>
      </c>
      <c r="L268">
        <v>0</v>
      </c>
      <c r="M268">
        <v>350000</v>
      </c>
      <c r="N268">
        <v>0</v>
      </c>
      <c r="O268">
        <v>0</v>
      </c>
      <c r="S268" t="s">
        <v>41</v>
      </c>
      <c r="T268" t="s">
        <v>34</v>
      </c>
      <c r="U268" t="s">
        <v>35</v>
      </c>
      <c r="V268" t="s">
        <v>1240</v>
      </c>
      <c r="X268">
        <v>350000</v>
      </c>
      <c r="Y268">
        <v>1</v>
      </c>
    </row>
    <row r="269" spans="1:25" x14ac:dyDescent="0.35">
      <c r="A269" t="s">
        <v>1241</v>
      </c>
      <c r="B269" t="s">
        <v>64</v>
      </c>
      <c r="C269" t="s">
        <v>65</v>
      </c>
      <c r="D269" t="s">
        <v>1242</v>
      </c>
      <c r="E269" t="s">
        <v>1243</v>
      </c>
      <c r="F269" t="s">
        <v>1244</v>
      </c>
      <c r="G269">
        <v>495000</v>
      </c>
      <c r="H269">
        <v>0</v>
      </c>
      <c r="I269">
        <v>495000</v>
      </c>
      <c r="J269">
        <v>0</v>
      </c>
      <c r="K269">
        <v>0</v>
      </c>
      <c r="L269">
        <v>0</v>
      </c>
      <c r="M269">
        <v>495000</v>
      </c>
      <c r="N269">
        <v>0</v>
      </c>
      <c r="O269">
        <v>0</v>
      </c>
      <c r="P269" t="s">
        <v>1245</v>
      </c>
      <c r="Q269" t="s">
        <v>34</v>
      </c>
      <c r="R269" t="s">
        <v>1246</v>
      </c>
      <c r="S269" t="s">
        <v>41</v>
      </c>
      <c r="T269" t="s">
        <v>34</v>
      </c>
      <c r="U269" t="s">
        <v>35</v>
      </c>
      <c r="V269" t="s">
        <v>1247</v>
      </c>
      <c r="X269">
        <v>495000</v>
      </c>
      <c r="Y269">
        <v>1</v>
      </c>
    </row>
    <row r="270" spans="1:25" x14ac:dyDescent="0.35">
      <c r="A270" t="s">
        <v>1070</v>
      </c>
      <c r="B270" t="s">
        <v>29</v>
      </c>
      <c r="C270" t="s">
        <v>506</v>
      </c>
      <c r="D270" t="s">
        <v>1248</v>
      </c>
      <c r="E270" t="s">
        <v>1249</v>
      </c>
      <c r="F270" t="s">
        <v>1244</v>
      </c>
      <c r="G270">
        <v>450000</v>
      </c>
      <c r="H270">
        <v>0</v>
      </c>
      <c r="I270">
        <v>450000</v>
      </c>
      <c r="J270">
        <v>0</v>
      </c>
      <c r="K270">
        <v>0</v>
      </c>
      <c r="L270">
        <v>0</v>
      </c>
      <c r="M270">
        <v>450000</v>
      </c>
      <c r="N270">
        <v>0</v>
      </c>
      <c r="O270">
        <v>0</v>
      </c>
      <c r="P270" t="s">
        <v>1250</v>
      </c>
      <c r="Q270" t="s">
        <v>34</v>
      </c>
      <c r="R270" t="s">
        <v>1251</v>
      </c>
      <c r="S270" t="s">
        <v>41</v>
      </c>
      <c r="T270" t="s">
        <v>34</v>
      </c>
      <c r="U270" t="s">
        <v>35</v>
      </c>
      <c r="V270" t="s">
        <v>1252</v>
      </c>
      <c r="X270">
        <v>450000</v>
      </c>
      <c r="Y270">
        <v>1</v>
      </c>
    </row>
    <row r="271" spans="1:25" x14ac:dyDescent="0.35">
      <c r="A271" t="s">
        <v>2108</v>
      </c>
      <c r="B271" t="s">
        <v>64</v>
      </c>
      <c r="C271" t="s">
        <v>83</v>
      </c>
      <c r="D271" t="s">
        <v>2595</v>
      </c>
      <c r="E271" t="s">
        <v>2596</v>
      </c>
      <c r="F271" t="s">
        <v>2593</v>
      </c>
      <c r="G271">
        <v>1662000</v>
      </c>
      <c r="H271">
        <v>0</v>
      </c>
      <c r="I271">
        <v>1662000</v>
      </c>
      <c r="J271">
        <v>0</v>
      </c>
      <c r="K271">
        <v>0</v>
      </c>
      <c r="L271">
        <v>0</v>
      </c>
      <c r="M271">
        <v>1662000</v>
      </c>
      <c r="N271">
        <v>0</v>
      </c>
      <c r="O271">
        <v>0</v>
      </c>
      <c r="P271" t="s">
        <v>2597</v>
      </c>
      <c r="Q271" t="s">
        <v>34</v>
      </c>
      <c r="R271" t="s">
        <v>34</v>
      </c>
      <c r="S271" t="s">
        <v>41</v>
      </c>
      <c r="T271" t="s">
        <v>34</v>
      </c>
      <c r="U271" t="s">
        <v>35</v>
      </c>
      <c r="V271" t="s">
        <v>2598</v>
      </c>
      <c r="X271">
        <v>554000</v>
      </c>
      <c r="Y271">
        <v>3</v>
      </c>
    </row>
    <row r="272" spans="1:25" x14ac:dyDescent="0.35">
      <c r="A272" t="s">
        <v>2072</v>
      </c>
      <c r="B272" t="s">
        <v>29</v>
      </c>
      <c r="C272" t="s">
        <v>30</v>
      </c>
      <c r="D272" t="s">
        <v>2591</v>
      </c>
      <c r="E272" t="s">
        <v>2592</v>
      </c>
      <c r="F272" t="s">
        <v>2593</v>
      </c>
      <c r="G272">
        <v>3985000</v>
      </c>
      <c r="H272">
        <v>950000</v>
      </c>
      <c r="I272">
        <v>4935000</v>
      </c>
      <c r="J272">
        <v>0</v>
      </c>
      <c r="K272">
        <v>0</v>
      </c>
      <c r="L272">
        <v>0</v>
      </c>
      <c r="M272">
        <v>4935000</v>
      </c>
      <c r="N272">
        <v>0</v>
      </c>
      <c r="O272">
        <v>0</v>
      </c>
      <c r="S272" t="s">
        <v>41</v>
      </c>
      <c r="T272" t="s">
        <v>34</v>
      </c>
      <c r="U272" t="s">
        <v>35</v>
      </c>
      <c r="V272" t="s">
        <v>2594</v>
      </c>
      <c r="X272">
        <v>797000</v>
      </c>
      <c r="Y272">
        <v>5</v>
      </c>
    </row>
    <row r="273" spans="1:25" x14ac:dyDescent="0.35">
      <c r="A273" t="s">
        <v>2587</v>
      </c>
      <c r="B273" t="s">
        <v>59</v>
      </c>
      <c r="C273" t="s">
        <v>182</v>
      </c>
      <c r="D273" t="s">
        <v>2588</v>
      </c>
      <c r="E273" t="s">
        <v>2582</v>
      </c>
      <c r="F273" t="s">
        <v>2589</v>
      </c>
      <c r="G273">
        <v>349000</v>
      </c>
      <c r="H273">
        <v>0</v>
      </c>
      <c r="I273">
        <v>349000</v>
      </c>
      <c r="J273">
        <v>0</v>
      </c>
      <c r="K273">
        <v>0</v>
      </c>
      <c r="L273">
        <v>0</v>
      </c>
      <c r="M273">
        <v>349000</v>
      </c>
      <c r="N273">
        <v>0</v>
      </c>
      <c r="O273">
        <v>0</v>
      </c>
      <c r="P273" t="s">
        <v>34</v>
      </c>
      <c r="Q273" t="s">
        <v>34</v>
      </c>
      <c r="R273" t="s">
        <v>34</v>
      </c>
      <c r="S273" t="s">
        <v>41</v>
      </c>
      <c r="T273" t="s">
        <v>34</v>
      </c>
      <c r="U273" t="s">
        <v>35</v>
      </c>
      <c r="V273" t="s">
        <v>2590</v>
      </c>
      <c r="X273">
        <v>349000</v>
      </c>
      <c r="Y273">
        <v>1</v>
      </c>
    </row>
    <row r="274" spans="1:25" x14ac:dyDescent="0.35">
      <c r="A274" t="s">
        <v>2217</v>
      </c>
      <c r="B274" t="s">
        <v>59</v>
      </c>
      <c r="C274" t="s">
        <v>193</v>
      </c>
      <c r="D274" t="s">
        <v>2584</v>
      </c>
      <c r="E274" t="s">
        <v>2581</v>
      </c>
      <c r="F274" t="s">
        <v>2585</v>
      </c>
      <c r="G274">
        <v>349000</v>
      </c>
      <c r="H274">
        <v>0</v>
      </c>
      <c r="I274">
        <v>349000</v>
      </c>
      <c r="J274">
        <v>0</v>
      </c>
      <c r="K274">
        <v>0</v>
      </c>
      <c r="L274">
        <v>0</v>
      </c>
      <c r="M274">
        <v>349000</v>
      </c>
      <c r="N274">
        <v>0</v>
      </c>
      <c r="O274">
        <v>0</v>
      </c>
      <c r="P274" t="s">
        <v>34</v>
      </c>
      <c r="Q274" t="s">
        <v>34</v>
      </c>
      <c r="R274" t="s">
        <v>34</v>
      </c>
      <c r="S274" t="s">
        <v>41</v>
      </c>
      <c r="T274" t="s">
        <v>34</v>
      </c>
      <c r="U274" t="s">
        <v>35</v>
      </c>
      <c r="V274" t="s">
        <v>2586</v>
      </c>
      <c r="X274">
        <v>349000</v>
      </c>
      <c r="Y274">
        <v>1</v>
      </c>
    </row>
    <row r="275" spans="1:25" x14ac:dyDescent="0.35">
      <c r="A275" t="s">
        <v>2150</v>
      </c>
      <c r="B275" t="s">
        <v>59</v>
      </c>
      <c r="C275" t="s">
        <v>60</v>
      </c>
      <c r="D275" t="s">
        <v>2580</v>
      </c>
      <c r="E275" t="s">
        <v>2581</v>
      </c>
      <c r="F275" t="s">
        <v>2582</v>
      </c>
      <c r="G275">
        <v>350000</v>
      </c>
      <c r="H275">
        <v>0</v>
      </c>
      <c r="I275">
        <v>350000</v>
      </c>
      <c r="J275">
        <v>0</v>
      </c>
      <c r="K275">
        <v>350000</v>
      </c>
      <c r="L275">
        <v>0</v>
      </c>
      <c r="M275">
        <v>0</v>
      </c>
      <c r="N275">
        <v>0</v>
      </c>
      <c r="O275">
        <v>0</v>
      </c>
      <c r="S275" t="s">
        <v>41</v>
      </c>
      <c r="T275" t="s">
        <v>34</v>
      </c>
      <c r="U275" t="s">
        <v>35</v>
      </c>
      <c r="V275" t="s">
        <v>2583</v>
      </c>
      <c r="X275">
        <v>350000</v>
      </c>
      <c r="Y275">
        <v>1</v>
      </c>
    </row>
    <row r="276" spans="1:25" x14ac:dyDescent="0.35">
      <c r="A276" t="s">
        <v>2173</v>
      </c>
      <c r="B276" t="s">
        <v>64</v>
      </c>
      <c r="C276" t="s">
        <v>99</v>
      </c>
      <c r="D276" t="s">
        <v>2573</v>
      </c>
      <c r="E276" t="s">
        <v>2574</v>
      </c>
      <c r="F276" t="s">
        <v>2571</v>
      </c>
      <c r="G276">
        <v>1300000</v>
      </c>
      <c r="H276">
        <v>44000</v>
      </c>
      <c r="I276">
        <v>1344000</v>
      </c>
      <c r="J276">
        <v>0</v>
      </c>
      <c r="K276">
        <v>650000</v>
      </c>
      <c r="L276">
        <v>0</v>
      </c>
      <c r="M276">
        <v>694000</v>
      </c>
      <c r="N276">
        <v>0</v>
      </c>
      <c r="O276">
        <v>0</v>
      </c>
      <c r="P276" t="s">
        <v>34</v>
      </c>
      <c r="Q276" t="s">
        <v>34</v>
      </c>
      <c r="R276" t="s">
        <v>34</v>
      </c>
      <c r="S276" t="s">
        <v>41</v>
      </c>
      <c r="T276" t="s">
        <v>34</v>
      </c>
      <c r="U276" t="s">
        <v>35</v>
      </c>
      <c r="V276" t="s">
        <v>2575</v>
      </c>
      <c r="X276">
        <v>650000</v>
      </c>
      <c r="Y276">
        <v>2</v>
      </c>
    </row>
    <row r="277" spans="1:25" x14ac:dyDescent="0.35">
      <c r="A277" t="s">
        <v>1268</v>
      </c>
      <c r="B277" t="s">
        <v>64</v>
      </c>
      <c r="C277" t="s">
        <v>173</v>
      </c>
      <c r="D277" t="s">
        <v>1269</v>
      </c>
      <c r="E277" t="s">
        <v>1270</v>
      </c>
      <c r="F277" t="s">
        <v>1271</v>
      </c>
      <c r="G277">
        <v>990000</v>
      </c>
      <c r="H277">
        <v>15000</v>
      </c>
      <c r="I277">
        <v>1005000</v>
      </c>
      <c r="J277">
        <v>0</v>
      </c>
      <c r="K277">
        <v>510000</v>
      </c>
      <c r="L277">
        <v>0</v>
      </c>
      <c r="M277">
        <v>495000</v>
      </c>
      <c r="N277">
        <v>0</v>
      </c>
      <c r="O277">
        <v>0</v>
      </c>
      <c r="P277" t="s">
        <v>1272</v>
      </c>
      <c r="Q277" t="s">
        <v>34</v>
      </c>
      <c r="R277" t="s">
        <v>34</v>
      </c>
      <c r="S277" t="s">
        <v>41</v>
      </c>
      <c r="T277" t="s">
        <v>34</v>
      </c>
      <c r="U277" t="s">
        <v>35</v>
      </c>
      <c r="V277" t="s">
        <v>1273</v>
      </c>
      <c r="X277">
        <v>495000</v>
      </c>
      <c r="Y277">
        <v>2</v>
      </c>
    </row>
    <row r="278" spans="1:25" x14ac:dyDescent="0.35">
      <c r="A278" t="s">
        <v>1274</v>
      </c>
      <c r="B278" t="s">
        <v>29</v>
      </c>
      <c r="C278" t="s">
        <v>30</v>
      </c>
      <c r="D278" t="s">
        <v>1275</v>
      </c>
      <c r="E278" t="s">
        <v>1276</v>
      </c>
      <c r="F278" t="s">
        <v>1277</v>
      </c>
      <c r="G278">
        <v>629000</v>
      </c>
      <c r="H278">
        <v>0</v>
      </c>
      <c r="I278">
        <v>629000</v>
      </c>
      <c r="J278">
        <v>0</v>
      </c>
      <c r="K278">
        <v>0</v>
      </c>
      <c r="L278">
        <v>0</v>
      </c>
      <c r="M278">
        <v>629000</v>
      </c>
      <c r="N278">
        <v>0</v>
      </c>
      <c r="O278">
        <v>0</v>
      </c>
      <c r="P278" t="s">
        <v>1278</v>
      </c>
      <c r="Q278" t="s">
        <v>34</v>
      </c>
      <c r="R278" t="s">
        <v>34</v>
      </c>
      <c r="S278" t="s">
        <v>41</v>
      </c>
      <c r="T278" t="s">
        <v>34</v>
      </c>
      <c r="U278" t="s">
        <v>35</v>
      </c>
      <c r="V278" t="s">
        <v>1279</v>
      </c>
      <c r="X278">
        <v>629000</v>
      </c>
      <c r="Y278">
        <v>1</v>
      </c>
    </row>
    <row r="279" spans="1:25" x14ac:dyDescent="0.35">
      <c r="A279" t="s">
        <v>2162</v>
      </c>
      <c r="B279" t="s">
        <v>29</v>
      </c>
      <c r="C279" t="s">
        <v>43</v>
      </c>
      <c r="D279" t="s">
        <v>2569</v>
      </c>
      <c r="E279" t="s">
        <v>2570</v>
      </c>
      <c r="F279" t="s">
        <v>2571</v>
      </c>
      <c r="G279">
        <v>1450000</v>
      </c>
      <c r="H279">
        <v>0</v>
      </c>
      <c r="I279">
        <v>1450000</v>
      </c>
      <c r="J279">
        <v>0</v>
      </c>
      <c r="K279">
        <v>0</v>
      </c>
      <c r="L279">
        <v>0</v>
      </c>
      <c r="M279">
        <v>1450000</v>
      </c>
      <c r="N279">
        <v>0</v>
      </c>
      <c r="O279">
        <v>0</v>
      </c>
      <c r="S279" t="s">
        <v>41</v>
      </c>
      <c r="T279" t="s">
        <v>34</v>
      </c>
      <c r="U279" t="s">
        <v>35</v>
      </c>
      <c r="V279" t="s">
        <v>2572</v>
      </c>
      <c r="X279">
        <v>725000</v>
      </c>
      <c r="Y279">
        <v>2</v>
      </c>
    </row>
    <row r="280" spans="1:25" x14ac:dyDescent="0.35">
      <c r="A280" t="s">
        <v>1035</v>
      </c>
      <c r="B280" t="s">
        <v>59</v>
      </c>
      <c r="C280" t="s">
        <v>182</v>
      </c>
      <c r="D280" t="s">
        <v>226</v>
      </c>
      <c r="E280" t="s">
        <v>1283</v>
      </c>
      <c r="F280" t="s">
        <v>1284</v>
      </c>
      <c r="G280">
        <v>420000</v>
      </c>
      <c r="H280">
        <v>0</v>
      </c>
      <c r="I280">
        <v>420000</v>
      </c>
      <c r="J280">
        <v>0</v>
      </c>
      <c r="K280">
        <v>0</v>
      </c>
      <c r="L280">
        <v>0</v>
      </c>
      <c r="M280">
        <v>420000</v>
      </c>
      <c r="N280">
        <v>0</v>
      </c>
      <c r="O280">
        <v>0</v>
      </c>
      <c r="S280" t="s">
        <v>41</v>
      </c>
      <c r="T280" t="s">
        <v>34</v>
      </c>
      <c r="U280" t="s">
        <v>35</v>
      </c>
      <c r="V280" t="s">
        <v>1285</v>
      </c>
      <c r="X280">
        <v>420000</v>
      </c>
      <c r="Y280">
        <v>1</v>
      </c>
    </row>
    <row r="281" spans="1:25" x14ac:dyDescent="0.35">
      <c r="A281" t="s">
        <v>2157</v>
      </c>
      <c r="B281" t="s">
        <v>59</v>
      </c>
      <c r="C281" t="s">
        <v>193</v>
      </c>
      <c r="D281" t="s">
        <v>2560</v>
      </c>
      <c r="E281" t="s">
        <v>2561</v>
      </c>
      <c r="F281" t="s">
        <v>2562</v>
      </c>
      <c r="G281">
        <v>650000</v>
      </c>
      <c r="H281">
        <v>0</v>
      </c>
      <c r="I281">
        <v>650000</v>
      </c>
      <c r="J281">
        <v>0</v>
      </c>
      <c r="K281">
        <v>0</v>
      </c>
      <c r="L281">
        <v>0</v>
      </c>
      <c r="M281">
        <v>650000</v>
      </c>
      <c r="N281">
        <v>0</v>
      </c>
      <c r="O281">
        <v>0</v>
      </c>
      <c r="P281" t="s">
        <v>34</v>
      </c>
      <c r="Q281" t="s">
        <v>34</v>
      </c>
      <c r="R281" t="s">
        <v>2563</v>
      </c>
      <c r="S281" t="s">
        <v>41</v>
      </c>
      <c r="T281" t="s">
        <v>34</v>
      </c>
      <c r="U281" t="s">
        <v>35</v>
      </c>
      <c r="V281" t="s">
        <v>2564</v>
      </c>
      <c r="X281">
        <v>650000</v>
      </c>
      <c r="Y281">
        <v>1</v>
      </c>
    </row>
    <row r="282" spans="1:25" x14ac:dyDescent="0.35">
      <c r="A282" t="s">
        <v>2146</v>
      </c>
      <c r="B282" t="s">
        <v>64</v>
      </c>
      <c r="C282" t="s">
        <v>76</v>
      </c>
      <c r="D282" t="s">
        <v>226</v>
      </c>
      <c r="E282" t="s">
        <v>2544</v>
      </c>
      <c r="F282" t="s">
        <v>2545</v>
      </c>
      <c r="G282">
        <v>500000</v>
      </c>
      <c r="H282">
        <v>0</v>
      </c>
      <c r="I282">
        <v>500000</v>
      </c>
      <c r="J282">
        <v>0</v>
      </c>
      <c r="K282">
        <v>0</v>
      </c>
      <c r="L282">
        <v>0</v>
      </c>
      <c r="M282">
        <v>500000</v>
      </c>
      <c r="N282">
        <v>0</v>
      </c>
      <c r="O282">
        <v>0</v>
      </c>
      <c r="S282" t="s">
        <v>41</v>
      </c>
      <c r="T282" t="s">
        <v>34</v>
      </c>
      <c r="U282" t="s">
        <v>35</v>
      </c>
      <c r="V282" t="s">
        <v>2547</v>
      </c>
      <c r="X282">
        <v>500000</v>
      </c>
      <c r="Y282">
        <v>1</v>
      </c>
    </row>
    <row r="283" spans="1:25" x14ac:dyDescent="0.35">
      <c r="A283" t="s">
        <v>1296</v>
      </c>
      <c r="B283" t="s">
        <v>71</v>
      </c>
      <c r="C283" t="s">
        <v>72</v>
      </c>
      <c r="D283" t="s">
        <v>946</v>
      </c>
      <c r="E283" t="s">
        <v>1297</v>
      </c>
      <c r="F283" t="s">
        <v>1294</v>
      </c>
      <c r="G283">
        <v>2360000</v>
      </c>
      <c r="H283">
        <v>70000</v>
      </c>
      <c r="I283">
        <v>2430000</v>
      </c>
      <c r="J283">
        <v>0</v>
      </c>
      <c r="K283">
        <v>-520000</v>
      </c>
      <c r="L283">
        <v>0</v>
      </c>
      <c r="M283">
        <v>0</v>
      </c>
      <c r="N283">
        <v>2950000</v>
      </c>
      <c r="O283">
        <v>0</v>
      </c>
      <c r="P283" t="s">
        <v>948</v>
      </c>
      <c r="Q283" t="s">
        <v>949</v>
      </c>
      <c r="R283" t="s">
        <v>34</v>
      </c>
      <c r="S283" t="s">
        <v>41</v>
      </c>
      <c r="T283" t="s">
        <v>34</v>
      </c>
      <c r="U283" t="s">
        <v>35</v>
      </c>
      <c r="V283" t="s">
        <v>1298</v>
      </c>
      <c r="X283">
        <v>590000</v>
      </c>
      <c r="Y283">
        <v>4</v>
      </c>
    </row>
    <row r="284" spans="1:25" x14ac:dyDescent="0.35">
      <c r="A284" t="s">
        <v>1085</v>
      </c>
      <c r="B284" t="s">
        <v>29</v>
      </c>
      <c r="C284" t="s">
        <v>43</v>
      </c>
      <c r="D284" t="s">
        <v>1299</v>
      </c>
      <c r="E284" t="s">
        <v>1300</v>
      </c>
      <c r="F284" t="s">
        <v>1294</v>
      </c>
      <c r="G284">
        <v>1160000</v>
      </c>
      <c r="H284">
        <v>0</v>
      </c>
      <c r="I284">
        <v>1160000</v>
      </c>
      <c r="J284">
        <v>0</v>
      </c>
      <c r="K284">
        <v>0</v>
      </c>
      <c r="L284">
        <v>0</v>
      </c>
      <c r="M284">
        <v>1160000</v>
      </c>
      <c r="N284">
        <v>0</v>
      </c>
      <c r="O284">
        <v>0</v>
      </c>
      <c r="P284" t="s">
        <v>34</v>
      </c>
      <c r="Q284" t="s">
        <v>34</v>
      </c>
      <c r="R284" t="s">
        <v>34</v>
      </c>
      <c r="S284" t="s">
        <v>41</v>
      </c>
      <c r="T284" t="s">
        <v>34</v>
      </c>
      <c r="U284" t="s">
        <v>35</v>
      </c>
      <c r="V284" t="s">
        <v>1301</v>
      </c>
      <c r="X284">
        <v>580000</v>
      </c>
      <c r="Y284">
        <v>2</v>
      </c>
    </row>
    <row r="285" spans="1:25" x14ac:dyDescent="0.35">
      <c r="A285" t="s">
        <v>1162</v>
      </c>
      <c r="B285" t="s">
        <v>64</v>
      </c>
      <c r="C285" t="s">
        <v>99</v>
      </c>
      <c r="D285" t="s">
        <v>1302</v>
      </c>
      <c r="E285" t="s">
        <v>1303</v>
      </c>
      <c r="F285" t="s">
        <v>1304</v>
      </c>
      <c r="G285">
        <v>350000</v>
      </c>
      <c r="H285">
        <v>0</v>
      </c>
      <c r="I285">
        <v>350000</v>
      </c>
      <c r="J285">
        <v>0</v>
      </c>
      <c r="K285">
        <v>350000</v>
      </c>
      <c r="L285">
        <v>0</v>
      </c>
      <c r="M285">
        <v>0</v>
      </c>
      <c r="N285">
        <v>0</v>
      </c>
      <c r="O285">
        <v>0</v>
      </c>
      <c r="P285" t="s">
        <v>34</v>
      </c>
      <c r="Q285" t="s">
        <v>34</v>
      </c>
      <c r="R285" t="s">
        <v>34</v>
      </c>
      <c r="S285" t="s">
        <v>41</v>
      </c>
      <c r="T285" t="s">
        <v>34</v>
      </c>
      <c r="U285" t="s">
        <v>35</v>
      </c>
      <c r="V285" t="s">
        <v>1305</v>
      </c>
      <c r="X285">
        <v>350000</v>
      </c>
      <c r="Y285">
        <v>1</v>
      </c>
    </row>
    <row r="286" spans="1:25" x14ac:dyDescent="0.35">
      <c r="A286" t="s">
        <v>693</v>
      </c>
      <c r="B286" t="s">
        <v>64</v>
      </c>
      <c r="C286" t="s">
        <v>89</v>
      </c>
      <c r="D286" t="s">
        <v>1306</v>
      </c>
      <c r="E286" t="s">
        <v>1307</v>
      </c>
      <c r="F286" t="s">
        <v>1308</v>
      </c>
      <c r="G286">
        <v>909000</v>
      </c>
      <c r="H286">
        <v>0</v>
      </c>
      <c r="I286">
        <v>909000</v>
      </c>
      <c r="J286">
        <v>0</v>
      </c>
      <c r="K286">
        <v>0</v>
      </c>
      <c r="L286">
        <v>0</v>
      </c>
      <c r="M286">
        <v>909000</v>
      </c>
      <c r="N286">
        <v>0</v>
      </c>
      <c r="O286">
        <v>0</v>
      </c>
      <c r="P286" t="s">
        <v>1309</v>
      </c>
      <c r="Q286" t="s">
        <v>34</v>
      </c>
      <c r="R286" t="s">
        <v>1310</v>
      </c>
      <c r="S286" t="s">
        <v>41</v>
      </c>
      <c r="T286" t="s">
        <v>34</v>
      </c>
      <c r="U286" t="s">
        <v>35</v>
      </c>
      <c r="V286" t="s">
        <v>987</v>
      </c>
      <c r="X286">
        <v>909000</v>
      </c>
      <c r="Y286">
        <v>1</v>
      </c>
    </row>
    <row r="287" spans="1:25" x14ac:dyDescent="0.35">
      <c r="A287" t="s">
        <v>693</v>
      </c>
      <c r="B287" t="s">
        <v>71</v>
      </c>
      <c r="C287" t="s">
        <v>95</v>
      </c>
      <c r="D287" t="s">
        <v>1306</v>
      </c>
      <c r="E287" t="s">
        <v>1307</v>
      </c>
      <c r="F287" t="s">
        <v>1308</v>
      </c>
      <c r="G287">
        <v>1112000</v>
      </c>
      <c r="H287">
        <v>0</v>
      </c>
      <c r="I287">
        <v>1112000</v>
      </c>
      <c r="J287">
        <v>0</v>
      </c>
      <c r="K287">
        <v>0</v>
      </c>
      <c r="L287">
        <v>0</v>
      </c>
      <c r="M287">
        <v>1112000</v>
      </c>
      <c r="N287">
        <v>0</v>
      </c>
      <c r="O287">
        <v>0</v>
      </c>
      <c r="P287" t="s">
        <v>1309</v>
      </c>
      <c r="Q287" t="s">
        <v>34</v>
      </c>
      <c r="R287" t="s">
        <v>1310</v>
      </c>
      <c r="S287" t="s">
        <v>41</v>
      </c>
      <c r="T287" t="s">
        <v>34</v>
      </c>
      <c r="U287" t="s">
        <v>35</v>
      </c>
      <c r="V287" t="s">
        <v>1311</v>
      </c>
      <c r="X287">
        <v>1112000</v>
      </c>
      <c r="Y287">
        <v>1</v>
      </c>
    </row>
    <row r="288" spans="1:25" x14ac:dyDescent="0.35">
      <c r="A288" t="s">
        <v>693</v>
      </c>
      <c r="B288" t="s">
        <v>29</v>
      </c>
      <c r="C288" t="s">
        <v>30</v>
      </c>
      <c r="D288" t="s">
        <v>1306</v>
      </c>
      <c r="E288" t="s">
        <v>1307</v>
      </c>
      <c r="F288" t="s">
        <v>1308</v>
      </c>
      <c r="G288">
        <v>1059000</v>
      </c>
      <c r="H288">
        <v>0</v>
      </c>
      <c r="I288">
        <v>1059000</v>
      </c>
      <c r="J288">
        <v>0</v>
      </c>
      <c r="K288">
        <v>0</v>
      </c>
      <c r="L288">
        <v>0</v>
      </c>
      <c r="M288">
        <v>1059000</v>
      </c>
      <c r="N288">
        <v>0</v>
      </c>
      <c r="O288">
        <v>0</v>
      </c>
      <c r="P288" t="s">
        <v>1309</v>
      </c>
      <c r="Q288" t="s">
        <v>34</v>
      </c>
      <c r="R288" t="s">
        <v>1310</v>
      </c>
      <c r="S288" t="s">
        <v>41</v>
      </c>
      <c r="T288" t="s">
        <v>34</v>
      </c>
      <c r="U288" t="s">
        <v>35</v>
      </c>
      <c r="V288" t="s">
        <v>1036</v>
      </c>
      <c r="X288">
        <v>1059000</v>
      </c>
      <c r="Y288">
        <v>1</v>
      </c>
    </row>
    <row r="289" spans="1:25" x14ac:dyDescent="0.35">
      <c r="A289" t="s">
        <v>1312</v>
      </c>
      <c r="B289" t="s">
        <v>64</v>
      </c>
      <c r="C289" t="s">
        <v>76</v>
      </c>
      <c r="D289" t="s">
        <v>1313</v>
      </c>
      <c r="E289" t="s">
        <v>1314</v>
      </c>
      <c r="F289" t="s">
        <v>1315</v>
      </c>
      <c r="G289">
        <v>470000</v>
      </c>
      <c r="H289">
        <v>0</v>
      </c>
      <c r="I289">
        <v>470000</v>
      </c>
      <c r="J289">
        <v>0</v>
      </c>
      <c r="K289">
        <v>0</v>
      </c>
      <c r="L289">
        <v>0</v>
      </c>
      <c r="M289">
        <v>470000</v>
      </c>
      <c r="N289">
        <v>0</v>
      </c>
      <c r="O289">
        <v>0</v>
      </c>
      <c r="P289" t="s">
        <v>1316</v>
      </c>
      <c r="Q289" t="s">
        <v>34</v>
      </c>
      <c r="R289" t="s">
        <v>1317</v>
      </c>
      <c r="S289" t="s">
        <v>41</v>
      </c>
      <c r="T289" t="s">
        <v>34</v>
      </c>
      <c r="U289" t="s">
        <v>35</v>
      </c>
      <c r="V289" t="s">
        <v>1318</v>
      </c>
      <c r="X289">
        <v>470000</v>
      </c>
      <c r="Y289">
        <v>1</v>
      </c>
    </row>
    <row r="290" spans="1:25" x14ac:dyDescent="0.35">
      <c r="A290" t="s">
        <v>1051</v>
      </c>
      <c r="B290" t="s">
        <v>64</v>
      </c>
      <c r="C290" t="s">
        <v>89</v>
      </c>
      <c r="D290" t="s">
        <v>1319</v>
      </c>
      <c r="E290" t="s">
        <v>1320</v>
      </c>
      <c r="F290" t="s">
        <v>1321</v>
      </c>
      <c r="G290">
        <v>565000</v>
      </c>
      <c r="H290">
        <v>0</v>
      </c>
      <c r="I290">
        <v>565000</v>
      </c>
      <c r="J290">
        <v>0</v>
      </c>
      <c r="K290">
        <v>35000</v>
      </c>
      <c r="L290">
        <v>0</v>
      </c>
      <c r="M290">
        <v>530000</v>
      </c>
      <c r="N290">
        <v>0</v>
      </c>
      <c r="O290">
        <v>0</v>
      </c>
      <c r="P290" t="s">
        <v>1322</v>
      </c>
      <c r="Q290" t="s">
        <v>34</v>
      </c>
      <c r="R290" t="s">
        <v>34</v>
      </c>
      <c r="S290" t="s">
        <v>41</v>
      </c>
      <c r="T290" t="s">
        <v>34</v>
      </c>
      <c r="U290" t="s">
        <v>35</v>
      </c>
      <c r="V290" t="s">
        <v>1323</v>
      </c>
      <c r="X290">
        <v>565000</v>
      </c>
      <c r="Y290">
        <v>1</v>
      </c>
    </row>
    <row r="291" spans="1:25" x14ac:dyDescent="0.35">
      <c r="A291" t="s">
        <v>1213</v>
      </c>
      <c r="B291" t="s">
        <v>59</v>
      </c>
      <c r="C291" t="s">
        <v>182</v>
      </c>
      <c r="D291" t="s">
        <v>1324</v>
      </c>
      <c r="E291" t="s">
        <v>1325</v>
      </c>
      <c r="F291" t="s">
        <v>1326</v>
      </c>
      <c r="G291">
        <v>585000</v>
      </c>
      <c r="H291">
        <v>0</v>
      </c>
      <c r="I291">
        <v>585000</v>
      </c>
      <c r="J291">
        <v>0</v>
      </c>
      <c r="K291">
        <v>0</v>
      </c>
      <c r="L291">
        <v>0</v>
      </c>
      <c r="M291">
        <v>585000</v>
      </c>
      <c r="N291">
        <v>0</v>
      </c>
      <c r="O291">
        <v>0</v>
      </c>
      <c r="P291" t="s">
        <v>1327</v>
      </c>
      <c r="Q291" t="s">
        <v>34</v>
      </c>
      <c r="R291" t="s">
        <v>34</v>
      </c>
      <c r="S291" t="s">
        <v>41</v>
      </c>
      <c r="T291" t="s">
        <v>34</v>
      </c>
      <c r="U291" t="s">
        <v>35</v>
      </c>
      <c r="V291" t="s">
        <v>1328</v>
      </c>
      <c r="X291">
        <v>585000</v>
      </c>
      <c r="Y291">
        <v>1</v>
      </c>
    </row>
    <row r="292" spans="1:25" x14ac:dyDescent="0.35">
      <c r="A292" t="s">
        <v>2146</v>
      </c>
      <c r="B292" t="s">
        <v>64</v>
      </c>
      <c r="C292" t="s">
        <v>99</v>
      </c>
      <c r="D292" t="s">
        <v>2543</v>
      </c>
      <c r="E292" t="s">
        <v>2544</v>
      </c>
      <c r="F292" t="s">
        <v>2545</v>
      </c>
      <c r="G292">
        <v>500000</v>
      </c>
      <c r="H292">
        <v>0</v>
      </c>
      <c r="I292">
        <v>500000</v>
      </c>
      <c r="J292">
        <v>0</v>
      </c>
      <c r="K292">
        <v>0</v>
      </c>
      <c r="L292">
        <v>0</v>
      </c>
      <c r="M292">
        <v>500000</v>
      </c>
      <c r="N292">
        <v>0</v>
      </c>
      <c r="O292">
        <v>0</v>
      </c>
      <c r="P292" t="s">
        <v>34</v>
      </c>
      <c r="Q292" t="s">
        <v>34</v>
      </c>
      <c r="R292" t="s">
        <v>34</v>
      </c>
      <c r="S292" t="s">
        <v>41</v>
      </c>
      <c r="T292" t="s">
        <v>34</v>
      </c>
      <c r="U292" t="s">
        <v>35</v>
      </c>
      <c r="V292" t="s">
        <v>2546</v>
      </c>
      <c r="X292">
        <v>500000</v>
      </c>
      <c r="Y292">
        <v>1</v>
      </c>
    </row>
    <row r="293" spans="1:25" x14ac:dyDescent="0.35">
      <c r="A293" t="s">
        <v>2058</v>
      </c>
      <c r="B293" t="s">
        <v>29</v>
      </c>
      <c r="C293" t="s">
        <v>43</v>
      </c>
      <c r="D293" t="s">
        <v>1682</v>
      </c>
      <c r="E293" t="s">
        <v>2534</v>
      </c>
      <c r="F293" t="s">
        <v>2535</v>
      </c>
      <c r="G293">
        <v>8360000</v>
      </c>
      <c r="H293">
        <v>700000</v>
      </c>
      <c r="I293">
        <v>9060000</v>
      </c>
      <c r="J293">
        <v>0</v>
      </c>
      <c r="K293">
        <v>0</v>
      </c>
      <c r="L293">
        <v>0</v>
      </c>
      <c r="M293">
        <v>0</v>
      </c>
      <c r="N293">
        <v>9060000</v>
      </c>
      <c r="O293">
        <v>0</v>
      </c>
      <c r="P293" t="s">
        <v>34</v>
      </c>
      <c r="Q293" t="s">
        <v>34</v>
      </c>
      <c r="R293" t="s">
        <v>1684</v>
      </c>
      <c r="S293" t="s">
        <v>41</v>
      </c>
      <c r="T293" t="s">
        <v>34</v>
      </c>
      <c r="U293" t="s">
        <v>35</v>
      </c>
      <c r="V293" t="s">
        <v>2536</v>
      </c>
      <c r="X293">
        <v>760000</v>
      </c>
      <c r="Y293">
        <v>11</v>
      </c>
    </row>
    <row r="294" spans="1:25" x14ac:dyDescent="0.35">
      <c r="A294" t="s">
        <v>2104</v>
      </c>
      <c r="B294" t="s">
        <v>64</v>
      </c>
      <c r="C294" t="s">
        <v>65</v>
      </c>
      <c r="D294" t="s">
        <v>850</v>
      </c>
      <c r="E294" t="s">
        <v>2531</v>
      </c>
      <c r="F294" t="s">
        <v>2532</v>
      </c>
      <c r="G294">
        <v>560000</v>
      </c>
      <c r="H294">
        <v>0</v>
      </c>
      <c r="I294">
        <v>560000</v>
      </c>
      <c r="J294">
        <v>0</v>
      </c>
      <c r="K294">
        <v>60000</v>
      </c>
      <c r="L294">
        <v>0</v>
      </c>
      <c r="M294">
        <v>500000</v>
      </c>
      <c r="N294">
        <v>0</v>
      </c>
      <c r="O294">
        <v>0</v>
      </c>
      <c r="P294" t="s">
        <v>853</v>
      </c>
      <c r="Q294" t="s">
        <v>34</v>
      </c>
      <c r="R294" t="s">
        <v>854</v>
      </c>
      <c r="S294" t="s">
        <v>41</v>
      </c>
      <c r="T294" t="s">
        <v>34</v>
      </c>
      <c r="U294" t="s">
        <v>35</v>
      </c>
      <c r="V294" t="s">
        <v>2533</v>
      </c>
      <c r="X294">
        <v>560000</v>
      </c>
      <c r="Y294">
        <v>1</v>
      </c>
    </row>
    <row r="295" spans="1:25" x14ac:dyDescent="0.35">
      <c r="A295" t="s">
        <v>2321</v>
      </c>
      <c r="B295" t="s">
        <v>64</v>
      </c>
      <c r="C295" t="s">
        <v>76</v>
      </c>
      <c r="D295" t="s">
        <v>2116</v>
      </c>
      <c r="E295" t="s">
        <v>2528</v>
      </c>
      <c r="F295" t="s">
        <v>2529</v>
      </c>
      <c r="G295">
        <v>1100000</v>
      </c>
      <c r="H295">
        <v>88000</v>
      </c>
      <c r="I295">
        <v>1188000</v>
      </c>
      <c r="J295">
        <v>0</v>
      </c>
      <c r="K295">
        <v>0</v>
      </c>
      <c r="L295">
        <v>0</v>
      </c>
      <c r="M295">
        <v>0</v>
      </c>
      <c r="N295">
        <v>1188000</v>
      </c>
      <c r="O295">
        <v>0</v>
      </c>
      <c r="P295" t="s">
        <v>2119</v>
      </c>
      <c r="Q295" t="s">
        <v>34</v>
      </c>
      <c r="R295" t="s">
        <v>2120</v>
      </c>
      <c r="S295" t="s">
        <v>41</v>
      </c>
      <c r="T295" t="s">
        <v>34</v>
      </c>
      <c r="U295" t="s">
        <v>35</v>
      </c>
      <c r="V295" t="s">
        <v>2530</v>
      </c>
      <c r="X295">
        <v>550000</v>
      </c>
      <c r="Y295">
        <v>2</v>
      </c>
    </row>
    <row r="296" spans="1:25" x14ac:dyDescent="0.35">
      <c r="A296" t="s">
        <v>1296</v>
      </c>
      <c r="B296" t="s">
        <v>71</v>
      </c>
      <c r="C296" t="s">
        <v>72</v>
      </c>
      <c r="D296" t="s">
        <v>226</v>
      </c>
      <c r="E296" t="s">
        <v>1345</v>
      </c>
      <c r="F296" t="s">
        <v>1337</v>
      </c>
      <c r="G296">
        <v>590000</v>
      </c>
      <c r="H296">
        <v>0</v>
      </c>
      <c r="I296">
        <v>590000</v>
      </c>
      <c r="J296">
        <v>0</v>
      </c>
      <c r="K296">
        <v>590000</v>
      </c>
      <c r="L296">
        <v>0</v>
      </c>
      <c r="M296">
        <v>0</v>
      </c>
      <c r="N296">
        <v>0</v>
      </c>
      <c r="O296">
        <v>0</v>
      </c>
      <c r="S296" t="s">
        <v>41</v>
      </c>
      <c r="T296" t="s">
        <v>34</v>
      </c>
      <c r="U296" t="s">
        <v>35</v>
      </c>
      <c r="V296" t="s">
        <v>1346</v>
      </c>
      <c r="X296">
        <v>590000</v>
      </c>
      <c r="Y296">
        <v>1</v>
      </c>
    </row>
    <row r="297" spans="1:25" x14ac:dyDescent="0.35">
      <c r="A297" t="s">
        <v>2084</v>
      </c>
      <c r="B297" t="s">
        <v>64</v>
      </c>
      <c r="C297" t="s">
        <v>89</v>
      </c>
      <c r="D297" t="s">
        <v>1416</v>
      </c>
      <c r="E297" t="s">
        <v>2518</v>
      </c>
      <c r="F297" t="s">
        <v>2515</v>
      </c>
      <c r="G297">
        <v>1100000</v>
      </c>
      <c r="H297">
        <v>0</v>
      </c>
      <c r="I297">
        <v>1100000</v>
      </c>
      <c r="J297">
        <v>0</v>
      </c>
      <c r="K297">
        <v>1100000</v>
      </c>
      <c r="L297">
        <v>0</v>
      </c>
      <c r="M297">
        <v>0</v>
      </c>
      <c r="N297">
        <v>0</v>
      </c>
      <c r="O297">
        <v>0</v>
      </c>
      <c r="P297" t="s">
        <v>1419</v>
      </c>
      <c r="Q297" t="s">
        <v>34</v>
      </c>
      <c r="R297" t="s">
        <v>1420</v>
      </c>
      <c r="S297" t="s">
        <v>41</v>
      </c>
      <c r="T297" t="s">
        <v>34</v>
      </c>
      <c r="U297" t="s">
        <v>35</v>
      </c>
      <c r="V297" t="s">
        <v>2519</v>
      </c>
      <c r="X297">
        <v>550000</v>
      </c>
      <c r="Y297">
        <v>2</v>
      </c>
    </row>
    <row r="298" spans="1:25" x14ac:dyDescent="0.35">
      <c r="A298" t="s">
        <v>1092</v>
      </c>
      <c r="B298" t="s">
        <v>29</v>
      </c>
      <c r="C298" t="s">
        <v>30</v>
      </c>
      <c r="D298" t="s">
        <v>1353</v>
      </c>
      <c r="E298" t="s">
        <v>1354</v>
      </c>
      <c r="F298" t="s">
        <v>1337</v>
      </c>
      <c r="G298">
        <v>700000</v>
      </c>
      <c r="H298">
        <v>0</v>
      </c>
      <c r="I298">
        <v>700000</v>
      </c>
      <c r="J298">
        <v>0</v>
      </c>
      <c r="K298">
        <v>0</v>
      </c>
      <c r="L298">
        <v>0</v>
      </c>
      <c r="M298">
        <v>700000</v>
      </c>
      <c r="N298">
        <v>0</v>
      </c>
      <c r="O298">
        <v>0</v>
      </c>
      <c r="P298" t="s">
        <v>1355</v>
      </c>
      <c r="Q298" t="s">
        <v>34</v>
      </c>
      <c r="R298" t="s">
        <v>34</v>
      </c>
      <c r="S298" t="s">
        <v>41</v>
      </c>
      <c r="T298" t="s">
        <v>34</v>
      </c>
      <c r="U298" t="s">
        <v>35</v>
      </c>
      <c r="V298" t="s">
        <v>1356</v>
      </c>
      <c r="X298">
        <v>700000</v>
      </c>
      <c r="Y298">
        <v>1</v>
      </c>
    </row>
    <row r="299" spans="1:25" x14ac:dyDescent="0.35">
      <c r="A299" t="s">
        <v>1172</v>
      </c>
      <c r="B299" t="s">
        <v>64</v>
      </c>
      <c r="C299" t="s">
        <v>99</v>
      </c>
      <c r="D299" t="s">
        <v>1357</v>
      </c>
      <c r="E299" t="s">
        <v>1358</v>
      </c>
      <c r="F299" t="s">
        <v>1359</v>
      </c>
      <c r="G299">
        <v>459000</v>
      </c>
      <c r="H299">
        <v>0</v>
      </c>
      <c r="I299">
        <v>459000</v>
      </c>
      <c r="J299">
        <v>0</v>
      </c>
      <c r="K299">
        <v>459000</v>
      </c>
      <c r="L299">
        <v>0</v>
      </c>
      <c r="M299">
        <v>0</v>
      </c>
      <c r="N299">
        <v>0</v>
      </c>
      <c r="O299">
        <v>0</v>
      </c>
      <c r="P299" t="s">
        <v>935</v>
      </c>
      <c r="Q299" t="s">
        <v>34</v>
      </c>
      <c r="R299" t="s">
        <v>1360</v>
      </c>
      <c r="S299" t="s">
        <v>41</v>
      </c>
      <c r="T299" t="s">
        <v>34</v>
      </c>
      <c r="U299" t="s">
        <v>35</v>
      </c>
      <c r="V299" t="s">
        <v>1361</v>
      </c>
      <c r="X299">
        <v>459000</v>
      </c>
      <c r="Y299">
        <v>1</v>
      </c>
    </row>
    <row r="300" spans="1:25" x14ac:dyDescent="0.35">
      <c r="A300" t="s">
        <v>1333</v>
      </c>
      <c r="B300" t="s">
        <v>29</v>
      </c>
      <c r="C300" t="s">
        <v>43</v>
      </c>
      <c r="D300" t="s">
        <v>1362</v>
      </c>
      <c r="E300" t="s">
        <v>1363</v>
      </c>
      <c r="F300" t="s">
        <v>1364</v>
      </c>
      <c r="G300">
        <v>459000</v>
      </c>
      <c r="H300">
        <v>0</v>
      </c>
      <c r="I300">
        <v>459000</v>
      </c>
      <c r="J300">
        <v>0</v>
      </c>
      <c r="K300">
        <v>459000</v>
      </c>
      <c r="L300">
        <v>0</v>
      </c>
      <c r="M300">
        <v>0</v>
      </c>
      <c r="N300">
        <v>0</v>
      </c>
      <c r="O300">
        <v>0</v>
      </c>
      <c r="S300" t="s">
        <v>41</v>
      </c>
      <c r="T300" t="s">
        <v>34</v>
      </c>
      <c r="U300" t="s">
        <v>35</v>
      </c>
      <c r="V300" t="s">
        <v>1365</v>
      </c>
      <c r="X300">
        <v>459000</v>
      </c>
      <c r="Y300">
        <v>1</v>
      </c>
    </row>
    <row r="301" spans="1:25" x14ac:dyDescent="0.35">
      <c r="A301" t="s">
        <v>1193</v>
      </c>
      <c r="B301" t="s">
        <v>29</v>
      </c>
      <c r="C301" t="s">
        <v>30</v>
      </c>
      <c r="D301" t="s">
        <v>1366</v>
      </c>
      <c r="E301" t="s">
        <v>1367</v>
      </c>
      <c r="F301" t="s">
        <v>1368</v>
      </c>
      <c r="G301">
        <v>449000</v>
      </c>
      <c r="H301">
        <v>0</v>
      </c>
      <c r="I301">
        <v>449000</v>
      </c>
      <c r="J301">
        <v>0</v>
      </c>
      <c r="K301">
        <v>449000</v>
      </c>
      <c r="L301">
        <v>0</v>
      </c>
      <c r="M301">
        <v>0</v>
      </c>
      <c r="N301">
        <v>0</v>
      </c>
      <c r="O301">
        <v>0</v>
      </c>
      <c r="P301" t="s">
        <v>1369</v>
      </c>
      <c r="Q301" t="s">
        <v>34</v>
      </c>
      <c r="R301" t="s">
        <v>1370</v>
      </c>
      <c r="S301" t="s">
        <v>41</v>
      </c>
      <c r="T301" t="s">
        <v>34</v>
      </c>
      <c r="U301" t="s">
        <v>35</v>
      </c>
      <c r="V301" t="s">
        <v>1371</v>
      </c>
      <c r="X301">
        <v>449000</v>
      </c>
      <c r="Y301">
        <v>1</v>
      </c>
    </row>
    <row r="302" spans="1:25" x14ac:dyDescent="0.35">
      <c r="A302" t="s">
        <v>1139</v>
      </c>
      <c r="B302" t="s">
        <v>64</v>
      </c>
      <c r="C302" t="s">
        <v>89</v>
      </c>
      <c r="D302" t="s">
        <v>1372</v>
      </c>
      <c r="E302" t="s">
        <v>1373</v>
      </c>
      <c r="F302" t="s">
        <v>1374</v>
      </c>
      <c r="G302">
        <v>500000</v>
      </c>
      <c r="H302">
        <v>15000</v>
      </c>
      <c r="I302">
        <v>515000</v>
      </c>
      <c r="J302">
        <v>0</v>
      </c>
      <c r="K302">
        <v>15000</v>
      </c>
      <c r="L302">
        <v>0</v>
      </c>
      <c r="M302">
        <v>500000</v>
      </c>
      <c r="N302">
        <v>0</v>
      </c>
      <c r="O302">
        <v>0</v>
      </c>
      <c r="P302" t="s">
        <v>1375</v>
      </c>
      <c r="Q302" t="s">
        <v>34</v>
      </c>
      <c r="R302" t="s">
        <v>1376</v>
      </c>
      <c r="S302" t="s">
        <v>41</v>
      </c>
      <c r="T302" t="s">
        <v>34</v>
      </c>
      <c r="U302" t="s">
        <v>35</v>
      </c>
      <c r="V302" t="s">
        <v>1377</v>
      </c>
      <c r="X302">
        <v>500000</v>
      </c>
      <c r="Y302">
        <v>1</v>
      </c>
    </row>
    <row r="303" spans="1:25" x14ac:dyDescent="0.35">
      <c r="A303" t="s">
        <v>60</v>
      </c>
      <c r="B303" t="s">
        <v>64</v>
      </c>
      <c r="C303" t="s">
        <v>76</v>
      </c>
      <c r="D303" t="s">
        <v>1378</v>
      </c>
      <c r="E303" t="s">
        <v>1379</v>
      </c>
      <c r="F303" t="s">
        <v>1380</v>
      </c>
      <c r="G303">
        <v>495000</v>
      </c>
      <c r="H303">
        <v>0</v>
      </c>
      <c r="I303">
        <v>495000</v>
      </c>
      <c r="J303">
        <v>0</v>
      </c>
      <c r="K303">
        <v>495000</v>
      </c>
      <c r="L303">
        <v>0</v>
      </c>
      <c r="M303">
        <v>0</v>
      </c>
      <c r="N303">
        <v>0</v>
      </c>
      <c r="O303">
        <v>0</v>
      </c>
      <c r="P303" t="s">
        <v>34</v>
      </c>
      <c r="Q303" t="s">
        <v>34</v>
      </c>
      <c r="R303" t="s">
        <v>34</v>
      </c>
      <c r="S303" t="s">
        <v>41</v>
      </c>
      <c r="T303" t="s">
        <v>34</v>
      </c>
      <c r="U303" t="s">
        <v>35</v>
      </c>
      <c r="V303" t="s">
        <v>1381</v>
      </c>
      <c r="X303">
        <v>495000</v>
      </c>
      <c r="Y303">
        <v>1</v>
      </c>
    </row>
    <row r="304" spans="1:25" x14ac:dyDescent="0.35">
      <c r="A304" t="s">
        <v>1117</v>
      </c>
      <c r="B304" t="s">
        <v>64</v>
      </c>
      <c r="C304" t="s">
        <v>65</v>
      </c>
      <c r="D304" t="s">
        <v>1382</v>
      </c>
      <c r="E304" t="s">
        <v>1383</v>
      </c>
      <c r="F304" t="s">
        <v>1384</v>
      </c>
      <c r="G304">
        <v>494000</v>
      </c>
      <c r="H304">
        <v>30000</v>
      </c>
      <c r="I304">
        <v>524000</v>
      </c>
      <c r="J304">
        <v>0</v>
      </c>
      <c r="K304">
        <v>0</v>
      </c>
      <c r="L304">
        <v>0</v>
      </c>
      <c r="M304">
        <v>524000</v>
      </c>
      <c r="N304">
        <v>0</v>
      </c>
      <c r="O304">
        <v>0</v>
      </c>
      <c r="P304" t="s">
        <v>1385</v>
      </c>
      <c r="Q304" t="s">
        <v>34</v>
      </c>
      <c r="R304" t="s">
        <v>1386</v>
      </c>
      <c r="S304" t="s">
        <v>41</v>
      </c>
      <c r="T304" t="s">
        <v>34</v>
      </c>
      <c r="U304" t="s">
        <v>35</v>
      </c>
      <c r="V304" t="s">
        <v>1387</v>
      </c>
      <c r="X304">
        <v>494000</v>
      </c>
      <c r="Y304">
        <v>1</v>
      </c>
    </row>
    <row r="305" spans="1:25" x14ac:dyDescent="0.35">
      <c r="A305" t="s">
        <v>76</v>
      </c>
      <c r="B305" t="s">
        <v>59</v>
      </c>
      <c r="C305" t="s">
        <v>193</v>
      </c>
      <c r="D305" t="s">
        <v>376</v>
      </c>
      <c r="E305" t="s">
        <v>1388</v>
      </c>
      <c r="F305" t="s">
        <v>1389</v>
      </c>
      <c r="G305">
        <v>1100000</v>
      </c>
      <c r="H305">
        <v>0</v>
      </c>
      <c r="I305">
        <v>1100000</v>
      </c>
      <c r="J305">
        <v>0</v>
      </c>
      <c r="K305">
        <v>1100000</v>
      </c>
      <c r="L305">
        <v>0</v>
      </c>
      <c r="M305">
        <v>0</v>
      </c>
      <c r="N305">
        <v>0</v>
      </c>
      <c r="O305">
        <v>0</v>
      </c>
      <c r="P305" t="s">
        <v>378</v>
      </c>
      <c r="Q305" t="s">
        <v>34</v>
      </c>
      <c r="R305" t="s">
        <v>34</v>
      </c>
      <c r="S305" t="s">
        <v>41</v>
      </c>
      <c r="T305" t="s">
        <v>34</v>
      </c>
      <c r="U305" t="s">
        <v>35</v>
      </c>
      <c r="V305" t="s">
        <v>1390</v>
      </c>
      <c r="X305">
        <v>550000</v>
      </c>
      <c r="Y305">
        <v>2</v>
      </c>
    </row>
    <row r="306" spans="1:25" x14ac:dyDescent="0.35">
      <c r="A306" t="s">
        <v>2112</v>
      </c>
      <c r="B306" t="s">
        <v>64</v>
      </c>
      <c r="C306" t="s">
        <v>99</v>
      </c>
      <c r="D306" t="s">
        <v>2513</v>
      </c>
      <c r="E306" t="s">
        <v>2514</v>
      </c>
      <c r="F306" t="s">
        <v>2515</v>
      </c>
      <c r="G306">
        <v>2650000</v>
      </c>
      <c r="H306">
        <v>0</v>
      </c>
      <c r="I306">
        <v>2650000</v>
      </c>
      <c r="J306">
        <v>0</v>
      </c>
      <c r="K306">
        <v>2650000</v>
      </c>
      <c r="L306">
        <v>0</v>
      </c>
      <c r="M306">
        <v>0</v>
      </c>
      <c r="N306">
        <v>0</v>
      </c>
      <c r="O306">
        <v>0</v>
      </c>
      <c r="P306" t="s">
        <v>34</v>
      </c>
      <c r="Q306" t="s">
        <v>34</v>
      </c>
      <c r="R306" t="s">
        <v>2516</v>
      </c>
      <c r="S306" t="s">
        <v>41</v>
      </c>
      <c r="T306" t="s">
        <v>34</v>
      </c>
      <c r="U306" t="s">
        <v>35</v>
      </c>
      <c r="V306" t="s">
        <v>2517</v>
      </c>
      <c r="X306">
        <v>530000</v>
      </c>
      <c r="Y306">
        <v>5</v>
      </c>
    </row>
    <row r="307" spans="1:25" x14ac:dyDescent="0.35">
      <c r="A307" t="s">
        <v>1206</v>
      </c>
      <c r="B307" t="s">
        <v>64</v>
      </c>
      <c r="C307" t="s">
        <v>173</v>
      </c>
      <c r="D307" t="s">
        <v>1396</v>
      </c>
      <c r="E307" t="s">
        <v>1397</v>
      </c>
      <c r="F307" t="s">
        <v>1398</v>
      </c>
      <c r="G307">
        <v>495000</v>
      </c>
      <c r="H307">
        <v>0</v>
      </c>
      <c r="I307">
        <v>495000</v>
      </c>
      <c r="J307">
        <v>0</v>
      </c>
      <c r="K307">
        <v>495000</v>
      </c>
      <c r="L307">
        <v>0</v>
      </c>
      <c r="M307">
        <v>0</v>
      </c>
      <c r="N307">
        <v>0</v>
      </c>
      <c r="O307">
        <v>0</v>
      </c>
      <c r="P307" t="s">
        <v>34</v>
      </c>
      <c r="Q307" t="s">
        <v>34</v>
      </c>
      <c r="R307" t="s">
        <v>1399</v>
      </c>
      <c r="S307" t="s">
        <v>41</v>
      </c>
      <c r="T307" t="s">
        <v>34</v>
      </c>
      <c r="U307" t="s">
        <v>35</v>
      </c>
      <c r="V307" t="s">
        <v>1400</v>
      </c>
      <c r="X307">
        <v>495000</v>
      </c>
      <c r="Y307">
        <v>1</v>
      </c>
    </row>
    <row r="308" spans="1:25" x14ac:dyDescent="0.35">
      <c r="A308" t="s">
        <v>1227</v>
      </c>
      <c r="B308" t="s">
        <v>64</v>
      </c>
      <c r="C308" t="s">
        <v>99</v>
      </c>
      <c r="D308" t="s">
        <v>226</v>
      </c>
      <c r="E308" t="s">
        <v>1401</v>
      </c>
      <c r="F308" t="s">
        <v>1402</v>
      </c>
      <c r="G308">
        <v>349000</v>
      </c>
      <c r="H308">
        <v>0</v>
      </c>
      <c r="I308">
        <v>349000</v>
      </c>
      <c r="J308">
        <v>0</v>
      </c>
      <c r="K308">
        <v>349000</v>
      </c>
      <c r="L308">
        <v>0</v>
      </c>
      <c r="M308">
        <v>0</v>
      </c>
      <c r="N308">
        <v>0</v>
      </c>
      <c r="O308">
        <v>0</v>
      </c>
      <c r="P308" t="s">
        <v>1403</v>
      </c>
      <c r="S308" t="s">
        <v>41</v>
      </c>
      <c r="T308" t="s">
        <v>34</v>
      </c>
      <c r="U308" t="s">
        <v>35</v>
      </c>
      <c r="V308" t="s">
        <v>1404</v>
      </c>
      <c r="X308">
        <v>349000</v>
      </c>
      <c r="Y308">
        <v>1</v>
      </c>
    </row>
    <row r="309" spans="1:25" x14ac:dyDescent="0.35">
      <c r="A309" t="s">
        <v>1405</v>
      </c>
      <c r="B309" t="s">
        <v>29</v>
      </c>
      <c r="C309" t="s">
        <v>413</v>
      </c>
      <c r="D309" t="s">
        <v>1012</v>
      </c>
      <c r="E309" t="s">
        <v>1406</v>
      </c>
      <c r="F309" t="s">
        <v>1407</v>
      </c>
      <c r="G309">
        <v>3368000</v>
      </c>
      <c r="H309">
        <v>100000</v>
      </c>
      <c r="I309">
        <v>3468000</v>
      </c>
      <c r="J309">
        <v>0</v>
      </c>
      <c r="K309">
        <v>100000</v>
      </c>
      <c r="L309">
        <v>0</v>
      </c>
      <c r="M309">
        <v>3368000</v>
      </c>
      <c r="N309">
        <v>0</v>
      </c>
      <c r="O309">
        <v>0</v>
      </c>
      <c r="P309" t="s">
        <v>1015</v>
      </c>
      <c r="S309" t="s">
        <v>41</v>
      </c>
      <c r="T309" t="s">
        <v>34</v>
      </c>
      <c r="U309" t="s">
        <v>35</v>
      </c>
      <c r="V309" t="s">
        <v>1408</v>
      </c>
      <c r="X309">
        <v>842000</v>
      </c>
      <c r="Y309">
        <v>4</v>
      </c>
    </row>
    <row r="310" spans="1:25" x14ac:dyDescent="0.35">
      <c r="A310" t="s">
        <v>2012</v>
      </c>
      <c r="B310" t="s">
        <v>64</v>
      </c>
      <c r="C310" t="s">
        <v>83</v>
      </c>
      <c r="D310" t="s">
        <v>2508</v>
      </c>
      <c r="E310" t="s">
        <v>2509</v>
      </c>
      <c r="F310" t="s">
        <v>2510</v>
      </c>
      <c r="G310">
        <v>2200000</v>
      </c>
      <c r="H310">
        <v>0</v>
      </c>
      <c r="I310">
        <v>2200000</v>
      </c>
      <c r="J310">
        <v>0</v>
      </c>
      <c r="K310">
        <v>2200000</v>
      </c>
      <c r="L310">
        <v>0</v>
      </c>
      <c r="M310">
        <v>0</v>
      </c>
      <c r="N310">
        <v>0</v>
      </c>
      <c r="O310">
        <v>0</v>
      </c>
      <c r="P310" t="s">
        <v>2511</v>
      </c>
      <c r="Q310" t="s">
        <v>34</v>
      </c>
      <c r="R310" t="s">
        <v>34</v>
      </c>
      <c r="S310" t="s">
        <v>41</v>
      </c>
      <c r="T310" t="s">
        <v>34</v>
      </c>
      <c r="U310" t="s">
        <v>35</v>
      </c>
      <c r="V310" t="s">
        <v>2512</v>
      </c>
      <c r="X310">
        <v>733333.33330000006</v>
      </c>
      <c r="Y310">
        <v>3</v>
      </c>
    </row>
    <row r="311" spans="1:25" x14ac:dyDescent="0.35">
      <c r="A311" t="s">
        <v>1148</v>
      </c>
      <c r="B311" t="s">
        <v>29</v>
      </c>
      <c r="C311" t="s">
        <v>43</v>
      </c>
      <c r="D311" t="s">
        <v>1416</v>
      </c>
      <c r="E311" t="s">
        <v>1417</v>
      </c>
      <c r="F311" t="s">
        <v>1418</v>
      </c>
      <c r="G311">
        <v>800000</v>
      </c>
      <c r="H311">
        <v>0</v>
      </c>
      <c r="I311">
        <v>800000</v>
      </c>
      <c r="J311">
        <v>0</v>
      </c>
      <c r="K311">
        <v>800000</v>
      </c>
      <c r="L311">
        <v>0</v>
      </c>
      <c r="M311">
        <v>0</v>
      </c>
      <c r="N311">
        <v>0</v>
      </c>
      <c r="O311">
        <v>0</v>
      </c>
      <c r="P311" t="s">
        <v>1419</v>
      </c>
      <c r="Q311" t="s">
        <v>34</v>
      </c>
      <c r="R311" t="s">
        <v>1420</v>
      </c>
      <c r="S311" t="s">
        <v>41</v>
      </c>
      <c r="T311" t="s">
        <v>34</v>
      </c>
      <c r="U311" t="s">
        <v>35</v>
      </c>
      <c r="V311" t="s">
        <v>1421</v>
      </c>
      <c r="X311">
        <v>800000</v>
      </c>
      <c r="Y311">
        <v>1</v>
      </c>
    </row>
    <row r="312" spans="1:25" x14ac:dyDescent="0.35">
      <c r="A312" t="s">
        <v>1186</v>
      </c>
      <c r="B312" t="s">
        <v>64</v>
      </c>
      <c r="C312" t="s">
        <v>76</v>
      </c>
      <c r="D312" t="s">
        <v>1422</v>
      </c>
      <c r="E312" t="s">
        <v>1423</v>
      </c>
      <c r="F312" t="s">
        <v>1418</v>
      </c>
      <c r="G312">
        <v>495000</v>
      </c>
      <c r="H312">
        <v>0</v>
      </c>
      <c r="I312">
        <v>495000</v>
      </c>
      <c r="J312">
        <v>0</v>
      </c>
      <c r="K312">
        <v>495000</v>
      </c>
      <c r="L312">
        <v>0</v>
      </c>
      <c r="M312">
        <v>0</v>
      </c>
      <c r="N312">
        <v>0</v>
      </c>
      <c r="O312">
        <v>0</v>
      </c>
      <c r="P312" t="s">
        <v>1424</v>
      </c>
      <c r="Q312" t="s">
        <v>34</v>
      </c>
      <c r="R312" t="s">
        <v>1425</v>
      </c>
      <c r="S312" t="s">
        <v>41</v>
      </c>
      <c r="T312" t="s">
        <v>34</v>
      </c>
      <c r="U312" t="s">
        <v>35</v>
      </c>
      <c r="V312" t="s">
        <v>1426</v>
      </c>
      <c r="X312">
        <v>495000</v>
      </c>
      <c r="Y312">
        <v>1</v>
      </c>
    </row>
    <row r="313" spans="1:25" x14ac:dyDescent="0.35">
      <c r="A313" t="s">
        <v>2504</v>
      </c>
      <c r="B313" t="s">
        <v>64</v>
      </c>
      <c r="C313" t="s">
        <v>89</v>
      </c>
      <c r="D313" t="s">
        <v>2505</v>
      </c>
      <c r="E313" t="s">
        <v>2506</v>
      </c>
      <c r="F313" t="s">
        <v>2502</v>
      </c>
      <c r="G313">
        <v>500000</v>
      </c>
      <c r="H313">
        <v>0</v>
      </c>
      <c r="I313">
        <v>500000</v>
      </c>
      <c r="J313">
        <v>0</v>
      </c>
      <c r="K313">
        <v>0</v>
      </c>
      <c r="L313">
        <v>0</v>
      </c>
      <c r="M313">
        <v>500000</v>
      </c>
      <c r="N313">
        <v>0</v>
      </c>
      <c r="O313">
        <v>0</v>
      </c>
      <c r="S313" t="s">
        <v>41</v>
      </c>
      <c r="T313" t="s">
        <v>34</v>
      </c>
      <c r="U313" t="s">
        <v>35</v>
      </c>
      <c r="V313" t="s">
        <v>2507</v>
      </c>
      <c r="X313">
        <v>500000</v>
      </c>
      <c r="Y313">
        <v>1</v>
      </c>
    </row>
    <row r="314" spans="1:25" x14ac:dyDescent="0.35">
      <c r="A314" t="s">
        <v>1433</v>
      </c>
      <c r="B314" t="s">
        <v>29</v>
      </c>
      <c r="C314" t="s">
        <v>413</v>
      </c>
      <c r="D314" t="s">
        <v>226</v>
      </c>
      <c r="E314" t="s">
        <v>1434</v>
      </c>
      <c r="F314" t="s">
        <v>1435</v>
      </c>
      <c r="G314">
        <v>400000</v>
      </c>
      <c r="H314">
        <v>0</v>
      </c>
      <c r="I314">
        <v>400000</v>
      </c>
      <c r="J314">
        <v>0</v>
      </c>
      <c r="K314">
        <v>400000</v>
      </c>
      <c r="L314">
        <v>0</v>
      </c>
      <c r="M314">
        <v>0</v>
      </c>
      <c r="N314">
        <v>0</v>
      </c>
      <c r="O314">
        <v>0</v>
      </c>
      <c r="S314" t="s">
        <v>41</v>
      </c>
      <c r="T314" t="s">
        <v>34</v>
      </c>
      <c r="U314" t="s">
        <v>35</v>
      </c>
      <c r="V314" t="s">
        <v>1436</v>
      </c>
      <c r="X314">
        <v>400000</v>
      </c>
      <c r="Y314">
        <v>1</v>
      </c>
    </row>
    <row r="315" spans="1:25" x14ac:dyDescent="0.35">
      <c r="A315" t="s">
        <v>2091</v>
      </c>
      <c r="B315" t="s">
        <v>64</v>
      </c>
      <c r="C315" t="s">
        <v>65</v>
      </c>
      <c r="D315" t="s">
        <v>2500</v>
      </c>
      <c r="E315" t="s">
        <v>2501</v>
      </c>
      <c r="F315" t="s">
        <v>2502</v>
      </c>
      <c r="G315">
        <v>520000</v>
      </c>
      <c r="H315">
        <v>0</v>
      </c>
      <c r="I315">
        <v>520000</v>
      </c>
      <c r="J315">
        <v>0</v>
      </c>
      <c r="K315">
        <v>520000</v>
      </c>
      <c r="L315">
        <v>0</v>
      </c>
      <c r="M315">
        <v>0</v>
      </c>
      <c r="N315">
        <v>0</v>
      </c>
      <c r="O315">
        <v>0</v>
      </c>
      <c r="S315" t="s">
        <v>41</v>
      </c>
      <c r="T315" t="s">
        <v>34</v>
      </c>
      <c r="U315" t="s">
        <v>35</v>
      </c>
      <c r="V315" t="s">
        <v>2503</v>
      </c>
      <c r="X315">
        <v>520000</v>
      </c>
      <c r="Y315">
        <v>1</v>
      </c>
    </row>
    <row r="316" spans="1:25" x14ac:dyDescent="0.35">
      <c r="A316" t="s">
        <v>1444</v>
      </c>
      <c r="B316" t="s">
        <v>59</v>
      </c>
      <c r="C316" t="s">
        <v>193</v>
      </c>
      <c r="D316" t="s">
        <v>1445</v>
      </c>
      <c r="E316" t="s">
        <v>1446</v>
      </c>
      <c r="F316" t="s">
        <v>1447</v>
      </c>
      <c r="G316">
        <v>495000</v>
      </c>
      <c r="H316">
        <v>0</v>
      </c>
      <c r="I316">
        <v>495000</v>
      </c>
      <c r="J316">
        <v>0</v>
      </c>
      <c r="K316">
        <v>495000</v>
      </c>
      <c r="L316">
        <v>0</v>
      </c>
      <c r="M316">
        <v>0</v>
      </c>
      <c r="N316">
        <v>0</v>
      </c>
      <c r="O316">
        <v>0</v>
      </c>
      <c r="P316" t="s">
        <v>1448</v>
      </c>
      <c r="S316" t="s">
        <v>41</v>
      </c>
      <c r="T316" t="s">
        <v>34</v>
      </c>
      <c r="U316" t="s">
        <v>35</v>
      </c>
      <c r="V316" t="s">
        <v>1449</v>
      </c>
      <c r="X316">
        <v>495000</v>
      </c>
      <c r="Y316">
        <v>1</v>
      </c>
    </row>
    <row r="317" spans="1:25" x14ac:dyDescent="0.35">
      <c r="A317" t="s">
        <v>905</v>
      </c>
      <c r="B317" t="s">
        <v>29</v>
      </c>
      <c r="C317" t="s">
        <v>110</v>
      </c>
      <c r="D317" t="s">
        <v>226</v>
      </c>
      <c r="E317" t="s">
        <v>1450</v>
      </c>
      <c r="F317" t="s">
        <v>1451</v>
      </c>
      <c r="G317">
        <v>800000</v>
      </c>
      <c r="H317">
        <v>0</v>
      </c>
      <c r="I317">
        <v>800000</v>
      </c>
      <c r="J317">
        <v>0</v>
      </c>
      <c r="K317">
        <v>0</v>
      </c>
      <c r="L317">
        <v>0</v>
      </c>
      <c r="M317">
        <v>800000</v>
      </c>
      <c r="N317">
        <v>0</v>
      </c>
      <c r="O317">
        <v>0</v>
      </c>
      <c r="S317" t="s">
        <v>41</v>
      </c>
      <c r="T317" t="s">
        <v>34</v>
      </c>
      <c r="U317" t="s">
        <v>35</v>
      </c>
      <c r="V317" t="s">
        <v>1274</v>
      </c>
      <c r="X317">
        <v>800000</v>
      </c>
      <c r="Y317">
        <v>1</v>
      </c>
    </row>
    <row r="318" spans="1:25" x14ac:dyDescent="0.35">
      <c r="A318" t="s">
        <v>905</v>
      </c>
      <c r="B318" t="s">
        <v>29</v>
      </c>
      <c r="C318" t="s">
        <v>30</v>
      </c>
      <c r="D318" t="s">
        <v>1452</v>
      </c>
      <c r="E318" t="s">
        <v>1450</v>
      </c>
      <c r="F318" t="s">
        <v>1451</v>
      </c>
      <c r="G318">
        <v>800000</v>
      </c>
      <c r="H318">
        <v>0</v>
      </c>
      <c r="I318">
        <v>800000</v>
      </c>
      <c r="J318">
        <v>0</v>
      </c>
      <c r="K318">
        <v>0</v>
      </c>
      <c r="L318">
        <v>0</v>
      </c>
      <c r="M318">
        <v>800000</v>
      </c>
      <c r="N318">
        <v>0</v>
      </c>
      <c r="O318">
        <v>0</v>
      </c>
      <c r="P318" t="s">
        <v>1453</v>
      </c>
      <c r="Q318" t="s">
        <v>34</v>
      </c>
      <c r="R318" t="s">
        <v>34</v>
      </c>
      <c r="S318" t="s">
        <v>41</v>
      </c>
      <c r="T318" t="s">
        <v>34</v>
      </c>
      <c r="U318" t="s">
        <v>35</v>
      </c>
      <c r="V318" t="s">
        <v>1405</v>
      </c>
      <c r="X318">
        <v>800000</v>
      </c>
      <c r="Y318">
        <v>1</v>
      </c>
    </row>
    <row r="319" spans="1:25" x14ac:dyDescent="0.35">
      <c r="A319" t="s">
        <v>1454</v>
      </c>
      <c r="B319" t="s">
        <v>71</v>
      </c>
      <c r="C319" t="s">
        <v>95</v>
      </c>
      <c r="D319" t="s">
        <v>1455</v>
      </c>
      <c r="E319" t="s">
        <v>1456</v>
      </c>
      <c r="F319" t="s">
        <v>1457</v>
      </c>
      <c r="G319">
        <v>1258000</v>
      </c>
      <c r="H319">
        <v>97000</v>
      </c>
      <c r="I319">
        <v>1355000</v>
      </c>
      <c r="J319">
        <v>0</v>
      </c>
      <c r="K319">
        <v>0</v>
      </c>
      <c r="L319">
        <v>0</v>
      </c>
      <c r="M319">
        <v>1355000</v>
      </c>
      <c r="N319">
        <v>0</v>
      </c>
      <c r="O319">
        <v>0</v>
      </c>
      <c r="S319" t="s">
        <v>41</v>
      </c>
      <c r="T319" t="s">
        <v>34</v>
      </c>
      <c r="U319" t="s">
        <v>35</v>
      </c>
      <c r="V319" t="s">
        <v>1458</v>
      </c>
      <c r="X319">
        <v>629000</v>
      </c>
      <c r="Y319">
        <v>2</v>
      </c>
    </row>
    <row r="320" spans="1:25" x14ac:dyDescent="0.35">
      <c r="A320" t="s">
        <v>1220</v>
      </c>
      <c r="B320" t="s">
        <v>64</v>
      </c>
      <c r="C320" t="s">
        <v>99</v>
      </c>
      <c r="D320" t="s">
        <v>1459</v>
      </c>
      <c r="E320" t="s">
        <v>1460</v>
      </c>
      <c r="F320" t="s">
        <v>1461</v>
      </c>
      <c r="G320">
        <v>1170000</v>
      </c>
      <c r="H320">
        <v>0</v>
      </c>
      <c r="I320">
        <v>1170000</v>
      </c>
      <c r="J320">
        <v>0</v>
      </c>
      <c r="K320">
        <v>0</v>
      </c>
      <c r="L320">
        <v>0</v>
      </c>
      <c r="M320">
        <v>1170000</v>
      </c>
      <c r="N320">
        <v>0</v>
      </c>
      <c r="O320">
        <v>0</v>
      </c>
      <c r="P320" t="s">
        <v>425</v>
      </c>
      <c r="Q320" t="s">
        <v>34</v>
      </c>
      <c r="R320" t="s">
        <v>34</v>
      </c>
      <c r="S320" t="s">
        <v>41</v>
      </c>
      <c r="T320" t="s">
        <v>34</v>
      </c>
      <c r="U320" t="s">
        <v>35</v>
      </c>
      <c r="V320" t="s">
        <v>1462</v>
      </c>
      <c r="X320">
        <v>585000</v>
      </c>
      <c r="Y320">
        <v>2</v>
      </c>
    </row>
    <row r="321" spans="1:25" x14ac:dyDescent="0.35">
      <c r="A321" t="s">
        <v>2049</v>
      </c>
      <c r="B321" t="s">
        <v>71</v>
      </c>
      <c r="C321" t="s">
        <v>72</v>
      </c>
      <c r="D321" t="s">
        <v>2496</v>
      </c>
      <c r="E321" t="s">
        <v>2481</v>
      </c>
      <c r="F321" t="s">
        <v>2497</v>
      </c>
      <c r="G321">
        <v>990000</v>
      </c>
      <c r="H321">
        <v>0</v>
      </c>
      <c r="I321">
        <v>990000</v>
      </c>
      <c r="J321">
        <v>0</v>
      </c>
      <c r="K321">
        <v>990000</v>
      </c>
      <c r="L321">
        <v>0</v>
      </c>
      <c r="M321">
        <v>0</v>
      </c>
      <c r="N321">
        <v>0</v>
      </c>
      <c r="O321">
        <v>0</v>
      </c>
      <c r="P321" t="s">
        <v>34</v>
      </c>
      <c r="Q321" t="s">
        <v>34</v>
      </c>
      <c r="R321" t="s">
        <v>2498</v>
      </c>
      <c r="S321" t="s">
        <v>41</v>
      </c>
      <c r="T321" t="s">
        <v>34</v>
      </c>
      <c r="U321" t="s">
        <v>35</v>
      </c>
      <c r="V321" t="s">
        <v>2499</v>
      </c>
      <c r="X321">
        <v>990000</v>
      </c>
      <c r="Y321">
        <v>1</v>
      </c>
    </row>
    <row r="322" spans="1:25" x14ac:dyDescent="0.35">
      <c r="A322" t="s">
        <v>2082</v>
      </c>
      <c r="B322" t="s">
        <v>29</v>
      </c>
      <c r="C322" t="s">
        <v>110</v>
      </c>
      <c r="D322" t="s">
        <v>2492</v>
      </c>
      <c r="E322" t="s">
        <v>2493</v>
      </c>
      <c r="F322" t="s">
        <v>2494</v>
      </c>
      <c r="G322">
        <v>400000</v>
      </c>
      <c r="H322">
        <v>0</v>
      </c>
      <c r="I322">
        <v>400000</v>
      </c>
      <c r="J322">
        <v>0</v>
      </c>
      <c r="K322">
        <v>400000</v>
      </c>
      <c r="L322">
        <v>0</v>
      </c>
      <c r="M322">
        <v>0</v>
      </c>
      <c r="N322">
        <v>0</v>
      </c>
      <c r="O322">
        <v>0</v>
      </c>
      <c r="S322" t="s">
        <v>41</v>
      </c>
      <c r="T322" t="s">
        <v>34</v>
      </c>
      <c r="U322" t="s">
        <v>35</v>
      </c>
      <c r="V322" t="s">
        <v>2495</v>
      </c>
      <c r="X322">
        <v>400000</v>
      </c>
      <c r="Y322">
        <v>1</v>
      </c>
    </row>
    <row r="323" spans="1:25" x14ac:dyDescent="0.35">
      <c r="A323" t="s">
        <v>2049</v>
      </c>
      <c r="B323" t="s">
        <v>29</v>
      </c>
      <c r="C323" t="s">
        <v>30</v>
      </c>
      <c r="D323" t="s">
        <v>2488</v>
      </c>
      <c r="E323" t="s">
        <v>2481</v>
      </c>
      <c r="F323" t="s">
        <v>2482</v>
      </c>
      <c r="G323">
        <v>810000</v>
      </c>
      <c r="H323">
        <v>0</v>
      </c>
      <c r="I323">
        <v>810000</v>
      </c>
      <c r="J323">
        <v>0</v>
      </c>
      <c r="K323">
        <v>210000</v>
      </c>
      <c r="L323">
        <v>0</v>
      </c>
      <c r="M323">
        <v>600000</v>
      </c>
      <c r="N323">
        <v>0</v>
      </c>
      <c r="O323">
        <v>0</v>
      </c>
      <c r="P323" t="s">
        <v>2489</v>
      </c>
      <c r="Q323" t="s">
        <v>34</v>
      </c>
      <c r="R323" t="s">
        <v>2490</v>
      </c>
      <c r="S323" t="s">
        <v>41</v>
      </c>
      <c r="T323" t="s">
        <v>34</v>
      </c>
      <c r="U323" t="s">
        <v>35</v>
      </c>
      <c r="V323" t="s">
        <v>2491</v>
      </c>
      <c r="X323">
        <v>810000</v>
      </c>
      <c r="Y323">
        <v>1</v>
      </c>
    </row>
    <row r="324" spans="1:25" x14ac:dyDescent="0.35">
      <c r="A324" t="s">
        <v>1476</v>
      </c>
      <c r="B324" t="s">
        <v>64</v>
      </c>
      <c r="C324" t="s">
        <v>173</v>
      </c>
      <c r="D324" t="s">
        <v>1477</v>
      </c>
      <c r="E324" t="s">
        <v>1478</v>
      </c>
      <c r="F324" t="s">
        <v>1479</v>
      </c>
      <c r="G324">
        <v>1110000</v>
      </c>
      <c r="H324">
        <v>20000</v>
      </c>
      <c r="I324">
        <v>1130000</v>
      </c>
      <c r="J324">
        <v>0</v>
      </c>
      <c r="K324">
        <v>0</v>
      </c>
      <c r="L324">
        <v>0</v>
      </c>
      <c r="M324">
        <v>1130000</v>
      </c>
      <c r="N324">
        <v>0</v>
      </c>
      <c r="O324">
        <v>0</v>
      </c>
      <c r="P324" t="s">
        <v>1480</v>
      </c>
      <c r="Q324" t="s">
        <v>34</v>
      </c>
      <c r="R324" t="s">
        <v>1481</v>
      </c>
      <c r="S324" t="s">
        <v>41</v>
      </c>
      <c r="T324" t="s">
        <v>34</v>
      </c>
      <c r="U324" t="s">
        <v>35</v>
      </c>
      <c r="V324" t="s">
        <v>1482</v>
      </c>
      <c r="X324">
        <v>555000</v>
      </c>
      <c r="Y324">
        <v>2</v>
      </c>
    </row>
    <row r="325" spans="1:25" x14ac:dyDescent="0.35">
      <c r="A325" t="s">
        <v>1109</v>
      </c>
      <c r="B325" t="s">
        <v>64</v>
      </c>
      <c r="C325" t="s">
        <v>89</v>
      </c>
      <c r="D325" t="s">
        <v>1483</v>
      </c>
      <c r="E325" t="s">
        <v>1484</v>
      </c>
      <c r="F325" t="s">
        <v>1485</v>
      </c>
      <c r="G325">
        <v>1482000</v>
      </c>
      <c r="H325">
        <v>0</v>
      </c>
      <c r="I325">
        <v>1482000</v>
      </c>
      <c r="J325">
        <v>0</v>
      </c>
      <c r="K325">
        <v>0</v>
      </c>
      <c r="L325">
        <v>0</v>
      </c>
      <c r="M325">
        <v>1482000</v>
      </c>
      <c r="N325">
        <v>0</v>
      </c>
      <c r="O325">
        <v>0</v>
      </c>
      <c r="P325" t="s">
        <v>1486</v>
      </c>
      <c r="Q325" t="s">
        <v>34</v>
      </c>
      <c r="R325" t="s">
        <v>1487</v>
      </c>
      <c r="S325" t="s">
        <v>41</v>
      </c>
      <c r="T325" t="s">
        <v>34</v>
      </c>
      <c r="U325" t="s">
        <v>35</v>
      </c>
      <c r="V325" t="s">
        <v>1488</v>
      </c>
      <c r="X325">
        <v>494000</v>
      </c>
      <c r="Y325">
        <v>3</v>
      </c>
    </row>
    <row r="326" spans="1:25" x14ac:dyDescent="0.35">
      <c r="A326" t="s">
        <v>2049</v>
      </c>
      <c r="B326" t="s">
        <v>71</v>
      </c>
      <c r="C326" t="s">
        <v>1086</v>
      </c>
      <c r="D326" t="s">
        <v>2485</v>
      </c>
      <c r="E326" t="s">
        <v>2481</v>
      </c>
      <c r="F326" t="s">
        <v>2482</v>
      </c>
      <c r="G326">
        <v>810000</v>
      </c>
      <c r="H326">
        <v>0</v>
      </c>
      <c r="I326">
        <v>810000</v>
      </c>
      <c r="J326">
        <v>0</v>
      </c>
      <c r="K326">
        <v>160000</v>
      </c>
      <c r="L326">
        <v>0</v>
      </c>
      <c r="M326">
        <v>650000</v>
      </c>
      <c r="N326">
        <v>0</v>
      </c>
      <c r="O326">
        <v>0</v>
      </c>
      <c r="P326" t="s">
        <v>34</v>
      </c>
      <c r="Q326" t="s">
        <v>34</v>
      </c>
      <c r="R326" t="s">
        <v>2486</v>
      </c>
      <c r="S326" t="s">
        <v>41</v>
      </c>
      <c r="T326" t="s">
        <v>34</v>
      </c>
      <c r="U326" t="s">
        <v>35</v>
      </c>
      <c r="V326" t="s">
        <v>2487</v>
      </c>
      <c r="X326">
        <v>810000</v>
      </c>
      <c r="Y326">
        <v>1</v>
      </c>
    </row>
    <row r="327" spans="1:25" x14ac:dyDescent="0.35">
      <c r="A327" t="s">
        <v>1226</v>
      </c>
      <c r="B327" t="s">
        <v>59</v>
      </c>
      <c r="C327" t="s">
        <v>122</v>
      </c>
      <c r="D327" t="s">
        <v>1495</v>
      </c>
      <c r="E327" t="s">
        <v>1496</v>
      </c>
      <c r="F327" t="s">
        <v>1497</v>
      </c>
      <c r="G327">
        <v>470000</v>
      </c>
      <c r="H327">
        <v>0</v>
      </c>
      <c r="I327">
        <v>470000</v>
      </c>
      <c r="J327">
        <v>0</v>
      </c>
      <c r="K327">
        <v>0</v>
      </c>
      <c r="L327">
        <v>0</v>
      </c>
      <c r="M327">
        <v>470000</v>
      </c>
      <c r="N327">
        <v>0</v>
      </c>
      <c r="O327">
        <v>0</v>
      </c>
      <c r="P327" t="s">
        <v>1498</v>
      </c>
      <c r="Q327" t="s">
        <v>34</v>
      </c>
      <c r="R327" t="s">
        <v>34</v>
      </c>
      <c r="S327" t="s">
        <v>41</v>
      </c>
      <c r="T327" t="s">
        <v>34</v>
      </c>
      <c r="U327" t="s">
        <v>35</v>
      </c>
      <c r="V327" t="s">
        <v>1499</v>
      </c>
      <c r="X327">
        <v>470000</v>
      </c>
      <c r="Y327">
        <v>1</v>
      </c>
    </row>
    <row r="328" spans="1:25" x14ac:dyDescent="0.35">
      <c r="A328" t="s">
        <v>1156</v>
      </c>
      <c r="B328" t="s">
        <v>29</v>
      </c>
      <c r="C328" t="s">
        <v>385</v>
      </c>
      <c r="D328" t="s">
        <v>1500</v>
      </c>
      <c r="E328" t="s">
        <v>1392</v>
      </c>
      <c r="F328" t="s">
        <v>1501</v>
      </c>
      <c r="G328">
        <v>3369000</v>
      </c>
      <c r="H328">
        <v>150000</v>
      </c>
      <c r="I328">
        <v>3519000</v>
      </c>
      <c r="J328">
        <v>0</v>
      </c>
      <c r="K328">
        <v>0</v>
      </c>
      <c r="L328">
        <v>0</v>
      </c>
      <c r="M328">
        <v>3519000</v>
      </c>
      <c r="N328">
        <v>0</v>
      </c>
      <c r="O328">
        <v>0</v>
      </c>
      <c r="P328" t="s">
        <v>34</v>
      </c>
      <c r="Q328" t="s">
        <v>34</v>
      </c>
      <c r="R328" t="s">
        <v>1502</v>
      </c>
      <c r="S328" t="s">
        <v>41</v>
      </c>
      <c r="T328" t="s">
        <v>34</v>
      </c>
      <c r="U328" t="s">
        <v>35</v>
      </c>
      <c r="V328" t="s">
        <v>1503</v>
      </c>
      <c r="X328">
        <v>673800</v>
      </c>
      <c r="Y328">
        <v>5</v>
      </c>
    </row>
    <row r="329" spans="1:25" x14ac:dyDescent="0.35">
      <c r="A329" t="s">
        <v>2049</v>
      </c>
      <c r="B329" t="s">
        <v>64</v>
      </c>
      <c r="C329" t="s">
        <v>89</v>
      </c>
      <c r="D329" t="s">
        <v>2480</v>
      </c>
      <c r="E329" t="s">
        <v>2481</v>
      </c>
      <c r="F329" t="s">
        <v>2482</v>
      </c>
      <c r="G329">
        <v>710000</v>
      </c>
      <c r="H329">
        <v>0</v>
      </c>
      <c r="I329">
        <v>710000</v>
      </c>
      <c r="J329">
        <v>0</v>
      </c>
      <c r="K329">
        <v>710000</v>
      </c>
      <c r="L329">
        <v>0</v>
      </c>
      <c r="M329">
        <v>0</v>
      </c>
      <c r="N329">
        <v>0</v>
      </c>
      <c r="O329">
        <v>0</v>
      </c>
      <c r="P329" t="s">
        <v>34</v>
      </c>
      <c r="Q329" t="s">
        <v>34</v>
      </c>
      <c r="R329" t="s">
        <v>2483</v>
      </c>
      <c r="S329" t="s">
        <v>41</v>
      </c>
      <c r="T329" t="s">
        <v>34</v>
      </c>
      <c r="U329" t="s">
        <v>35</v>
      </c>
      <c r="V329" t="s">
        <v>2484</v>
      </c>
      <c r="X329">
        <v>710000</v>
      </c>
      <c r="Y329">
        <v>1</v>
      </c>
    </row>
    <row r="330" spans="1:25" x14ac:dyDescent="0.35">
      <c r="A330" t="s">
        <v>1198</v>
      </c>
      <c r="B330" t="s">
        <v>29</v>
      </c>
      <c r="C330" t="s">
        <v>43</v>
      </c>
      <c r="D330" t="s">
        <v>1509</v>
      </c>
      <c r="E330" t="s">
        <v>1510</v>
      </c>
      <c r="F330" t="s">
        <v>1501</v>
      </c>
      <c r="G330">
        <v>495000</v>
      </c>
      <c r="H330">
        <v>0</v>
      </c>
      <c r="I330">
        <v>495000</v>
      </c>
      <c r="J330">
        <v>0</v>
      </c>
      <c r="K330">
        <v>495000</v>
      </c>
      <c r="L330">
        <v>0</v>
      </c>
      <c r="M330">
        <v>0</v>
      </c>
      <c r="N330">
        <v>0</v>
      </c>
      <c r="O330">
        <v>0</v>
      </c>
      <c r="P330" t="s">
        <v>34</v>
      </c>
      <c r="Q330" t="s">
        <v>34</v>
      </c>
      <c r="R330" t="s">
        <v>34</v>
      </c>
      <c r="S330" t="s">
        <v>41</v>
      </c>
      <c r="T330" t="s">
        <v>34</v>
      </c>
      <c r="U330" t="s">
        <v>35</v>
      </c>
      <c r="V330" t="s">
        <v>1511</v>
      </c>
      <c r="X330">
        <v>495000</v>
      </c>
      <c r="Y330">
        <v>1</v>
      </c>
    </row>
    <row r="331" spans="1:25" x14ac:dyDescent="0.35">
      <c r="A331" t="s">
        <v>1203</v>
      </c>
      <c r="B331" t="s">
        <v>29</v>
      </c>
      <c r="C331" t="s">
        <v>110</v>
      </c>
      <c r="D331" t="s">
        <v>1512</v>
      </c>
      <c r="E331" t="s">
        <v>1510</v>
      </c>
      <c r="F331" t="s">
        <v>1501</v>
      </c>
      <c r="G331">
        <v>585000</v>
      </c>
      <c r="H331">
        <v>0</v>
      </c>
      <c r="I331">
        <v>585000</v>
      </c>
      <c r="J331">
        <v>0</v>
      </c>
      <c r="K331">
        <v>0</v>
      </c>
      <c r="L331">
        <v>0</v>
      </c>
      <c r="M331">
        <v>585000</v>
      </c>
      <c r="N331">
        <v>0</v>
      </c>
      <c r="O331">
        <v>0</v>
      </c>
      <c r="P331" t="s">
        <v>1513</v>
      </c>
      <c r="S331" t="s">
        <v>41</v>
      </c>
      <c r="T331" t="s">
        <v>34</v>
      </c>
      <c r="U331" t="s">
        <v>35</v>
      </c>
      <c r="V331" t="s">
        <v>1514</v>
      </c>
      <c r="X331">
        <v>585000</v>
      </c>
      <c r="Y331">
        <v>1</v>
      </c>
    </row>
    <row r="332" spans="1:25" x14ac:dyDescent="0.35">
      <c r="A332" t="s">
        <v>2047</v>
      </c>
      <c r="B332" t="s">
        <v>29</v>
      </c>
      <c r="C332" t="s">
        <v>110</v>
      </c>
      <c r="D332" t="s">
        <v>2476</v>
      </c>
      <c r="E332" t="s">
        <v>2477</v>
      </c>
      <c r="F332" t="s">
        <v>2478</v>
      </c>
      <c r="G332">
        <v>1750000</v>
      </c>
      <c r="H332">
        <v>0</v>
      </c>
      <c r="I332">
        <v>1750000</v>
      </c>
      <c r="J332">
        <v>0</v>
      </c>
      <c r="K332">
        <v>0</v>
      </c>
      <c r="L332">
        <v>0</v>
      </c>
      <c r="M332">
        <v>1750000</v>
      </c>
      <c r="N332">
        <v>0</v>
      </c>
      <c r="O332">
        <v>0</v>
      </c>
      <c r="P332" t="s">
        <v>34</v>
      </c>
      <c r="Q332" t="s">
        <v>34</v>
      </c>
      <c r="R332" t="s">
        <v>34</v>
      </c>
      <c r="S332" t="s">
        <v>41</v>
      </c>
      <c r="T332" t="s">
        <v>34</v>
      </c>
      <c r="U332" t="s">
        <v>35</v>
      </c>
      <c r="V332" t="s">
        <v>2479</v>
      </c>
      <c r="X332">
        <v>875000</v>
      </c>
      <c r="Y332">
        <v>2</v>
      </c>
    </row>
    <row r="333" spans="1:25" x14ac:dyDescent="0.35">
      <c r="A333" t="s">
        <v>1519</v>
      </c>
      <c r="B333" t="s">
        <v>29</v>
      </c>
      <c r="C333" t="s">
        <v>30</v>
      </c>
      <c r="D333" t="s">
        <v>1520</v>
      </c>
      <c r="E333" t="s">
        <v>1521</v>
      </c>
      <c r="F333" t="s">
        <v>1522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S333" t="s">
        <v>41</v>
      </c>
      <c r="T333" t="s">
        <v>34</v>
      </c>
      <c r="U333" t="s">
        <v>35</v>
      </c>
      <c r="V333" t="s">
        <v>1523</v>
      </c>
      <c r="X333">
        <v>0</v>
      </c>
      <c r="Y333">
        <v>1</v>
      </c>
    </row>
    <row r="334" spans="1:25" x14ac:dyDescent="0.35">
      <c r="A334" t="s">
        <v>1524</v>
      </c>
      <c r="B334" t="s">
        <v>59</v>
      </c>
      <c r="C334" t="s">
        <v>193</v>
      </c>
      <c r="D334" t="s">
        <v>1512</v>
      </c>
      <c r="E334" t="s">
        <v>1525</v>
      </c>
      <c r="F334" t="s">
        <v>1526</v>
      </c>
      <c r="G334">
        <v>585000</v>
      </c>
      <c r="H334">
        <v>20000</v>
      </c>
      <c r="I334">
        <v>605000</v>
      </c>
      <c r="J334">
        <v>0</v>
      </c>
      <c r="K334">
        <v>20000</v>
      </c>
      <c r="L334">
        <v>0</v>
      </c>
      <c r="M334">
        <v>585000</v>
      </c>
      <c r="N334">
        <v>0</v>
      </c>
      <c r="O334">
        <v>0</v>
      </c>
      <c r="S334" t="s">
        <v>41</v>
      </c>
      <c r="T334" t="s">
        <v>34</v>
      </c>
      <c r="U334" t="s">
        <v>35</v>
      </c>
      <c r="V334" t="s">
        <v>1527</v>
      </c>
      <c r="X334">
        <v>585000</v>
      </c>
      <c r="Y334">
        <v>1</v>
      </c>
    </row>
    <row r="335" spans="1:25" x14ac:dyDescent="0.35">
      <c r="A335" t="s">
        <v>1528</v>
      </c>
      <c r="B335" t="s">
        <v>29</v>
      </c>
      <c r="C335" t="s">
        <v>30</v>
      </c>
      <c r="D335" t="s">
        <v>1520</v>
      </c>
      <c r="E335" t="s">
        <v>1529</v>
      </c>
      <c r="F335" t="s">
        <v>1530</v>
      </c>
      <c r="G335">
        <v>350000</v>
      </c>
      <c r="H335">
        <v>0</v>
      </c>
      <c r="I335">
        <v>350000</v>
      </c>
      <c r="J335">
        <v>0</v>
      </c>
      <c r="K335">
        <v>350000</v>
      </c>
      <c r="L335">
        <v>0</v>
      </c>
      <c r="M335">
        <v>0</v>
      </c>
      <c r="N335">
        <v>0</v>
      </c>
      <c r="O335">
        <v>0</v>
      </c>
      <c r="S335" t="s">
        <v>41</v>
      </c>
      <c r="T335" t="s">
        <v>34</v>
      </c>
      <c r="U335" t="s">
        <v>35</v>
      </c>
      <c r="V335" t="s">
        <v>1531</v>
      </c>
      <c r="X335">
        <v>350000</v>
      </c>
      <c r="Y335">
        <v>1</v>
      </c>
    </row>
    <row r="336" spans="1:25" x14ac:dyDescent="0.35">
      <c r="A336" t="s">
        <v>1263</v>
      </c>
      <c r="B336" t="s">
        <v>59</v>
      </c>
      <c r="C336" t="s">
        <v>60</v>
      </c>
      <c r="D336" t="s">
        <v>1532</v>
      </c>
      <c r="E336" t="s">
        <v>1533</v>
      </c>
      <c r="F336" t="s">
        <v>1534</v>
      </c>
      <c r="G336">
        <v>495000</v>
      </c>
      <c r="H336">
        <v>0</v>
      </c>
      <c r="I336">
        <v>495000</v>
      </c>
      <c r="J336">
        <v>0</v>
      </c>
      <c r="K336">
        <v>0</v>
      </c>
      <c r="L336">
        <v>0</v>
      </c>
      <c r="M336">
        <v>495000</v>
      </c>
      <c r="N336">
        <v>0</v>
      </c>
      <c r="O336">
        <v>0</v>
      </c>
      <c r="S336" t="s">
        <v>41</v>
      </c>
      <c r="T336" t="s">
        <v>34</v>
      </c>
      <c r="U336" t="s">
        <v>35</v>
      </c>
      <c r="V336" t="s">
        <v>1535</v>
      </c>
      <c r="X336">
        <v>495000</v>
      </c>
      <c r="Y336">
        <v>1</v>
      </c>
    </row>
    <row r="337" spans="1:25" x14ac:dyDescent="0.35">
      <c r="A337" t="s">
        <v>1536</v>
      </c>
      <c r="B337" t="s">
        <v>29</v>
      </c>
      <c r="C337" t="s">
        <v>110</v>
      </c>
      <c r="D337" t="s">
        <v>1537</v>
      </c>
      <c r="E337" t="s">
        <v>1538</v>
      </c>
      <c r="F337" t="s">
        <v>1539</v>
      </c>
      <c r="G337">
        <v>899000</v>
      </c>
      <c r="H337">
        <v>0</v>
      </c>
      <c r="I337">
        <v>899000</v>
      </c>
      <c r="J337">
        <v>0</v>
      </c>
      <c r="K337">
        <v>0</v>
      </c>
      <c r="L337">
        <v>0</v>
      </c>
      <c r="M337">
        <v>0</v>
      </c>
      <c r="N337">
        <v>899000</v>
      </c>
      <c r="O337">
        <v>0</v>
      </c>
      <c r="P337" t="s">
        <v>34</v>
      </c>
      <c r="Q337" t="s">
        <v>34</v>
      </c>
      <c r="R337" t="s">
        <v>1540</v>
      </c>
      <c r="S337" t="s">
        <v>41</v>
      </c>
      <c r="T337" t="s">
        <v>34</v>
      </c>
      <c r="U337" t="s">
        <v>35</v>
      </c>
      <c r="V337" t="s">
        <v>1541</v>
      </c>
      <c r="X337">
        <v>899000</v>
      </c>
      <c r="Y337">
        <v>1</v>
      </c>
    </row>
    <row r="338" spans="1:25" x14ac:dyDescent="0.35">
      <c r="A338" t="s">
        <v>1179</v>
      </c>
      <c r="B338" t="s">
        <v>71</v>
      </c>
      <c r="C338" t="s">
        <v>95</v>
      </c>
      <c r="D338" t="s">
        <v>1416</v>
      </c>
      <c r="E338" t="s">
        <v>1542</v>
      </c>
      <c r="F338" t="s">
        <v>1543</v>
      </c>
      <c r="G338">
        <v>1100000</v>
      </c>
      <c r="H338">
        <v>0</v>
      </c>
      <c r="I338">
        <v>1100000</v>
      </c>
      <c r="J338">
        <v>0</v>
      </c>
      <c r="K338">
        <v>1100000</v>
      </c>
      <c r="L338">
        <v>0</v>
      </c>
      <c r="M338">
        <v>0</v>
      </c>
      <c r="N338">
        <v>0</v>
      </c>
      <c r="O338">
        <v>0</v>
      </c>
      <c r="P338" t="s">
        <v>1419</v>
      </c>
      <c r="Q338" t="s">
        <v>34</v>
      </c>
      <c r="R338" t="s">
        <v>1420</v>
      </c>
      <c r="S338" t="s">
        <v>41</v>
      </c>
      <c r="T338" t="s">
        <v>34</v>
      </c>
      <c r="U338" t="s">
        <v>35</v>
      </c>
      <c r="V338" t="s">
        <v>83</v>
      </c>
      <c r="X338">
        <v>550000</v>
      </c>
      <c r="Y338">
        <v>2</v>
      </c>
    </row>
    <row r="339" spans="1:25" x14ac:dyDescent="0.35">
      <c r="A339" t="s">
        <v>1544</v>
      </c>
      <c r="B339" t="s">
        <v>71</v>
      </c>
      <c r="C339" t="s">
        <v>72</v>
      </c>
      <c r="D339" t="s">
        <v>571</v>
      </c>
      <c r="E339" t="s">
        <v>1545</v>
      </c>
      <c r="F339" t="s">
        <v>1546</v>
      </c>
      <c r="G339">
        <v>580000</v>
      </c>
      <c r="H339">
        <v>0</v>
      </c>
      <c r="I339">
        <v>580000</v>
      </c>
      <c r="J339">
        <v>0</v>
      </c>
      <c r="K339">
        <v>580000</v>
      </c>
      <c r="L339">
        <v>0</v>
      </c>
      <c r="M339">
        <v>0</v>
      </c>
      <c r="N339">
        <v>0</v>
      </c>
      <c r="O339">
        <v>0</v>
      </c>
      <c r="P339" t="s">
        <v>574</v>
      </c>
      <c r="Q339" t="s">
        <v>34</v>
      </c>
      <c r="R339" t="s">
        <v>34</v>
      </c>
      <c r="S339" t="s">
        <v>41</v>
      </c>
      <c r="T339" t="s">
        <v>34</v>
      </c>
      <c r="U339" t="s">
        <v>35</v>
      </c>
      <c r="V339" t="s">
        <v>1547</v>
      </c>
      <c r="X339">
        <v>580000</v>
      </c>
      <c r="Y339">
        <v>1</v>
      </c>
    </row>
    <row r="340" spans="1:25" x14ac:dyDescent="0.35">
      <c r="A340" t="s">
        <v>2381</v>
      </c>
      <c r="B340" t="s">
        <v>59</v>
      </c>
      <c r="C340" t="s">
        <v>60</v>
      </c>
      <c r="D340" t="s">
        <v>1914</v>
      </c>
      <c r="E340" t="s">
        <v>2467</v>
      </c>
      <c r="F340" t="s">
        <v>2468</v>
      </c>
      <c r="G340">
        <v>780000</v>
      </c>
      <c r="H340">
        <v>30000</v>
      </c>
      <c r="I340">
        <v>810000</v>
      </c>
      <c r="J340">
        <v>0</v>
      </c>
      <c r="K340">
        <v>0</v>
      </c>
      <c r="L340">
        <v>0</v>
      </c>
      <c r="M340">
        <v>810000</v>
      </c>
      <c r="N340">
        <v>0</v>
      </c>
      <c r="O340">
        <v>0</v>
      </c>
      <c r="P340" t="s">
        <v>34</v>
      </c>
      <c r="Q340" t="s">
        <v>34</v>
      </c>
      <c r="R340" t="s">
        <v>1917</v>
      </c>
      <c r="S340" t="s">
        <v>41</v>
      </c>
      <c r="T340" t="s">
        <v>34</v>
      </c>
      <c r="U340" t="s">
        <v>35</v>
      </c>
      <c r="V340" t="s">
        <v>2469</v>
      </c>
      <c r="X340">
        <v>780000</v>
      </c>
      <c r="Y340">
        <v>1</v>
      </c>
    </row>
    <row r="341" spans="1:25" x14ac:dyDescent="0.35">
      <c r="A341" t="s">
        <v>2063</v>
      </c>
      <c r="B341" t="s">
        <v>59</v>
      </c>
      <c r="C341" t="s">
        <v>193</v>
      </c>
      <c r="D341" t="s">
        <v>2458</v>
      </c>
      <c r="E341" t="s">
        <v>2459</v>
      </c>
      <c r="F341" t="s">
        <v>2456</v>
      </c>
      <c r="G341">
        <v>649000</v>
      </c>
      <c r="H341">
        <v>0</v>
      </c>
      <c r="I341">
        <v>649000</v>
      </c>
      <c r="J341">
        <v>0</v>
      </c>
      <c r="K341">
        <v>649000</v>
      </c>
      <c r="L341">
        <v>0</v>
      </c>
      <c r="M341">
        <v>0</v>
      </c>
      <c r="N341">
        <v>0</v>
      </c>
      <c r="O341">
        <v>0</v>
      </c>
      <c r="P341" t="s">
        <v>34</v>
      </c>
      <c r="Q341" t="s">
        <v>34</v>
      </c>
      <c r="R341" t="s">
        <v>2460</v>
      </c>
      <c r="S341" t="s">
        <v>41</v>
      </c>
      <c r="T341" t="s">
        <v>34</v>
      </c>
      <c r="U341" t="s">
        <v>35</v>
      </c>
      <c r="V341" t="s">
        <v>2461</v>
      </c>
      <c r="X341">
        <v>649000</v>
      </c>
      <c r="Y341">
        <v>1</v>
      </c>
    </row>
    <row r="342" spans="1:25" x14ac:dyDescent="0.35">
      <c r="A342" t="s">
        <v>1256</v>
      </c>
      <c r="B342" t="s">
        <v>64</v>
      </c>
      <c r="C342" t="s">
        <v>173</v>
      </c>
      <c r="D342" t="s">
        <v>1558</v>
      </c>
      <c r="E342" t="s">
        <v>1559</v>
      </c>
      <c r="F342" t="s">
        <v>1560</v>
      </c>
      <c r="G342">
        <v>830000</v>
      </c>
      <c r="H342">
        <v>0</v>
      </c>
      <c r="I342">
        <v>830000</v>
      </c>
      <c r="J342">
        <v>0</v>
      </c>
      <c r="K342">
        <v>530000</v>
      </c>
      <c r="L342">
        <v>0</v>
      </c>
      <c r="M342">
        <v>300000</v>
      </c>
      <c r="N342">
        <v>0</v>
      </c>
      <c r="O342">
        <v>0</v>
      </c>
      <c r="P342" t="s">
        <v>1561</v>
      </c>
      <c r="Q342" t="s">
        <v>34</v>
      </c>
      <c r="R342" t="s">
        <v>1562</v>
      </c>
      <c r="S342" t="s">
        <v>41</v>
      </c>
      <c r="T342" t="s">
        <v>34</v>
      </c>
      <c r="U342" t="s">
        <v>35</v>
      </c>
      <c r="V342" t="s">
        <v>1563</v>
      </c>
      <c r="X342">
        <v>830000</v>
      </c>
      <c r="Y342">
        <v>1</v>
      </c>
    </row>
    <row r="343" spans="1:25" x14ac:dyDescent="0.35">
      <c r="A343" t="s">
        <v>2087</v>
      </c>
      <c r="B343" t="s">
        <v>64</v>
      </c>
      <c r="C343" t="s">
        <v>65</v>
      </c>
      <c r="D343" t="s">
        <v>376</v>
      </c>
      <c r="E343" t="s">
        <v>2455</v>
      </c>
      <c r="F343" t="s">
        <v>2456</v>
      </c>
      <c r="G343">
        <v>1000000</v>
      </c>
      <c r="H343">
        <v>0</v>
      </c>
      <c r="I343">
        <v>1000000</v>
      </c>
      <c r="J343">
        <v>0</v>
      </c>
      <c r="K343">
        <v>1000000</v>
      </c>
      <c r="L343">
        <v>0</v>
      </c>
      <c r="M343">
        <v>0</v>
      </c>
      <c r="N343">
        <v>0</v>
      </c>
      <c r="O343">
        <v>0</v>
      </c>
      <c r="P343" t="s">
        <v>378</v>
      </c>
      <c r="Q343" t="s">
        <v>34</v>
      </c>
      <c r="R343" t="s">
        <v>34</v>
      </c>
      <c r="S343" t="s">
        <v>41</v>
      </c>
      <c r="T343" t="s">
        <v>34</v>
      </c>
      <c r="U343" t="s">
        <v>35</v>
      </c>
      <c r="V343" t="s">
        <v>2457</v>
      </c>
      <c r="X343">
        <v>500000</v>
      </c>
      <c r="Y343">
        <v>2</v>
      </c>
    </row>
    <row r="344" spans="1:25" x14ac:dyDescent="0.35">
      <c r="A344" t="s">
        <v>1273</v>
      </c>
      <c r="B344" t="s">
        <v>64</v>
      </c>
      <c r="C344" t="s">
        <v>76</v>
      </c>
      <c r="D344" t="s">
        <v>1570</v>
      </c>
      <c r="E344" t="s">
        <v>1571</v>
      </c>
      <c r="F344" t="s">
        <v>1572</v>
      </c>
      <c r="G344">
        <v>1500000</v>
      </c>
      <c r="H344">
        <v>0</v>
      </c>
      <c r="I344">
        <v>1500000</v>
      </c>
      <c r="J344">
        <v>0</v>
      </c>
      <c r="K344">
        <v>0</v>
      </c>
      <c r="L344">
        <v>0</v>
      </c>
      <c r="M344">
        <v>1500000</v>
      </c>
      <c r="N344">
        <v>0</v>
      </c>
      <c r="O344">
        <v>0</v>
      </c>
      <c r="P344" t="s">
        <v>1573</v>
      </c>
      <c r="Q344" t="s">
        <v>34</v>
      </c>
      <c r="R344" t="s">
        <v>1574</v>
      </c>
      <c r="S344" t="s">
        <v>41</v>
      </c>
      <c r="T344" t="s">
        <v>34</v>
      </c>
      <c r="U344" t="s">
        <v>35</v>
      </c>
      <c r="V344" t="s">
        <v>1575</v>
      </c>
      <c r="X344">
        <v>500000</v>
      </c>
      <c r="Y344">
        <v>3</v>
      </c>
    </row>
    <row r="345" spans="1:25" x14ac:dyDescent="0.35">
      <c r="A345" t="s">
        <v>2448</v>
      </c>
      <c r="B345" t="s">
        <v>64</v>
      </c>
      <c r="C345" t="s">
        <v>89</v>
      </c>
      <c r="D345" t="s">
        <v>2449</v>
      </c>
      <c r="E345" t="s">
        <v>2450</v>
      </c>
      <c r="F345" t="s">
        <v>2446</v>
      </c>
      <c r="G345">
        <v>649000</v>
      </c>
      <c r="H345">
        <v>0</v>
      </c>
      <c r="I345">
        <v>616550</v>
      </c>
      <c r="J345">
        <v>0</v>
      </c>
      <c r="K345">
        <v>300000</v>
      </c>
      <c r="L345">
        <v>0</v>
      </c>
      <c r="M345">
        <v>316550</v>
      </c>
      <c r="N345">
        <v>0</v>
      </c>
      <c r="O345">
        <v>0</v>
      </c>
      <c r="P345" t="s">
        <v>2451</v>
      </c>
      <c r="Q345" t="s">
        <v>2452</v>
      </c>
      <c r="R345" t="s">
        <v>34</v>
      </c>
      <c r="S345" t="s">
        <v>41</v>
      </c>
      <c r="T345" t="s">
        <v>34</v>
      </c>
      <c r="U345" t="s">
        <v>35</v>
      </c>
      <c r="V345" t="s">
        <v>2453</v>
      </c>
      <c r="W345" t="s">
        <v>2454</v>
      </c>
      <c r="X345">
        <v>649000</v>
      </c>
      <c r="Y345">
        <v>1</v>
      </c>
    </row>
    <row r="346" spans="1:25" x14ac:dyDescent="0.35">
      <c r="A346" t="s">
        <v>1580</v>
      </c>
      <c r="B346" t="s">
        <v>64</v>
      </c>
      <c r="C346" t="s">
        <v>89</v>
      </c>
      <c r="D346" t="s">
        <v>1581</v>
      </c>
      <c r="E346" t="s">
        <v>1582</v>
      </c>
      <c r="F346" t="s">
        <v>1578</v>
      </c>
      <c r="G346">
        <v>1592800</v>
      </c>
      <c r="H346">
        <v>0</v>
      </c>
      <c r="I346">
        <v>1483000</v>
      </c>
      <c r="J346">
        <v>0</v>
      </c>
      <c r="K346">
        <v>0</v>
      </c>
      <c r="L346">
        <v>0</v>
      </c>
      <c r="M346">
        <v>1483000</v>
      </c>
      <c r="N346">
        <v>0</v>
      </c>
      <c r="O346">
        <v>0</v>
      </c>
      <c r="P346" t="s">
        <v>1583</v>
      </c>
      <c r="Q346" t="s">
        <v>1584</v>
      </c>
      <c r="R346" t="s">
        <v>1585</v>
      </c>
      <c r="S346" t="s">
        <v>41</v>
      </c>
      <c r="T346" t="s">
        <v>34</v>
      </c>
      <c r="U346" t="s">
        <v>35</v>
      </c>
      <c r="V346" t="s">
        <v>1580</v>
      </c>
      <c r="W346" t="s">
        <v>1586</v>
      </c>
      <c r="X346">
        <v>530933.33330000006</v>
      </c>
      <c r="Y346">
        <v>3</v>
      </c>
    </row>
    <row r="347" spans="1:25" x14ac:dyDescent="0.35">
      <c r="A347" t="s">
        <v>1231</v>
      </c>
      <c r="B347" t="s">
        <v>59</v>
      </c>
      <c r="C347" t="s">
        <v>122</v>
      </c>
      <c r="D347" t="s">
        <v>258</v>
      </c>
      <c r="E347" t="s">
        <v>1587</v>
      </c>
      <c r="F347" t="s">
        <v>1588</v>
      </c>
      <c r="G347">
        <v>1755000</v>
      </c>
      <c r="H347">
        <v>0</v>
      </c>
      <c r="I347">
        <v>1755000</v>
      </c>
      <c r="J347">
        <v>0</v>
      </c>
      <c r="K347">
        <v>1755000</v>
      </c>
      <c r="L347">
        <v>0</v>
      </c>
      <c r="M347">
        <v>0</v>
      </c>
      <c r="N347">
        <v>0</v>
      </c>
      <c r="O347">
        <v>0</v>
      </c>
      <c r="S347" t="s">
        <v>41</v>
      </c>
      <c r="T347" t="s">
        <v>34</v>
      </c>
      <c r="U347" t="s">
        <v>35</v>
      </c>
      <c r="V347" t="s">
        <v>1589</v>
      </c>
      <c r="X347">
        <v>585000</v>
      </c>
      <c r="Y347">
        <v>3</v>
      </c>
    </row>
    <row r="348" spans="1:25" x14ac:dyDescent="0.35">
      <c r="A348" t="s">
        <v>1285</v>
      </c>
      <c r="B348" t="s">
        <v>71</v>
      </c>
      <c r="C348" t="s">
        <v>1086</v>
      </c>
      <c r="D348" t="s">
        <v>1500</v>
      </c>
      <c r="E348" t="s">
        <v>1590</v>
      </c>
      <c r="F348" t="s">
        <v>1591</v>
      </c>
      <c r="G348">
        <v>629000</v>
      </c>
      <c r="H348">
        <v>25000</v>
      </c>
      <c r="I348">
        <v>654000</v>
      </c>
      <c r="J348">
        <v>0</v>
      </c>
      <c r="K348">
        <v>0</v>
      </c>
      <c r="L348">
        <v>0</v>
      </c>
      <c r="M348">
        <v>654000</v>
      </c>
      <c r="N348">
        <v>0</v>
      </c>
      <c r="O348">
        <v>0</v>
      </c>
      <c r="P348" t="s">
        <v>34</v>
      </c>
      <c r="Q348" t="s">
        <v>34</v>
      </c>
      <c r="R348" t="s">
        <v>1502</v>
      </c>
      <c r="S348" t="s">
        <v>41</v>
      </c>
      <c r="T348" t="s">
        <v>34</v>
      </c>
      <c r="U348" t="s">
        <v>35</v>
      </c>
      <c r="V348" t="s">
        <v>1592</v>
      </c>
      <c r="X348">
        <v>629000</v>
      </c>
      <c r="Y348">
        <v>1</v>
      </c>
    </row>
    <row r="349" spans="1:25" x14ac:dyDescent="0.35">
      <c r="A349" t="s">
        <v>1043</v>
      </c>
      <c r="B349" t="s">
        <v>64</v>
      </c>
      <c r="C349" t="s">
        <v>99</v>
      </c>
      <c r="D349" t="s">
        <v>1593</v>
      </c>
      <c r="E349" t="s">
        <v>1594</v>
      </c>
      <c r="F349" t="s">
        <v>1595</v>
      </c>
      <c r="G349">
        <v>1800000</v>
      </c>
      <c r="H349">
        <v>0</v>
      </c>
      <c r="I349">
        <v>1800000</v>
      </c>
      <c r="J349">
        <v>0</v>
      </c>
      <c r="K349">
        <v>1800000</v>
      </c>
      <c r="L349">
        <v>0</v>
      </c>
      <c r="M349">
        <v>0</v>
      </c>
      <c r="N349">
        <v>0</v>
      </c>
      <c r="O349">
        <v>0</v>
      </c>
      <c r="S349" t="s">
        <v>41</v>
      </c>
      <c r="T349" t="s">
        <v>34</v>
      </c>
      <c r="U349" t="s">
        <v>35</v>
      </c>
      <c r="V349" t="s">
        <v>1596</v>
      </c>
      <c r="X349">
        <v>450000</v>
      </c>
      <c r="Y349">
        <v>4</v>
      </c>
    </row>
    <row r="350" spans="1:25" x14ac:dyDescent="0.35">
      <c r="A350" t="s">
        <v>1043</v>
      </c>
      <c r="B350" t="s">
        <v>59</v>
      </c>
      <c r="C350" t="s">
        <v>182</v>
      </c>
      <c r="D350" t="s">
        <v>226</v>
      </c>
      <c r="E350" t="s">
        <v>1594</v>
      </c>
      <c r="F350" t="s">
        <v>1595</v>
      </c>
      <c r="G350">
        <v>2140000</v>
      </c>
      <c r="H350">
        <v>0</v>
      </c>
      <c r="I350">
        <v>2140000</v>
      </c>
      <c r="J350">
        <v>0</v>
      </c>
      <c r="K350">
        <v>2140000</v>
      </c>
      <c r="L350">
        <v>0</v>
      </c>
      <c r="M350">
        <v>0</v>
      </c>
      <c r="N350">
        <v>0</v>
      </c>
      <c r="O350">
        <v>0</v>
      </c>
      <c r="S350" t="s">
        <v>41</v>
      </c>
      <c r="T350" t="s">
        <v>34</v>
      </c>
      <c r="U350" t="s">
        <v>35</v>
      </c>
      <c r="V350" t="s">
        <v>1597</v>
      </c>
      <c r="X350">
        <v>535000</v>
      </c>
      <c r="Y350">
        <v>4</v>
      </c>
    </row>
    <row r="351" spans="1:25" x14ac:dyDescent="0.35">
      <c r="A351" t="s">
        <v>1279</v>
      </c>
      <c r="B351" t="s">
        <v>29</v>
      </c>
      <c r="C351" t="s">
        <v>43</v>
      </c>
      <c r="D351" t="s">
        <v>1598</v>
      </c>
      <c r="E351" t="s">
        <v>1599</v>
      </c>
      <c r="F351" t="s">
        <v>1600</v>
      </c>
      <c r="G351">
        <v>800000</v>
      </c>
      <c r="H351">
        <v>50000</v>
      </c>
      <c r="I351">
        <v>850000</v>
      </c>
      <c r="J351">
        <v>0</v>
      </c>
      <c r="K351">
        <v>850000</v>
      </c>
      <c r="L351">
        <v>0</v>
      </c>
      <c r="M351">
        <v>0</v>
      </c>
      <c r="N351">
        <v>0</v>
      </c>
      <c r="O351">
        <v>0</v>
      </c>
      <c r="S351" t="s">
        <v>41</v>
      </c>
      <c r="T351" t="s">
        <v>34</v>
      </c>
      <c r="U351" t="s">
        <v>35</v>
      </c>
      <c r="V351" t="s">
        <v>1601</v>
      </c>
      <c r="X351">
        <v>800000</v>
      </c>
      <c r="Y351">
        <v>1</v>
      </c>
    </row>
    <row r="352" spans="1:25" x14ac:dyDescent="0.35">
      <c r="A352" t="s">
        <v>2037</v>
      </c>
      <c r="B352" t="s">
        <v>71</v>
      </c>
      <c r="C352" t="s">
        <v>95</v>
      </c>
      <c r="D352" t="s">
        <v>2444</v>
      </c>
      <c r="E352" t="s">
        <v>2445</v>
      </c>
      <c r="F352" t="s">
        <v>2446</v>
      </c>
      <c r="G352">
        <v>1800000</v>
      </c>
      <c r="H352">
        <v>65000</v>
      </c>
      <c r="I352">
        <v>1865000</v>
      </c>
      <c r="J352">
        <v>0</v>
      </c>
      <c r="K352">
        <v>500000</v>
      </c>
      <c r="L352">
        <v>0</v>
      </c>
      <c r="M352">
        <v>0</v>
      </c>
      <c r="N352">
        <v>1365000</v>
      </c>
      <c r="O352">
        <v>0</v>
      </c>
      <c r="P352" t="s">
        <v>34</v>
      </c>
      <c r="Q352" t="s">
        <v>34</v>
      </c>
      <c r="R352" t="s">
        <v>34</v>
      </c>
      <c r="S352" t="s">
        <v>41</v>
      </c>
      <c r="T352" t="s">
        <v>34</v>
      </c>
      <c r="U352" t="s">
        <v>35</v>
      </c>
      <c r="V352" t="s">
        <v>2447</v>
      </c>
      <c r="X352">
        <v>600000</v>
      </c>
      <c r="Y352">
        <v>3</v>
      </c>
    </row>
    <row r="353" spans="1:25" x14ac:dyDescent="0.35">
      <c r="A353" t="s">
        <v>2434</v>
      </c>
      <c r="B353" t="s">
        <v>59</v>
      </c>
      <c r="C353" t="s">
        <v>60</v>
      </c>
      <c r="D353" t="s">
        <v>226</v>
      </c>
      <c r="E353" t="s">
        <v>2442</v>
      </c>
      <c r="F353" t="s">
        <v>2439</v>
      </c>
      <c r="G353">
        <v>550000</v>
      </c>
      <c r="H353">
        <v>0</v>
      </c>
      <c r="I353">
        <v>550000</v>
      </c>
      <c r="J353">
        <v>0</v>
      </c>
      <c r="K353">
        <v>550000</v>
      </c>
      <c r="L353">
        <v>0</v>
      </c>
      <c r="M353">
        <v>0</v>
      </c>
      <c r="N353">
        <v>0</v>
      </c>
      <c r="O353">
        <v>0</v>
      </c>
      <c r="P353" t="s">
        <v>34</v>
      </c>
      <c r="Q353" t="s">
        <v>34</v>
      </c>
      <c r="R353" t="s">
        <v>34</v>
      </c>
      <c r="S353" t="s">
        <v>41</v>
      </c>
      <c r="T353" t="s">
        <v>34</v>
      </c>
      <c r="U353" t="s">
        <v>35</v>
      </c>
      <c r="V353" t="s">
        <v>2443</v>
      </c>
      <c r="X353">
        <v>550000</v>
      </c>
      <c r="Y353">
        <v>1</v>
      </c>
    </row>
    <row r="354" spans="1:25" x14ac:dyDescent="0.35">
      <c r="A354" t="s">
        <v>1709</v>
      </c>
      <c r="B354" t="s">
        <v>64</v>
      </c>
      <c r="C354" t="s">
        <v>89</v>
      </c>
      <c r="D354" t="s">
        <v>226</v>
      </c>
      <c r="E354" t="s">
        <v>2440</v>
      </c>
      <c r="F354" t="s">
        <v>2439</v>
      </c>
      <c r="G354">
        <v>650000</v>
      </c>
      <c r="H354">
        <v>0</v>
      </c>
      <c r="I354">
        <v>650000</v>
      </c>
      <c r="J354">
        <v>0</v>
      </c>
      <c r="K354">
        <v>0</v>
      </c>
      <c r="L354">
        <v>0</v>
      </c>
      <c r="M354">
        <v>650000</v>
      </c>
      <c r="N354">
        <v>0</v>
      </c>
      <c r="O354">
        <v>0</v>
      </c>
      <c r="P354" t="s">
        <v>34</v>
      </c>
      <c r="Q354" t="s">
        <v>34</v>
      </c>
      <c r="R354" t="s">
        <v>34</v>
      </c>
      <c r="S354" t="s">
        <v>41</v>
      </c>
      <c r="T354" t="s">
        <v>34</v>
      </c>
      <c r="U354" t="s">
        <v>35</v>
      </c>
      <c r="V354" t="s">
        <v>2441</v>
      </c>
      <c r="X354">
        <v>650000</v>
      </c>
      <c r="Y354">
        <v>1</v>
      </c>
    </row>
    <row r="355" spans="1:25" x14ac:dyDescent="0.35">
      <c r="A355" t="s">
        <v>1240</v>
      </c>
      <c r="B355" t="s">
        <v>29</v>
      </c>
      <c r="C355" t="s">
        <v>385</v>
      </c>
      <c r="D355" t="s">
        <v>1616</v>
      </c>
      <c r="E355" t="s">
        <v>1617</v>
      </c>
      <c r="F355" t="s">
        <v>1603</v>
      </c>
      <c r="G355">
        <v>495000</v>
      </c>
      <c r="H355">
        <v>0</v>
      </c>
      <c r="I355">
        <v>495000</v>
      </c>
      <c r="J355">
        <v>0</v>
      </c>
      <c r="K355">
        <v>0</v>
      </c>
      <c r="L355">
        <v>0</v>
      </c>
      <c r="M355">
        <v>495000</v>
      </c>
      <c r="N355">
        <v>0</v>
      </c>
      <c r="O355">
        <v>0</v>
      </c>
      <c r="P355" t="s">
        <v>1618</v>
      </c>
      <c r="Q355" t="s">
        <v>34</v>
      </c>
      <c r="R355" t="s">
        <v>34</v>
      </c>
      <c r="S355" t="s">
        <v>41</v>
      </c>
      <c r="T355" t="s">
        <v>34</v>
      </c>
      <c r="U355" t="s">
        <v>35</v>
      </c>
      <c r="V355" t="s">
        <v>1619</v>
      </c>
      <c r="X355">
        <v>495000</v>
      </c>
      <c r="Y355">
        <v>1</v>
      </c>
    </row>
    <row r="356" spans="1:25" x14ac:dyDescent="0.35">
      <c r="A356" t="s">
        <v>2434</v>
      </c>
      <c r="B356" t="s">
        <v>59</v>
      </c>
      <c r="C356" t="s">
        <v>182</v>
      </c>
      <c r="D356" t="s">
        <v>2435</v>
      </c>
      <c r="E356" t="s">
        <v>2436</v>
      </c>
      <c r="F356" t="s">
        <v>2432</v>
      </c>
      <c r="G356">
        <v>1100000</v>
      </c>
      <c r="H356">
        <v>0</v>
      </c>
      <c r="I356">
        <v>1100000</v>
      </c>
      <c r="J356">
        <v>0</v>
      </c>
      <c r="K356">
        <v>500000</v>
      </c>
      <c r="L356">
        <v>0</v>
      </c>
      <c r="M356">
        <v>600000</v>
      </c>
      <c r="N356">
        <v>0</v>
      </c>
      <c r="O356">
        <v>0</v>
      </c>
      <c r="P356" t="s">
        <v>34</v>
      </c>
      <c r="Q356" t="s">
        <v>34</v>
      </c>
      <c r="R356" t="s">
        <v>2437</v>
      </c>
      <c r="S356" t="s">
        <v>41</v>
      </c>
      <c r="T356" t="s">
        <v>34</v>
      </c>
      <c r="U356" t="s">
        <v>35</v>
      </c>
      <c r="V356" t="s">
        <v>2438</v>
      </c>
      <c r="X356">
        <v>550000</v>
      </c>
      <c r="Y356">
        <v>2</v>
      </c>
    </row>
    <row r="357" spans="1:25" x14ac:dyDescent="0.35">
      <c r="A357" t="s">
        <v>1301</v>
      </c>
      <c r="B357" t="s">
        <v>71</v>
      </c>
      <c r="C357" t="s">
        <v>72</v>
      </c>
      <c r="D357" t="s">
        <v>1626</v>
      </c>
      <c r="E357" t="s">
        <v>1627</v>
      </c>
      <c r="F357" t="s">
        <v>1603</v>
      </c>
      <c r="G357">
        <v>1095000</v>
      </c>
      <c r="H357">
        <v>0</v>
      </c>
      <c r="I357">
        <v>1095000</v>
      </c>
      <c r="J357">
        <v>0</v>
      </c>
      <c r="K357">
        <v>300000</v>
      </c>
      <c r="L357">
        <v>0</v>
      </c>
      <c r="M357">
        <v>795000</v>
      </c>
      <c r="N357">
        <v>0</v>
      </c>
      <c r="O357">
        <v>0</v>
      </c>
      <c r="P357" t="s">
        <v>34</v>
      </c>
      <c r="Q357" t="s">
        <v>34</v>
      </c>
      <c r="R357" t="s">
        <v>34</v>
      </c>
      <c r="S357" t="s">
        <v>41</v>
      </c>
      <c r="T357" t="s">
        <v>34</v>
      </c>
      <c r="U357" t="s">
        <v>35</v>
      </c>
      <c r="V357" t="s">
        <v>1628</v>
      </c>
      <c r="X357">
        <v>547500</v>
      </c>
      <c r="Y357">
        <v>2</v>
      </c>
    </row>
    <row r="358" spans="1:25" x14ac:dyDescent="0.35">
      <c r="A358" t="s">
        <v>2025</v>
      </c>
      <c r="B358" t="s">
        <v>29</v>
      </c>
      <c r="C358" t="s">
        <v>30</v>
      </c>
      <c r="D358" t="s">
        <v>2430</v>
      </c>
      <c r="E358" t="s">
        <v>2431</v>
      </c>
      <c r="F358" t="s">
        <v>2432</v>
      </c>
      <c r="G358">
        <v>750000</v>
      </c>
      <c r="H358">
        <v>0</v>
      </c>
      <c r="I358">
        <v>750000</v>
      </c>
      <c r="J358">
        <v>0</v>
      </c>
      <c r="K358">
        <v>0</v>
      </c>
      <c r="L358">
        <v>0</v>
      </c>
      <c r="M358">
        <v>750000</v>
      </c>
      <c r="N358">
        <v>0</v>
      </c>
      <c r="O358">
        <v>0</v>
      </c>
      <c r="P358" t="s">
        <v>34</v>
      </c>
      <c r="Q358" t="s">
        <v>34</v>
      </c>
      <c r="R358" t="s">
        <v>34</v>
      </c>
      <c r="S358" t="s">
        <v>41</v>
      </c>
      <c r="T358" t="s">
        <v>34</v>
      </c>
      <c r="U358" t="s">
        <v>35</v>
      </c>
      <c r="V358" t="s">
        <v>2433</v>
      </c>
      <c r="X358">
        <v>750000</v>
      </c>
      <c r="Y358">
        <v>1</v>
      </c>
    </row>
    <row r="359" spans="1:25" x14ac:dyDescent="0.35">
      <c r="A359" t="s">
        <v>1596</v>
      </c>
      <c r="B359" t="s">
        <v>29</v>
      </c>
      <c r="C359" t="s">
        <v>43</v>
      </c>
      <c r="D359" t="s">
        <v>1632</v>
      </c>
      <c r="E359" t="s">
        <v>1629</v>
      </c>
      <c r="F359" t="s">
        <v>1630</v>
      </c>
      <c r="G359">
        <v>450000</v>
      </c>
      <c r="H359">
        <v>0</v>
      </c>
      <c r="I359">
        <v>450000</v>
      </c>
      <c r="J359">
        <v>0</v>
      </c>
      <c r="K359">
        <v>0</v>
      </c>
      <c r="L359">
        <v>0</v>
      </c>
      <c r="M359">
        <v>450000</v>
      </c>
      <c r="N359">
        <v>0</v>
      </c>
      <c r="O359">
        <v>0</v>
      </c>
      <c r="P359" t="s">
        <v>1633</v>
      </c>
      <c r="Q359" t="s">
        <v>34</v>
      </c>
      <c r="R359" t="s">
        <v>34</v>
      </c>
      <c r="S359" t="s">
        <v>41</v>
      </c>
      <c r="T359" t="s">
        <v>34</v>
      </c>
      <c r="U359" t="s">
        <v>35</v>
      </c>
      <c r="V359" t="s">
        <v>1634</v>
      </c>
      <c r="X359">
        <v>450000</v>
      </c>
      <c r="Y359">
        <v>1</v>
      </c>
    </row>
    <row r="360" spans="1:25" x14ac:dyDescent="0.35">
      <c r="A360" t="s">
        <v>2042</v>
      </c>
      <c r="B360" t="s">
        <v>64</v>
      </c>
      <c r="C360" t="s">
        <v>89</v>
      </c>
      <c r="D360" t="s">
        <v>2424</v>
      </c>
      <c r="E360" t="s">
        <v>2425</v>
      </c>
      <c r="F360" t="s">
        <v>2426</v>
      </c>
      <c r="G360">
        <v>1098000</v>
      </c>
      <c r="H360">
        <v>0</v>
      </c>
      <c r="I360">
        <v>1098000</v>
      </c>
      <c r="J360">
        <v>0</v>
      </c>
      <c r="K360">
        <v>7200</v>
      </c>
      <c r="L360">
        <v>0</v>
      </c>
      <c r="M360">
        <v>1090800</v>
      </c>
      <c r="N360">
        <v>0</v>
      </c>
      <c r="O360">
        <v>0</v>
      </c>
      <c r="P360" t="s">
        <v>2427</v>
      </c>
      <c r="Q360" t="s">
        <v>34</v>
      </c>
      <c r="R360" t="s">
        <v>2428</v>
      </c>
      <c r="S360" t="s">
        <v>41</v>
      </c>
      <c r="T360" t="s">
        <v>34</v>
      </c>
      <c r="U360" t="s">
        <v>35</v>
      </c>
      <c r="V360" t="s">
        <v>2429</v>
      </c>
      <c r="X360">
        <v>549000</v>
      </c>
      <c r="Y360">
        <v>2</v>
      </c>
    </row>
    <row r="361" spans="1:25" x14ac:dyDescent="0.35">
      <c r="A361" t="s">
        <v>1431</v>
      </c>
      <c r="B361" t="s">
        <v>29</v>
      </c>
      <c r="C361" t="s">
        <v>30</v>
      </c>
      <c r="D361" t="s">
        <v>1639</v>
      </c>
      <c r="E361" t="s">
        <v>1640</v>
      </c>
      <c r="F361" t="s">
        <v>1641</v>
      </c>
      <c r="G361">
        <v>400000</v>
      </c>
      <c r="H361">
        <v>0</v>
      </c>
      <c r="I361">
        <v>400000</v>
      </c>
      <c r="J361">
        <v>0</v>
      </c>
      <c r="K361">
        <v>400000</v>
      </c>
      <c r="L361">
        <v>0</v>
      </c>
      <c r="M361">
        <v>0</v>
      </c>
      <c r="N361">
        <v>0</v>
      </c>
      <c r="O361">
        <v>0</v>
      </c>
      <c r="S361" t="s">
        <v>41</v>
      </c>
      <c r="T361" t="s">
        <v>34</v>
      </c>
      <c r="U361" t="s">
        <v>35</v>
      </c>
      <c r="V361" t="s">
        <v>1642</v>
      </c>
      <c r="X361">
        <v>400000</v>
      </c>
      <c r="Y361">
        <v>1</v>
      </c>
    </row>
    <row r="362" spans="1:25" x14ac:dyDescent="0.35">
      <c r="A362" t="s">
        <v>2034</v>
      </c>
      <c r="B362" t="s">
        <v>64</v>
      </c>
      <c r="C362" t="s">
        <v>65</v>
      </c>
      <c r="D362" t="s">
        <v>2414</v>
      </c>
      <c r="E362" t="s">
        <v>2415</v>
      </c>
      <c r="F362" t="s">
        <v>2416</v>
      </c>
      <c r="G362">
        <v>500000</v>
      </c>
      <c r="H362">
        <v>0</v>
      </c>
      <c r="I362">
        <v>500000</v>
      </c>
      <c r="J362">
        <v>0</v>
      </c>
      <c r="K362">
        <v>500000</v>
      </c>
      <c r="L362">
        <v>0</v>
      </c>
      <c r="M362">
        <v>0</v>
      </c>
      <c r="N362">
        <v>0</v>
      </c>
      <c r="O362">
        <v>0</v>
      </c>
      <c r="P362" t="s">
        <v>34</v>
      </c>
      <c r="Q362" t="s">
        <v>34</v>
      </c>
      <c r="R362" t="s">
        <v>34</v>
      </c>
      <c r="S362" t="s">
        <v>41</v>
      </c>
      <c r="T362" t="s">
        <v>34</v>
      </c>
      <c r="U362" t="s">
        <v>35</v>
      </c>
      <c r="V362" t="s">
        <v>2417</v>
      </c>
      <c r="X362">
        <v>500000</v>
      </c>
      <c r="Y362">
        <v>1</v>
      </c>
    </row>
    <row r="363" spans="1:25" x14ac:dyDescent="0.35">
      <c r="A363" t="s">
        <v>1941</v>
      </c>
      <c r="B363" t="s">
        <v>64</v>
      </c>
      <c r="C363" t="s">
        <v>99</v>
      </c>
      <c r="D363" t="s">
        <v>2411</v>
      </c>
      <c r="E363" t="s">
        <v>2391</v>
      </c>
      <c r="F363" t="s">
        <v>2408</v>
      </c>
      <c r="G363">
        <v>2745000</v>
      </c>
      <c r="H363">
        <v>0</v>
      </c>
      <c r="I363">
        <v>2745000</v>
      </c>
      <c r="J363">
        <v>0</v>
      </c>
      <c r="K363">
        <v>2745000</v>
      </c>
      <c r="L363">
        <v>0</v>
      </c>
      <c r="M363">
        <v>0</v>
      </c>
      <c r="N363">
        <v>0</v>
      </c>
      <c r="O363">
        <v>0</v>
      </c>
      <c r="P363" t="s">
        <v>34</v>
      </c>
      <c r="Q363" t="s">
        <v>34</v>
      </c>
      <c r="R363" t="s">
        <v>2412</v>
      </c>
      <c r="S363" t="s">
        <v>41</v>
      </c>
      <c r="T363" t="s">
        <v>34</v>
      </c>
      <c r="U363" t="s">
        <v>35</v>
      </c>
      <c r="V363" t="s">
        <v>2413</v>
      </c>
      <c r="X363">
        <v>549000</v>
      </c>
      <c r="Y363">
        <v>5</v>
      </c>
    </row>
    <row r="364" spans="1:25" x14ac:dyDescent="0.35">
      <c r="A364" t="s">
        <v>2016</v>
      </c>
      <c r="B364" t="s">
        <v>59</v>
      </c>
      <c r="C364" t="s">
        <v>193</v>
      </c>
      <c r="D364" t="s">
        <v>2406</v>
      </c>
      <c r="E364" t="s">
        <v>2407</v>
      </c>
      <c r="F364" t="s">
        <v>2408</v>
      </c>
      <c r="G364">
        <v>1300000</v>
      </c>
      <c r="H364">
        <v>0</v>
      </c>
      <c r="I364">
        <v>1300000</v>
      </c>
      <c r="J364">
        <v>0</v>
      </c>
      <c r="K364">
        <v>0</v>
      </c>
      <c r="L364">
        <v>0</v>
      </c>
      <c r="M364">
        <v>1300000</v>
      </c>
      <c r="N364">
        <v>0</v>
      </c>
      <c r="O364">
        <v>0</v>
      </c>
      <c r="P364" t="s">
        <v>34</v>
      </c>
      <c r="Q364" t="s">
        <v>34</v>
      </c>
      <c r="R364" t="s">
        <v>2409</v>
      </c>
      <c r="S364" t="s">
        <v>41</v>
      </c>
      <c r="T364" t="s">
        <v>34</v>
      </c>
      <c r="U364" t="s">
        <v>35</v>
      </c>
      <c r="V364" t="s">
        <v>2410</v>
      </c>
      <c r="X364">
        <v>650000</v>
      </c>
      <c r="Y364">
        <v>2</v>
      </c>
    </row>
    <row r="365" spans="1:25" x14ac:dyDescent="0.35">
      <c r="A365" t="s">
        <v>1941</v>
      </c>
      <c r="B365" t="s">
        <v>71</v>
      </c>
      <c r="C365" t="s">
        <v>1086</v>
      </c>
      <c r="D365" t="s">
        <v>2403</v>
      </c>
      <c r="E365" t="s">
        <v>2383</v>
      </c>
      <c r="F365" t="s">
        <v>2401</v>
      </c>
      <c r="G365">
        <v>2796000</v>
      </c>
      <c r="H365">
        <v>0</v>
      </c>
      <c r="I365">
        <v>2796000</v>
      </c>
      <c r="J365">
        <v>0</v>
      </c>
      <c r="K365">
        <v>2796000</v>
      </c>
      <c r="L365">
        <v>0</v>
      </c>
      <c r="M365">
        <v>0</v>
      </c>
      <c r="N365">
        <v>0</v>
      </c>
      <c r="O365">
        <v>0</v>
      </c>
      <c r="P365" t="s">
        <v>34</v>
      </c>
      <c r="Q365" t="s">
        <v>34</v>
      </c>
      <c r="R365" t="s">
        <v>2404</v>
      </c>
      <c r="S365" t="s">
        <v>41</v>
      </c>
      <c r="T365" t="s">
        <v>34</v>
      </c>
      <c r="U365" t="s">
        <v>35</v>
      </c>
      <c r="V365" t="s">
        <v>2405</v>
      </c>
      <c r="X365">
        <v>699000</v>
      </c>
      <c r="Y365">
        <v>4</v>
      </c>
    </row>
    <row r="366" spans="1:25" x14ac:dyDescent="0.35">
      <c r="A366" t="s">
        <v>1941</v>
      </c>
      <c r="B366" t="s">
        <v>64</v>
      </c>
      <c r="C366" t="s">
        <v>76</v>
      </c>
      <c r="D366" t="s">
        <v>2400</v>
      </c>
      <c r="E366" t="s">
        <v>2383</v>
      </c>
      <c r="F366" t="s">
        <v>2401</v>
      </c>
      <c r="G366">
        <v>2196000</v>
      </c>
      <c r="H366">
        <v>0</v>
      </c>
      <c r="I366">
        <v>2196000</v>
      </c>
      <c r="J366">
        <v>0</v>
      </c>
      <c r="K366">
        <v>2196000</v>
      </c>
      <c r="L366">
        <v>0</v>
      </c>
      <c r="M366">
        <v>0</v>
      </c>
      <c r="N366">
        <v>0</v>
      </c>
      <c r="O366">
        <v>0</v>
      </c>
      <c r="P366" t="s">
        <v>34</v>
      </c>
      <c r="Q366" t="s">
        <v>34</v>
      </c>
      <c r="R366" t="s">
        <v>34</v>
      </c>
      <c r="S366" t="s">
        <v>41</v>
      </c>
      <c r="T366" t="s">
        <v>34</v>
      </c>
      <c r="U366" t="s">
        <v>35</v>
      </c>
      <c r="V366" t="s">
        <v>2402</v>
      </c>
      <c r="X366">
        <v>549000</v>
      </c>
      <c r="Y366">
        <v>4</v>
      </c>
    </row>
    <row r="367" spans="1:25" x14ac:dyDescent="0.35">
      <c r="A367" t="s">
        <v>1941</v>
      </c>
      <c r="B367" t="s">
        <v>64</v>
      </c>
      <c r="C367" t="s">
        <v>65</v>
      </c>
      <c r="D367" t="s">
        <v>2390</v>
      </c>
      <c r="E367" t="s">
        <v>2391</v>
      </c>
      <c r="F367" t="s">
        <v>2379</v>
      </c>
      <c r="G367">
        <v>2196000</v>
      </c>
      <c r="H367">
        <v>0</v>
      </c>
      <c r="I367">
        <v>2196000</v>
      </c>
      <c r="J367">
        <v>0</v>
      </c>
      <c r="K367">
        <v>2196000</v>
      </c>
      <c r="L367">
        <v>0</v>
      </c>
      <c r="M367">
        <v>0</v>
      </c>
      <c r="N367">
        <v>0</v>
      </c>
      <c r="O367">
        <v>0</v>
      </c>
      <c r="P367" t="s">
        <v>34</v>
      </c>
      <c r="Q367" t="s">
        <v>34</v>
      </c>
      <c r="R367" t="s">
        <v>2392</v>
      </c>
      <c r="S367" t="s">
        <v>41</v>
      </c>
      <c r="T367" t="s">
        <v>34</v>
      </c>
      <c r="U367" t="s">
        <v>35</v>
      </c>
      <c r="V367" t="s">
        <v>2393</v>
      </c>
      <c r="X367">
        <v>549000</v>
      </c>
      <c r="Y367">
        <v>4</v>
      </c>
    </row>
    <row r="368" spans="1:25" x14ac:dyDescent="0.35">
      <c r="A368" t="s">
        <v>1648</v>
      </c>
      <c r="B368" t="s">
        <v>71</v>
      </c>
      <c r="C368" t="s">
        <v>95</v>
      </c>
      <c r="D368" t="s">
        <v>1649</v>
      </c>
      <c r="E368" t="s">
        <v>1650</v>
      </c>
      <c r="F368" t="s">
        <v>1651</v>
      </c>
      <c r="G368">
        <v>1890000</v>
      </c>
      <c r="H368">
        <v>0</v>
      </c>
      <c r="I368">
        <v>1890000</v>
      </c>
      <c r="J368">
        <v>0</v>
      </c>
      <c r="K368">
        <v>0</v>
      </c>
      <c r="L368">
        <v>0</v>
      </c>
      <c r="M368">
        <v>1890000</v>
      </c>
      <c r="N368">
        <v>0</v>
      </c>
      <c r="O368">
        <v>0</v>
      </c>
      <c r="P368" t="s">
        <v>1652</v>
      </c>
      <c r="Q368" t="s">
        <v>34</v>
      </c>
      <c r="R368" t="s">
        <v>1653</v>
      </c>
      <c r="S368" t="s">
        <v>41</v>
      </c>
      <c r="T368" t="s">
        <v>34</v>
      </c>
      <c r="U368" t="s">
        <v>35</v>
      </c>
      <c r="V368" t="s">
        <v>1654</v>
      </c>
      <c r="X368">
        <v>630000</v>
      </c>
      <c r="Y368">
        <v>3</v>
      </c>
    </row>
    <row r="369" spans="1:25" x14ac:dyDescent="0.35">
      <c r="A369" t="s">
        <v>1655</v>
      </c>
      <c r="B369" t="s">
        <v>59</v>
      </c>
      <c r="C369" t="s">
        <v>182</v>
      </c>
      <c r="D369" t="s">
        <v>1656</v>
      </c>
      <c r="E369" t="s">
        <v>1657</v>
      </c>
      <c r="F369" t="s">
        <v>1658</v>
      </c>
      <c r="G369">
        <v>585000</v>
      </c>
      <c r="H369">
        <v>0</v>
      </c>
      <c r="I369">
        <v>585000</v>
      </c>
      <c r="J369">
        <v>0</v>
      </c>
      <c r="K369">
        <v>0</v>
      </c>
      <c r="L369">
        <v>0</v>
      </c>
      <c r="M369">
        <v>585000</v>
      </c>
      <c r="N369">
        <v>0</v>
      </c>
      <c r="O369">
        <v>0</v>
      </c>
      <c r="P369" t="s">
        <v>34</v>
      </c>
      <c r="Q369" t="s">
        <v>34</v>
      </c>
      <c r="R369" t="s">
        <v>34</v>
      </c>
      <c r="S369" t="s">
        <v>41</v>
      </c>
      <c r="T369" t="s">
        <v>34</v>
      </c>
      <c r="U369" t="s">
        <v>35</v>
      </c>
      <c r="V369" t="s">
        <v>1659</v>
      </c>
      <c r="X369">
        <v>585000</v>
      </c>
      <c r="Y369">
        <v>1</v>
      </c>
    </row>
    <row r="370" spans="1:25" x14ac:dyDescent="0.35">
      <c r="A370" t="s">
        <v>1351</v>
      </c>
      <c r="B370" t="s">
        <v>71</v>
      </c>
      <c r="C370" t="s">
        <v>1086</v>
      </c>
      <c r="D370" t="s">
        <v>1660</v>
      </c>
      <c r="E370" t="s">
        <v>1661</v>
      </c>
      <c r="F370" t="s">
        <v>1662</v>
      </c>
      <c r="G370">
        <v>650000</v>
      </c>
      <c r="H370">
        <v>0</v>
      </c>
      <c r="I370">
        <v>650000</v>
      </c>
      <c r="J370">
        <v>0</v>
      </c>
      <c r="K370">
        <v>0</v>
      </c>
      <c r="L370">
        <v>0</v>
      </c>
      <c r="M370">
        <v>650000</v>
      </c>
      <c r="N370">
        <v>0</v>
      </c>
      <c r="O370">
        <v>0</v>
      </c>
      <c r="P370" t="s">
        <v>1663</v>
      </c>
      <c r="Q370" t="s">
        <v>34</v>
      </c>
      <c r="R370" t="s">
        <v>1664</v>
      </c>
      <c r="S370" t="s">
        <v>41</v>
      </c>
      <c r="T370" t="s">
        <v>34</v>
      </c>
      <c r="U370" t="s">
        <v>35</v>
      </c>
      <c r="V370" t="s">
        <v>1665</v>
      </c>
      <c r="X370">
        <v>650000</v>
      </c>
      <c r="Y370">
        <v>1</v>
      </c>
    </row>
    <row r="371" spans="1:25" x14ac:dyDescent="0.35">
      <c r="A371" t="s">
        <v>1323</v>
      </c>
      <c r="B371" t="s">
        <v>59</v>
      </c>
      <c r="C371" t="s">
        <v>193</v>
      </c>
      <c r="D371" t="s">
        <v>1666</v>
      </c>
      <c r="E371" t="s">
        <v>1667</v>
      </c>
      <c r="F371" t="s">
        <v>1668</v>
      </c>
      <c r="G371">
        <v>600000</v>
      </c>
      <c r="H371">
        <v>35000</v>
      </c>
      <c r="I371">
        <v>635000</v>
      </c>
      <c r="J371">
        <v>0</v>
      </c>
      <c r="K371">
        <v>35000</v>
      </c>
      <c r="L371">
        <v>0</v>
      </c>
      <c r="M371">
        <v>600000</v>
      </c>
      <c r="N371">
        <v>0</v>
      </c>
      <c r="O371">
        <v>0</v>
      </c>
      <c r="P371" t="s">
        <v>1669</v>
      </c>
      <c r="Q371" t="s">
        <v>34</v>
      </c>
      <c r="R371" t="s">
        <v>1670</v>
      </c>
      <c r="S371" t="s">
        <v>41</v>
      </c>
      <c r="T371" t="s">
        <v>34</v>
      </c>
      <c r="U371" t="s">
        <v>35</v>
      </c>
      <c r="V371" t="s">
        <v>1671</v>
      </c>
      <c r="X371">
        <v>600000</v>
      </c>
      <c r="Y371">
        <v>1</v>
      </c>
    </row>
    <row r="372" spans="1:25" x14ac:dyDescent="0.35">
      <c r="A372" t="s">
        <v>1356</v>
      </c>
      <c r="B372" t="s">
        <v>29</v>
      </c>
      <c r="C372" t="s">
        <v>506</v>
      </c>
      <c r="D372" t="s">
        <v>1672</v>
      </c>
      <c r="E372" t="s">
        <v>1673</v>
      </c>
      <c r="F372" t="s">
        <v>1674</v>
      </c>
      <c r="G372">
        <v>450000</v>
      </c>
      <c r="H372">
        <v>0</v>
      </c>
      <c r="I372">
        <v>450000</v>
      </c>
      <c r="J372">
        <v>0</v>
      </c>
      <c r="K372">
        <v>450000</v>
      </c>
      <c r="L372">
        <v>0</v>
      </c>
      <c r="M372">
        <v>0</v>
      </c>
      <c r="N372">
        <v>0</v>
      </c>
      <c r="O372">
        <v>0</v>
      </c>
      <c r="S372" t="s">
        <v>41</v>
      </c>
      <c r="T372" t="s">
        <v>34</v>
      </c>
      <c r="U372" t="s">
        <v>35</v>
      </c>
      <c r="V372" t="s">
        <v>1675</v>
      </c>
      <c r="X372">
        <v>450000</v>
      </c>
      <c r="Y372">
        <v>1</v>
      </c>
    </row>
    <row r="373" spans="1:25" x14ac:dyDescent="0.35">
      <c r="A373" t="s">
        <v>1305</v>
      </c>
      <c r="B373" t="s">
        <v>71</v>
      </c>
      <c r="C373" t="s">
        <v>1086</v>
      </c>
      <c r="D373" t="s">
        <v>1660</v>
      </c>
      <c r="E373" t="s">
        <v>1676</v>
      </c>
      <c r="F373" t="s">
        <v>1677</v>
      </c>
      <c r="G373">
        <v>500000</v>
      </c>
      <c r="H373">
        <v>0</v>
      </c>
      <c r="I373">
        <v>500000</v>
      </c>
      <c r="J373">
        <v>0</v>
      </c>
      <c r="K373">
        <v>100000</v>
      </c>
      <c r="L373">
        <v>0</v>
      </c>
      <c r="M373">
        <v>400000</v>
      </c>
      <c r="N373">
        <v>0</v>
      </c>
      <c r="O373">
        <v>0</v>
      </c>
      <c r="P373" t="s">
        <v>1663</v>
      </c>
      <c r="Q373" t="s">
        <v>34</v>
      </c>
      <c r="R373" t="s">
        <v>1664</v>
      </c>
      <c r="S373" t="s">
        <v>41</v>
      </c>
      <c r="T373" t="s">
        <v>34</v>
      </c>
      <c r="U373" t="s">
        <v>35</v>
      </c>
      <c r="V373" t="s">
        <v>1678</v>
      </c>
      <c r="X373">
        <v>500000</v>
      </c>
      <c r="Y373">
        <v>1</v>
      </c>
    </row>
    <row r="374" spans="1:25" x14ac:dyDescent="0.35">
      <c r="A374" t="s">
        <v>1604</v>
      </c>
      <c r="B374" t="s">
        <v>59</v>
      </c>
      <c r="C374" t="s">
        <v>122</v>
      </c>
      <c r="D374" t="s">
        <v>226</v>
      </c>
      <c r="E374" t="s">
        <v>1679</v>
      </c>
      <c r="F374" t="s">
        <v>1680</v>
      </c>
      <c r="G374">
        <v>1100000</v>
      </c>
      <c r="H374">
        <v>0</v>
      </c>
      <c r="I374">
        <v>1100000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1100000</v>
      </c>
      <c r="S374" t="s">
        <v>41</v>
      </c>
      <c r="T374" t="s">
        <v>34</v>
      </c>
      <c r="U374" t="s">
        <v>35</v>
      </c>
      <c r="V374" t="s">
        <v>1681</v>
      </c>
      <c r="X374">
        <v>1100000</v>
      </c>
      <c r="Y374">
        <v>1</v>
      </c>
    </row>
    <row r="375" spans="1:25" x14ac:dyDescent="0.35">
      <c r="A375" t="s">
        <v>1054</v>
      </c>
      <c r="B375" t="s">
        <v>29</v>
      </c>
      <c r="C375" t="s">
        <v>37</v>
      </c>
      <c r="D375" t="s">
        <v>1682</v>
      </c>
      <c r="E375" t="s">
        <v>1128</v>
      </c>
      <c r="F375" t="s">
        <v>1683</v>
      </c>
      <c r="G375">
        <v>14700000</v>
      </c>
      <c r="H375">
        <v>1378400</v>
      </c>
      <c r="I375">
        <v>16078400</v>
      </c>
      <c r="J375">
        <v>0</v>
      </c>
      <c r="K375">
        <v>0</v>
      </c>
      <c r="L375">
        <v>0</v>
      </c>
      <c r="M375">
        <v>0</v>
      </c>
      <c r="N375">
        <v>16078400</v>
      </c>
      <c r="O375">
        <v>0</v>
      </c>
      <c r="P375" t="s">
        <v>34</v>
      </c>
      <c r="Q375" t="s">
        <v>34</v>
      </c>
      <c r="R375" t="s">
        <v>1684</v>
      </c>
      <c r="S375" t="s">
        <v>41</v>
      </c>
      <c r="T375" t="s">
        <v>34</v>
      </c>
      <c r="U375" t="s">
        <v>35</v>
      </c>
      <c r="V375" t="s">
        <v>1347</v>
      </c>
      <c r="X375">
        <v>700000</v>
      </c>
      <c r="Y375">
        <v>21</v>
      </c>
    </row>
    <row r="376" spans="1:25" x14ac:dyDescent="0.35">
      <c r="A376" t="s">
        <v>1346</v>
      </c>
      <c r="B376" t="s">
        <v>29</v>
      </c>
      <c r="C376" t="s">
        <v>30</v>
      </c>
      <c r="D376" t="s">
        <v>1685</v>
      </c>
      <c r="E376" t="s">
        <v>1686</v>
      </c>
      <c r="F376" t="s">
        <v>1687</v>
      </c>
      <c r="G376">
        <v>1798000</v>
      </c>
      <c r="H376">
        <v>0</v>
      </c>
      <c r="I376">
        <v>1798000</v>
      </c>
      <c r="J376">
        <v>0</v>
      </c>
      <c r="K376">
        <v>1298000</v>
      </c>
      <c r="L376">
        <v>0</v>
      </c>
      <c r="M376">
        <v>500000</v>
      </c>
      <c r="N376">
        <v>0</v>
      </c>
      <c r="O376">
        <v>0</v>
      </c>
      <c r="P376" t="s">
        <v>1688</v>
      </c>
      <c r="Q376" t="s">
        <v>34</v>
      </c>
      <c r="R376" t="s">
        <v>1689</v>
      </c>
      <c r="S376" t="s">
        <v>41</v>
      </c>
      <c r="T376" t="s">
        <v>34</v>
      </c>
      <c r="U376" t="s">
        <v>35</v>
      </c>
      <c r="V376" t="s">
        <v>1690</v>
      </c>
      <c r="X376">
        <v>899000</v>
      </c>
      <c r="Y376">
        <v>2</v>
      </c>
    </row>
    <row r="377" spans="1:25" x14ac:dyDescent="0.35">
      <c r="A377" t="s">
        <v>1344</v>
      </c>
      <c r="B377" t="s">
        <v>59</v>
      </c>
      <c r="C377" t="s">
        <v>193</v>
      </c>
      <c r="D377" t="s">
        <v>1691</v>
      </c>
      <c r="E377" t="s">
        <v>1692</v>
      </c>
      <c r="F377" t="s">
        <v>1693</v>
      </c>
      <c r="G377">
        <v>549000</v>
      </c>
      <c r="H377">
        <v>20000</v>
      </c>
      <c r="I377">
        <v>569000</v>
      </c>
      <c r="J377">
        <v>0</v>
      </c>
      <c r="K377">
        <v>369000</v>
      </c>
      <c r="L377">
        <v>0</v>
      </c>
      <c r="M377">
        <v>200000</v>
      </c>
      <c r="N377">
        <v>0</v>
      </c>
      <c r="O377">
        <v>0</v>
      </c>
      <c r="S377" t="s">
        <v>41</v>
      </c>
      <c r="T377" t="s">
        <v>34</v>
      </c>
      <c r="U377" t="s">
        <v>35</v>
      </c>
      <c r="V377" t="s">
        <v>1694</v>
      </c>
      <c r="X377">
        <v>549000</v>
      </c>
      <c r="Y377">
        <v>1</v>
      </c>
    </row>
    <row r="378" spans="1:25" x14ac:dyDescent="0.35">
      <c r="A378" t="s">
        <v>1604</v>
      </c>
      <c r="B378" t="s">
        <v>64</v>
      </c>
      <c r="C378" t="s">
        <v>173</v>
      </c>
      <c r="D378" t="s">
        <v>226</v>
      </c>
      <c r="E378" t="s">
        <v>1679</v>
      </c>
      <c r="F378" t="s">
        <v>1693</v>
      </c>
      <c r="G378">
        <v>1100000</v>
      </c>
      <c r="H378">
        <v>704000</v>
      </c>
      <c r="I378">
        <v>1804000</v>
      </c>
      <c r="J378">
        <v>0</v>
      </c>
      <c r="K378">
        <v>0</v>
      </c>
      <c r="L378">
        <v>0</v>
      </c>
      <c r="M378">
        <v>1804000</v>
      </c>
      <c r="N378">
        <v>0</v>
      </c>
      <c r="O378">
        <v>0</v>
      </c>
      <c r="P378" t="s">
        <v>34</v>
      </c>
      <c r="Q378" t="s">
        <v>34</v>
      </c>
      <c r="R378" t="s">
        <v>34</v>
      </c>
      <c r="S378" t="s">
        <v>41</v>
      </c>
      <c r="T378" t="s">
        <v>34</v>
      </c>
      <c r="U378" t="s">
        <v>35</v>
      </c>
      <c r="V378" t="s">
        <v>1695</v>
      </c>
      <c r="X378">
        <v>550000</v>
      </c>
      <c r="Y378">
        <v>2</v>
      </c>
    </row>
    <row r="379" spans="1:25" x14ac:dyDescent="0.35">
      <c r="A379" t="s">
        <v>1604</v>
      </c>
      <c r="B379" t="s">
        <v>64</v>
      </c>
      <c r="C379" t="s">
        <v>99</v>
      </c>
      <c r="D379" t="s">
        <v>226</v>
      </c>
      <c r="E379" t="s">
        <v>1679</v>
      </c>
      <c r="F379" t="s">
        <v>1693</v>
      </c>
      <c r="G379">
        <v>1000000</v>
      </c>
      <c r="H379">
        <v>0</v>
      </c>
      <c r="I379">
        <v>1000000</v>
      </c>
      <c r="J379">
        <v>0</v>
      </c>
      <c r="K379">
        <v>0</v>
      </c>
      <c r="L379">
        <v>0</v>
      </c>
      <c r="M379">
        <v>1000000</v>
      </c>
      <c r="N379">
        <v>0</v>
      </c>
      <c r="O379">
        <v>0</v>
      </c>
      <c r="S379" t="s">
        <v>41</v>
      </c>
      <c r="T379" t="s">
        <v>34</v>
      </c>
      <c r="U379" t="s">
        <v>35</v>
      </c>
      <c r="V379" t="s">
        <v>1696</v>
      </c>
      <c r="X379">
        <v>500000</v>
      </c>
      <c r="Y379">
        <v>2</v>
      </c>
    </row>
    <row r="380" spans="1:25" x14ac:dyDescent="0.35">
      <c r="A380" t="s">
        <v>1604</v>
      </c>
      <c r="B380" t="s">
        <v>64</v>
      </c>
      <c r="C380" t="s">
        <v>76</v>
      </c>
      <c r="D380" t="s">
        <v>226</v>
      </c>
      <c r="E380" t="s">
        <v>1679</v>
      </c>
      <c r="F380" t="s">
        <v>1693</v>
      </c>
      <c r="G380">
        <v>1000000</v>
      </c>
      <c r="H380">
        <v>0</v>
      </c>
      <c r="I380">
        <v>1000000</v>
      </c>
      <c r="J380">
        <v>0</v>
      </c>
      <c r="K380">
        <v>0</v>
      </c>
      <c r="L380">
        <v>0</v>
      </c>
      <c r="M380">
        <v>1000000</v>
      </c>
      <c r="N380">
        <v>0</v>
      </c>
      <c r="O380">
        <v>0</v>
      </c>
      <c r="S380" t="s">
        <v>41</v>
      </c>
      <c r="T380" t="s">
        <v>34</v>
      </c>
      <c r="U380" t="s">
        <v>35</v>
      </c>
      <c r="V380" t="s">
        <v>1697</v>
      </c>
      <c r="X380">
        <v>500000</v>
      </c>
      <c r="Y380">
        <v>2</v>
      </c>
    </row>
    <row r="381" spans="1:25" x14ac:dyDescent="0.35">
      <c r="A381" t="s">
        <v>1604</v>
      </c>
      <c r="B381" t="s">
        <v>59</v>
      </c>
      <c r="C381" t="s">
        <v>182</v>
      </c>
      <c r="D381" t="s">
        <v>226</v>
      </c>
      <c r="E381" t="s">
        <v>1679</v>
      </c>
      <c r="F381" t="s">
        <v>1693</v>
      </c>
      <c r="G381">
        <v>1100000</v>
      </c>
      <c r="H381">
        <v>0</v>
      </c>
      <c r="I381">
        <v>1100000</v>
      </c>
      <c r="J381">
        <v>0</v>
      </c>
      <c r="K381">
        <v>0</v>
      </c>
      <c r="L381">
        <v>0</v>
      </c>
      <c r="M381">
        <v>1100000</v>
      </c>
      <c r="N381">
        <v>0</v>
      </c>
      <c r="O381">
        <v>0</v>
      </c>
      <c r="S381" t="s">
        <v>41</v>
      </c>
      <c r="T381" t="s">
        <v>34</v>
      </c>
      <c r="U381" t="s">
        <v>35</v>
      </c>
      <c r="V381" t="s">
        <v>1698</v>
      </c>
      <c r="X381">
        <v>550000</v>
      </c>
      <c r="Y381">
        <v>2</v>
      </c>
    </row>
    <row r="382" spans="1:25" x14ac:dyDescent="0.35">
      <c r="A382" t="s">
        <v>1604</v>
      </c>
      <c r="B382" t="s">
        <v>71</v>
      </c>
      <c r="C382" t="s">
        <v>72</v>
      </c>
      <c r="D382" t="s">
        <v>1699</v>
      </c>
      <c r="E382" t="s">
        <v>1679</v>
      </c>
      <c r="F382" t="s">
        <v>1693</v>
      </c>
      <c r="G382">
        <v>1100000</v>
      </c>
      <c r="H382">
        <v>0</v>
      </c>
      <c r="I382">
        <v>1100000</v>
      </c>
      <c r="J382">
        <v>0</v>
      </c>
      <c r="K382">
        <v>0</v>
      </c>
      <c r="L382">
        <v>0</v>
      </c>
      <c r="M382">
        <v>1100000</v>
      </c>
      <c r="N382">
        <v>0</v>
      </c>
      <c r="O382">
        <v>0</v>
      </c>
      <c r="P382" t="s">
        <v>1700</v>
      </c>
      <c r="S382" t="s">
        <v>41</v>
      </c>
      <c r="T382" t="s">
        <v>34</v>
      </c>
      <c r="U382" t="s">
        <v>35</v>
      </c>
      <c r="V382" t="s">
        <v>1701</v>
      </c>
      <c r="X382">
        <v>550000</v>
      </c>
      <c r="Y382">
        <v>2</v>
      </c>
    </row>
    <row r="383" spans="1:25" x14ac:dyDescent="0.35">
      <c r="A383" t="s">
        <v>1604</v>
      </c>
      <c r="B383" t="s">
        <v>59</v>
      </c>
      <c r="C383" t="s">
        <v>60</v>
      </c>
      <c r="D383" t="s">
        <v>226</v>
      </c>
      <c r="E383" t="s">
        <v>1679</v>
      </c>
      <c r="F383" t="s">
        <v>1693</v>
      </c>
      <c r="G383">
        <v>1006000</v>
      </c>
      <c r="H383">
        <v>0</v>
      </c>
      <c r="I383">
        <v>1006000</v>
      </c>
      <c r="J383">
        <v>0</v>
      </c>
      <c r="K383">
        <v>0</v>
      </c>
      <c r="L383">
        <v>0</v>
      </c>
      <c r="M383">
        <v>1006000</v>
      </c>
      <c r="N383">
        <v>0</v>
      </c>
      <c r="O383">
        <v>0</v>
      </c>
      <c r="S383" t="s">
        <v>41</v>
      </c>
      <c r="T383" t="s">
        <v>34</v>
      </c>
      <c r="U383" t="s">
        <v>35</v>
      </c>
      <c r="V383" t="s">
        <v>1702</v>
      </c>
      <c r="X383">
        <v>503000</v>
      </c>
      <c r="Y383">
        <v>2</v>
      </c>
    </row>
    <row r="384" spans="1:25" x14ac:dyDescent="0.35">
      <c r="A384" t="s">
        <v>1318</v>
      </c>
      <c r="B384" t="s">
        <v>71</v>
      </c>
      <c r="C384" t="s">
        <v>95</v>
      </c>
      <c r="D384" t="s">
        <v>1703</v>
      </c>
      <c r="E384" t="s">
        <v>1704</v>
      </c>
      <c r="F384" t="s">
        <v>1693</v>
      </c>
      <c r="G384">
        <v>1300000</v>
      </c>
      <c r="H384">
        <v>200000</v>
      </c>
      <c r="I384">
        <v>1500000</v>
      </c>
      <c r="J384">
        <v>0</v>
      </c>
      <c r="K384">
        <v>0</v>
      </c>
      <c r="L384">
        <v>0</v>
      </c>
      <c r="M384">
        <v>1500000</v>
      </c>
      <c r="N384">
        <v>0</v>
      </c>
      <c r="O384">
        <v>0</v>
      </c>
      <c r="P384" t="s">
        <v>1705</v>
      </c>
      <c r="Q384" t="s">
        <v>34</v>
      </c>
      <c r="R384" t="s">
        <v>34</v>
      </c>
      <c r="S384" t="s">
        <v>41</v>
      </c>
      <c r="T384" t="s">
        <v>34</v>
      </c>
      <c r="U384" t="s">
        <v>35</v>
      </c>
      <c r="V384" t="s">
        <v>1706</v>
      </c>
      <c r="X384">
        <v>650000</v>
      </c>
      <c r="Y384">
        <v>2</v>
      </c>
    </row>
    <row r="385" spans="1:25" x14ac:dyDescent="0.35">
      <c r="A385" t="s">
        <v>1488</v>
      </c>
      <c r="B385" t="s">
        <v>29</v>
      </c>
      <c r="C385" t="s">
        <v>43</v>
      </c>
      <c r="D385" t="s">
        <v>1707</v>
      </c>
      <c r="E385" t="s">
        <v>1674</v>
      </c>
      <c r="F385" t="s">
        <v>1693</v>
      </c>
      <c r="G385">
        <v>585000</v>
      </c>
      <c r="H385">
        <v>200000</v>
      </c>
      <c r="I385">
        <v>785000</v>
      </c>
      <c r="J385">
        <v>0</v>
      </c>
      <c r="K385">
        <v>200000</v>
      </c>
      <c r="L385">
        <v>0</v>
      </c>
      <c r="M385">
        <v>585000</v>
      </c>
      <c r="N385">
        <v>0</v>
      </c>
      <c r="O385">
        <v>0</v>
      </c>
      <c r="P385" t="s">
        <v>1708</v>
      </c>
      <c r="Q385" t="s">
        <v>34</v>
      </c>
      <c r="R385" t="s">
        <v>34</v>
      </c>
      <c r="S385" t="s">
        <v>41</v>
      </c>
      <c r="T385" t="s">
        <v>34</v>
      </c>
      <c r="U385" t="s">
        <v>35</v>
      </c>
      <c r="V385" t="s">
        <v>1709</v>
      </c>
      <c r="X385">
        <v>585000</v>
      </c>
      <c r="Y385">
        <v>1</v>
      </c>
    </row>
    <row r="386" spans="1:25" x14ac:dyDescent="0.35">
      <c r="A386" t="s">
        <v>1604</v>
      </c>
      <c r="B386" t="s">
        <v>29</v>
      </c>
      <c r="C386" t="s">
        <v>385</v>
      </c>
      <c r="D386" t="s">
        <v>226</v>
      </c>
      <c r="E386" t="s">
        <v>1679</v>
      </c>
      <c r="F386" t="s">
        <v>1710</v>
      </c>
      <c r="G386">
        <v>1100000</v>
      </c>
      <c r="H386">
        <v>0</v>
      </c>
      <c r="I386">
        <v>1100000</v>
      </c>
      <c r="J386">
        <v>0</v>
      </c>
      <c r="K386">
        <v>0</v>
      </c>
      <c r="L386">
        <v>0</v>
      </c>
      <c r="M386">
        <v>2200000</v>
      </c>
      <c r="N386">
        <v>0</v>
      </c>
      <c r="O386">
        <v>-1100000</v>
      </c>
      <c r="S386" t="s">
        <v>41</v>
      </c>
      <c r="T386" t="s">
        <v>34</v>
      </c>
      <c r="U386" t="s">
        <v>35</v>
      </c>
      <c r="V386" t="s">
        <v>1711</v>
      </c>
      <c r="X386">
        <v>550000</v>
      </c>
      <c r="Y386">
        <v>2</v>
      </c>
    </row>
    <row r="387" spans="1:25" x14ac:dyDescent="0.35">
      <c r="A387" t="s">
        <v>1318</v>
      </c>
      <c r="B387" t="s">
        <v>29</v>
      </c>
      <c r="C387" t="s">
        <v>110</v>
      </c>
      <c r="D387" t="s">
        <v>226</v>
      </c>
      <c r="E387" t="s">
        <v>1704</v>
      </c>
      <c r="F387" t="s">
        <v>1712</v>
      </c>
      <c r="G387">
        <v>1600000</v>
      </c>
      <c r="H387">
        <v>0</v>
      </c>
      <c r="I387">
        <v>1600000</v>
      </c>
      <c r="J387">
        <v>0</v>
      </c>
      <c r="K387">
        <v>0</v>
      </c>
      <c r="L387">
        <v>0</v>
      </c>
      <c r="M387">
        <v>1600000</v>
      </c>
      <c r="N387">
        <v>0</v>
      </c>
      <c r="O387">
        <v>0</v>
      </c>
      <c r="P387" t="s">
        <v>34</v>
      </c>
      <c r="Q387" t="s">
        <v>34</v>
      </c>
      <c r="R387" t="s">
        <v>34</v>
      </c>
      <c r="S387" t="s">
        <v>41</v>
      </c>
      <c r="T387" t="s">
        <v>34</v>
      </c>
      <c r="U387" t="s">
        <v>35</v>
      </c>
      <c r="V387" t="s">
        <v>1713</v>
      </c>
      <c r="X387">
        <v>800000</v>
      </c>
      <c r="Y387">
        <v>2</v>
      </c>
    </row>
    <row r="388" spans="1:25" x14ac:dyDescent="0.35">
      <c r="A388" t="s">
        <v>1941</v>
      </c>
      <c r="B388" t="s">
        <v>59</v>
      </c>
      <c r="C388" t="s">
        <v>182</v>
      </c>
      <c r="D388" t="s">
        <v>2386</v>
      </c>
      <c r="E388" t="s">
        <v>2387</v>
      </c>
      <c r="F388" t="s">
        <v>2379</v>
      </c>
      <c r="G388">
        <v>2596000</v>
      </c>
      <c r="H388">
        <v>0</v>
      </c>
      <c r="I388">
        <v>2596000</v>
      </c>
      <c r="J388">
        <v>0</v>
      </c>
      <c r="K388">
        <v>2596000</v>
      </c>
      <c r="L388">
        <v>0</v>
      </c>
      <c r="M388">
        <v>0</v>
      </c>
      <c r="N388">
        <v>0</v>
      </c>
      <c r="O388">
        <v>0</v>
      </c>
      <c r="P388" t="s">
        <v>34</v>
      </c>
      <c r="Q388" t="s">
        <v>34</v>
      </c>
      <c r="R388" t="s">
        <v>2388</v>
      </c>
      <c r="S388" t="s">
        <v>41</v>
      </c>
      <c r="T388" t="s">
        <v>34</v>
      </c>
      <c r="U388" t="s">
        <v>35</v>
      </c>
      <c r="V388" t="s">
        <v>2389</v>
      </c>
      <c r="X388">
        <v>649000</v>
      </c>
      <c r="Y388">
        <v>4</v>
      </c>
    </row>
    <row r="389" spans="1:25" x14ac:dyDescent="0.35">
      <c r="A389" t="s">
        <v>1381</v>
      </c>
      <c r="B389" t="s">
        <v>59</v>
      </c>
      <c r="C389" t="s">
        <v>182</v>
      </c>
      <c r="D389" t="s">
        <v>1721</v>
      </c>
      <c r="E389" t="s">
        <v>1722</v>
      </c>
      <c r="F389" t="s">
        <v>1723</v>
      </c>
      <c r="G389">
        <v>549000</v>
      </c>
      <c r="H389">
        <v>0</v>
      </c>
      <c r="I389">
        <v>549000</v>
      </c>
      <c r="J389">
        <v>0</v>
      </c>
      <c r="K389">
        <v>0</v>
      </c>
      <c r="L389">
        <v>0</v>
      </c>
      <c r="M389">
        <v>549000</v>
      </c>
      <c r="N389">
        <v>0</v>
      </c>
      <c r="O389">
        <v>0</v>
      </c>
      <c r="P389" t="s">
        <v>1724</v>
      </c>
      <c r="Q389" t="s">
        <v>34</v>
      </c>
      <c r="R389" t="s">
        <v>1725</v>
      </c>
      <c r="S389" t="s">
        <v>41</v>
      </c>
      <c r="T389" t="s">
        <v>34</v>
      </c>
      <c r="U389" t="s">
        <v>35</v>
      </c>
      <c r="V389" t="s">
        <v>1726</v>
      </c>
      <c r="X389">
        <v>549000</v>
      </c>
      <c r="Y389">
        <v>1</v>
      </c>
    </row>
    <row r="390" spans="1:25" x14ac:dyDescent="0.35">
      <c r="A390" t="s">
        <v>1394</v>
      </c>
      <c r="B390" t="s">
        <v>71</v>
      </c>
      <c r="C390" t="s">
        <v>72</v>
      </c>
      <c r="D390" t="s">
        <v>1727</v>
      </c>
      <c r="E390" t="s">
        <v>1728</v>
      </c>
      <c r="F390" t="s">
        <v>1729</v>
      </c>
      <c r="G390">
        <v>749000</v>
      </c>
      <c r="H390">
        <v>0</v>
      </c>
      <c r="I390">
        <v>749000</v>
      </c>
      <c r="J390">
        <v>0</v>
      </c>
      <c r="K390">
        <v>0</v>
      </c>
      <c r="L390">
        <v>0</v>
      </c>
      <c r="M390">
        <v>749000</v>
      </c>
      <c r="N390">
        <v>0</v>
      </c>
      <c r="O390">
        <v>0</v>
      </c>
      <c r="P390" t="s">
        <v>1730</v>
      </c>
      <c r="Q390" t="s">
        <v>34</v>
      </c>
      <c r="R390" t="s">
        <v>1731</v>
      </c>
      <c r="S390" t="s">
        <v>41</v>
      </c>
      <c r="T390" t="s">
        <v>34</v>
      </c>
      <c r="U390" t="s">
        <v>35</v>
      </c>
      <c r="V390" t="s">
        <v>1732</v>
      </c>
      <c r="X390">
        <v>749000</v>
      </c>
      <c r="Y390">
        <v>1</v>
      </c>
    </row>
    <row r="391" spans="1:25" x14ac:dyDescent="0.35">
      <c r="A391" t="s">
        <v>1733</v>
      </c>
      <c r="B391" t="s">
        <v>71</v>
      </c>
      <c r="C391" t="s">
        <v>1086</v>
      </c>
      <c r="D391" t="s">
        <v>1734</v>
      </c>
      <c r="E391" t="s">
        <v>1735</v>
      </c>
      <c r="F391" t="s">
        <v>1736</v>
      </c>
      <c r="G391">
        <v>700000</v>
      </c>
      <c r="H391">
        <v>0</v>
      </c>
      <c r="I391">
        <v>700000</v>
      </c>
      <c r="J391">
        <v>0</v>
      </c>
      <c r="K391">
        <v>0</v>
      </c>
      <c r="L391">
        <v>0</v>
      </c>
      <c r="M391">
        <v>700000</v>
      </c>
      <c r="N391">
        <v>0</v>
      </c>
      <c r="O391">
        <v>0</v>
      </c>
      <c r="P391" t="s">
        <v>34</v>
      </c>
      <c r="Q391" t="s">
        <v>34</v>
      </c>
      <c r="R391" t="s">
        <v>34</v>
      </c>
      <c r="S391" t="s">
        <v>41</v>
      </c>
      <c r="T391" t="s">
        <v>34</v>
      </c>
      <c r="U391" t="s">
        <v>35</v>
      </c>
      <c r="V391" t="s">
        <v>1737</v>
      </c>
      <c r="X391">
        <v>700000</v>
      </c>
      <c r="Y391">
        <v>1</v>
      </c>
    </row>
    <row r="392" spans="1:25" x14ac:dyDescent="0.35">
      <c r="A392" t="s">
        <v>1733</v>
      </c>
      <c r="B392" t="s">
        <v>29</v>
      </c>
      <c r="C392" t="s">
        <v>30</v>
      </c>
      <c r="D392" t="s">
        <v>226</v>
      </c>
      <c r="E392" t="s">
        <v>1735</v>
      </c>
      <c r="F392" t="s">
        <v>1736</v>
      </c>
      <c r="G392">
        <v>900000</v>
      </c>
      <c r="H392">
        <v>0</v>
      </c>
      <c r="I392">
        <v>900000</v>
      </c>
      <c r="J392">
        <v>0</v>
      </c>
      <c r="K392">
        <v>0</v>
      </c>
      <c r="L392">
        <v>0</v>
      </c>
      <c r="M392">
        <v>900000</v>
      </c>
      <c r="N392">
        <v>0</v>
      </c>
      <c r="O392">
        <v>0</v>
      </c>
      <c r="S392" t="s">
        <v>41</v>
      </c>
      <c r="T392" t="s">
        <v>34</v>
      </c>
      <c r="U392" t="s">
        <v>35</v>
      </c>
      <c r="V392" t="s">
        <v>1738</v>
      </c>
      <c r="X392">
        <v>900000</v>
      </c>
      <c r="Y392">
        <v>1</v>
      </c>
    </row>
    <row r="393" spans="1:25" x14ac:dyDescent="0.35">
      <c r="A393" t="s">
        <v>1361</v>
      </c>
      <c r="B393" t="s">
        <v>59</v>
      </c>
      <c r="C393" t="s">
        <v>193</v>
      </c>
      <c r="D393" t="s">
        <v>376</v>
      </c>
      <c r="E393" t="s">
        <v>1739</v>
      </c>
      <c r="F393" t="s">
        <v>1740</v>
      </c>
      <c r="G393">
        <v>1298000</v>
      </c>
      <c r="H393">
        <v>0</v>
      </c>
      <c r="I393">
        <v>1298000</v>
      </c>
      <c r="J393">
        <v>0</v>
      </c>
      <c r="K393">
        <v>1298000</v>
      </c>
      <c r="L393">
        <v>0</v>
      </c>
      <c r="M393">
        <v>0</v>
      </c>
      <c r="N393">
        <v>0</v>
      </c>
      <c r="O393">
        <v>0</v>
      </c>
      <c r="P393" t="s">
        <v>378</v>
      </c>
      <c r="Q393" t="s">
        <v>34</v>
      </c>
      <c r="R393" t="s">
        <v>34</v>
      </c>
      <c r="S393" t="s">
        <v>41</v>
      </c>
      <c r="T393" t="s">
        <v>34</v>
      </c>
      <c r="U393" t="s">
        <v>35</v>
      </c>
      <c r="V393" t="s">
        <v>1741</v>
      </c>
      <c r="X393">
        <v>649000</v>
      </c>
      <c r="Y393">
        <v>2</v>
      </c>
    </row>
    <row r="394" spans="1:25" x14ac:dyDescent="0.35">
      <c r="A394" t="s">
        <v>1941</v>
      </c>
      <c r="B394" t="s">
        <v>59</v>
      </c>
      <c r="C394" t="s">
        <v>122</v>
      </c>
      <c r="D394" t="s">
        <v>2382</v>
      </c>
      <c r="E394" t="s">
        <v>2383</v>
      </c>
      <c r="F394" t="s">
        <v>2379</v>
      </c>
      <c r="G394">
        <v>2596000</v>
      </c>
      <c r="H394">
        <v>0</v>
      </c>
      <c r="I394">
        <v>2596000</v>
      </c>
      <c r="J394">
        <v>0</v>
      </c>
      <c r="K394">
        <v>2596000</v>
      </c>
      <c r="L394">
        <v>0</v>
      </c>
      <c r="M394">
        <v>0</v>
      </c>
      <c r="N394">
        <v>0</v>
      </c>
      <c r="O394">
        <v>0</v>
      </c>
      <c r="P394" t="s">
        <v>34</v>
      </c>
      <c r="Q394" t="s">
        <v>34</v>
      </c>
      <c r="R394" t="s">
        <v>2384</v>
      </c>
      <c r="S394" t="s">
        <v>41</v>
      </c>
      <c r="T394" t="s">
        <v>34</v>
      </c>
      <c r="U394" t="s">
        <v>35</v>
      </c>
      <c r="V394" t="s">
        <v>2385</v>
      </c>
      <c r="X394">
        <v>649000</v>
      </c>
      <c r="Y394">
        <v>4</v>
      </c>
    </row>
    <row r="395" spans="1:25" x14ac:dyDescent="0.35">
      <c r="A395" t="s">
        <v>1442</v>
      </c>
      <c r="B395" t="s">
        <v>29</v>
      </c>
      <c r="C395" t="s">
        <v>413</v>
      </c>
      <c r="D395" t="s">
        <v>1745</v>
      </c>
      <c r="E395" t="s">
        <v>1743</v>
      </c>
      <c r="F395" t="s">
        <v>1740</v>
      </c>
      <c r="G395">
        <v>750000</v>
      </c>
      <c r="H395">
        <v>0</v>
      </c>
      <c r="I395">
        <v>750000</v>
      </c>
      <c r="J395">
        <v>0</v>
      </c>
      <c r="K395">
        <v>750000</v>
      </c>
      <c r="L395">
        <v>0</v>
      </c>
      <c r="M395">
        <v>0</v>
      </c>
      <c r="N395">
        <v>0</v>
      </c>
      <c r="O395">
        <v>0</v>
      </c>
      <c r="P395" t="s">
        <v>1746</v>
      </c>
      <c r="S395" t="s">
        <v>41</v>
      </c>
      <c r="T395" t="s">
        <v>34</v>
      </c>
      <c r="U395" t="s">
        <v>35</v>
      </c>
      <c r="V395" t="s">
        <v>1747</v>
      </c>
      <c r="X395">
        <v>750000</v>
      </c>
      <c r="Y395">
        <v>1</v>
      </c>
    </row>
    <row r="396" spans="1:25" x14ac:dyDescent="0.35">
      <c r="A396" t="s">
        <v>1404</v>
      </c>
      <c r="B396" t="s">
        <v>64</v>
      </c>
      <c r="C396" t="s">
        <v>173</v>
      </c>
      <c r="D396" t="s">
        <v>1748</v>
      </c>
      <c r="E396" t="s">
        <v>1749</v>
      </c>
      <c r="F396" t="s">
        <v>1740</v>
      </c>
      <c r="G396">
        <v>649000</v>
      </c>
      <c r="H396">
        <v>0</v>
      </c>
      <c r="I396">
        <v>649000</v>
      </c>
      <c r="J396">
        <v>0</v>
      </c>
      <c r="K396">
        <v>0</v>
      </c>
      <c r="L396">
        <v>0</v>
      </c>
      <c r="M396">
        <v>649000</v>
      </c>
      <c r="N396">
        <v>0</v>
      </c>
      <c r="O396">
        <v>0</v>
      </c>
      <c r="P396" t="s">
        <v>1750</v>
      </c>
      <c r="Q396" t="s">
        <v>1751</v>
      </c>
      <c r="R396" t="s">
        <v>1752</v>
      </c>
      <c r="S396" t="s">
        <v>41</v>
      </c>
      <c r="T396" t="s">
        <v>34</v>
      </c>
      <c r="U396" t="s">
        <v>35</v>
      </c>
      <c r="V396" t="s">
        <v>1753</v>
      </c>
      <c r="W396" t="s">
        <v>1754</v>
      </c>
      <c r="X396">
        <v>649000</v>
      </c>
      <c r="Y396">
        <v>1</v>
      </c>
    </row>
    <row r="397" spans="1:25" x14ac:dyDescent="0.35">
      <c r="A397" t="s">
        <v>1755</v>
      </c>
      <c r="B397" t="s">
        <v>71</v>
      </c>
      <c r="C397" t="s">
        <v>1086</v>
      </c>
      <c r="D397" t="s">
        <v>1756</v>
      </c>
      <c r="E397" t="s">
        <v>1757</v>
      </c>
      <c r="F397" t="s">
        <v>1758</v>
      </c>
      <c r="G397">
        <v>400000</v>
      </c>
      <c r="H397">
        <v>0</v>
      </c>
      <c r="I397">
        <v>400000</v>
      </c>
      <c r="J397">
        <v>0</v>
      </c>
      <c r="K397">
        <v>400000</v>
      </c>
      <c r="L397">
        <v>0</v>
      </c>
      <c r="M397">
        <v>0</v>
      </c>
      <c r="N397">
        <v>0</v>
      </c>
      <c r="O397">
        <v>0</v>
      </c>
      <c r="P397" t="s">
        <v>1759</v>
      </c>
      <c r="Q397" t="s">
        <v>34</v>
      </c>
      <c r="R397" t="s">
        <v>1760</v>
      </c>
      <c r="S397" t="s">
        <v>41</v>
      </c>
      <c r="T397" t="s">
        <v>34</v>
      </c>
      <c r="U397" t="s">
        <v>35</v>
      </c>
      <c r="V397" t="s">
        <v>1761</v>
      </c>
      <c r="X397">
        <v>400000</v>
      </c>
      <c r="Y397">
        <v>1</v>
      </c>
    </row>
    <row r="398" spans="1:25" x14ac:dyDescent="0.35">
      <c r="A398" t="s">
        <v>1762</v>
      </c>
      <c r="B398" t="s">
        <v>59</v>
      </c>
      <c r="C398" t="s">
        <v>193</v>
      </c>
      <c r="D398" t="s">
        <v>1763</v>
      </c>
      <c r="E398" t="s">
        <v>1764</v>
      </c>
      <c r="F398" t="s">
        <v>1765</v>
      </c>
      <c r="G398">
        <v>400000</v>
      </c>
      <c r="H398">
        <v>0</v>
      </c>
      <c r="I398">
        <v>400000</v>
      </c>
      <c r="J398">
        <v>0</v>
      </c>
      <c r="K398">
        <v>0</v>
      </c>
      <c r="L398">
        <v>0</v>
      </c>
      <c r="M398">
        <v>400000</v>
      </c>
      <c r="N398">
        <v>0</v>
      </c>
      <c r="O398">
        <v>0</v>
      </c>
      <c r="P398" t="s">
        <v>1766</v>
      </c>
      <c r="Q398" t="s">
        <v>34</v>
      </c>
      <c r="R398" t="s">
        <v>1767</v>
      </c>
      <c r="S398" t="s">
        <v>41</v>
      </c>
      <c r="T398" t="s">
        <v>34</v>
      </c>
      <c r="U398" t="s">
        <v>35</v>
      </c>
      <c r="V398" t="s">
        <v>1768</v>
      </c>
      <c r="X398">
        <v>400000</v>
      </c>
      <c r="Y398">
        <v>1</v>
      </c>
    </row>
    <row r="399" spans="1:25" x14ac:dyDescent="0.35">
      <c r="A399" t="s">
        <v>1261</v>
      </c>
      <c r="B399" t="s">
        <v>71</v>
      </c>
      <c r="C399" t="s">
        <v>95</v>
      </c>
      <c r="D399" t="s">
        <v>429</v>
      </c>
      <c r="E399" t="s">
        <v>1743</v>
      </c>
      <c r="F399" t="s">
        <v>1769</v>
      </c>
      <c r="G399">
        <v>1258000</v>
      </c>
      <c r="H399">
        <v>0</v>
      </c>
      <c r="I399">
        <v>1258000</v>
      </c>
      <c r="J399">
        <v>0</v>
      </c>
      <c r="K399">
        <v>0</v>
      </c>
      <c r="L399">
        <v>0</v>
      </c>
      <c r="M399">
        <v>1258000</v>
      </c>
      <c r="N399">
        <v>0</v>
      </c>
      <c r="O399">
        <v>0</v>
      </c>
      <c r="P399" t="s">
        <v>432</v>
      </c>
      <c r="Q399" t="s">
        <v>34</v>
      </c>
      <c r="R399" t="s">
        <v>34</v>
      </c>
      <c r="S399" t="s">
        <v>41</v>
      </c>
      <c r="T399" t="s">
        <v>34</v>
      </c>
      <c r="U399" t="s">
        <v>35</v>
      </c>
      <c r="V399" t="s">
        <v>1770</v>
      </c>
      <c r="X399">
        <v>629000</v>
      </c>
      <c r="Y399">
        <v>2</v>
      </c>
    </row>
    <row r="400" spans="1:25" x14ac:dyDescent="0.35">
      <c r="A400" t="s">
        <v>1733</v>
      </c>
      <c r="B400" t="s">
        <v>29</v>
      </c>
      <c r="C400" t="s">
        <v>506</v>
      </c>
      <c r="D400" t="s">
        <v>226</v>
      </c>
      <c r="E400" t="s">
        <v>1735</v>
      </c>
      <c r="F400" t="s">
        <v>1771</v>
      </c>
      <c r="G400">
        <v>1800000</v>
      </c>
      <c r="H400">
        <v>35000</v>
      </c>
      <c r="I400">
        <v>1835000</v>
      </c>
      <c r="J400">
        <v>0</v>
      </c>
      <c r="K400">
        <v>35000</v>
      </c>
      <c r="L400">
        <v>0</v>
      </c>
      <c r="M400">
        <v>1800000</v>
      </c>
      <c r="N400">
        <v>0</v>
      </c>
      <c r="O400">
        <v>0</v>
      </c>
      <c r="S400" t="s">
        <v>41</v>
      </c>
      <c r="T400" t="s">
        <v>34</v>
      </c>
      <c r="U400" t="s">
        <v>35</v>
      </c>
      <c r="V400" t="s">
        <v>1772</v>
      </c>
      <c r="X400">
        <v>900000</v>
      </c>
      <c r="Y400">
        <v>2</v>
      </c>
    </row>
    <row r="401" spans="1:25" x14ac:dyDescent="0.35">
      <c r="A401" t="s">
        <v>1733</v>
      </c>
      <c r="B401" t="s">
        <v>29</v>
      </c>
      <c r="C401" t="s">
        <v>110</v>
      </c>
      <c r="D401" t="s">
        <v>226</v>
      </c>
      <c r="E401" t="s">
        <v>1735</v>
      </c>
      <c r="F401" t="s">
        <v>1771</v>
      </c>
      <c r="G401">
        <v>1800000</v>
      </c>
      <c r="H401">
        <v>0</v>
      </c>
      <c r="I401">
        <v>1800000</v>
      </c>
      <c r="J401">
        <v>0</v>
      </c>
      <c r="K401">
        <v>0</v>
      </c>
      <c r="L401">
        <v>0</v>
      </c>
      <c r="M401">
        <v>1800000</v>
      </c>
      <c r="N401">
        <v>0</v>
      </c>
      <c r="O401">
        <v>0</v>
      </c>
      <c r="S401" t="s">
        <v>41</v>
      </c>
      <c r="T401" t="s">
        <v>34</v>
      </c>
      <c r="U401" t="s">
        <v>35</v>
      </c>
      <c r="V401" t="s">
        <v>1773</v>
      </c>
      <c r="X401">
        <v>900000</v>
      </c>
      <c r="Y401">
        <v>2</v>
      </c>
    </row>
    <row r="402" spans="1:25" x14ac:dyDescent="0.35">
      <c r="A402" t="s">
        <v>1426</v>
      </c>
      <c r="B402" t="s">
        <v>59</v>
      </c>
      <c r="C402" t="s">
        <v>60</v>
      </c>
      <c r="D402" t="s">
        <v>1774</v>
      </c>
      <c r="E402" t="s">
        <v>1775</v>
      </c>
      <c r="F402" t="s">
        <v>1776</v>
      </c>
      <c r="G402">
        <v>1300000</v>
      </c>
      <c r="H402">
        <v>0</v>
      </c>
      <c r="I402">
        <v>1300000</v>
      </c>
      <c r="J402">
        <v>0</v>
      </c>
      <c r="K402">
        <v>0</v>
      </c>
      <c r="L402">
        <v>0</v>
      </c>
      <c r="M402">
        <v>1300000</v>
      </c>
      <c r="N402">
        <v>0</v>
      </c>
      <c r="O402">
        <v>0</v>
      </c>
      <c r="P402" t="s">
        <v>1777</v>
      </c>
      <c r="Q402" t="s">
        <v>34</v>
      </c>
      <c r="R402" t="s">
        <v>1778</v>
      </c>
      <c r="S402" t="s">
        <v>41</v>
      </c>
      <c r="T402" t="s">
        <v>34</v>
      </c>
      <c r="U402" t="s">
        <v>35</v>
      </c>
      <c r="V402" t="s">
        <v>1779</v>
      </c>
      <c r="X402">
        <v>650000</v>
      </c>
      <c r="Y402">
        <v>2</v>
      </c>
    </row>
    <row r="403" spans="1:25" x14ac:dyDescent="0.35">
      <c r="A403" t="s">
        <v>1414</v>
      </c>
      <c r="B403" t="s">
        <v>29</v>
      </c>
      <c r="C403" t="s">
        <v>43</v>
      </c>
      <c r="D403" t="s">
        <v>226</v>
      </c>
      <c r="E403" t="s">
        <v>1780</v>
      </c>
      <c r="F403" t="s">
        <v>1781</v>
      </c>
      <c r="G403">
        <v>2700000</v>
      </c>
      <c r="H403">
        <v>0</v>
      </c>
      <c r="I403">
        <v>2700000</v>
      </c>
      <c r="J403">
        <v>0</v>
      </c>
      <c r="K403">
        <v>0</v>
      </c>
      <c r="L403">
        <v>0</v>
      </c>
      <c r="M403">
        <v>2700000</v>
      </c>
      <c r="N403">
        <v>0</v>
      </c>
      <c r="O403">
        <v>0</v>
      </c>
      <c r="P403" t="s">
        <v>34</v>
      </c>
      <c r="Q403" t="s">
        <v>34</v>
      </c>
      <c r="R403" t="s">
        <v>34</v>
      </c>
      <c r="S403" t="s">
        <v>41</v>
      </c>
      <c r="T403" t="s">
        <v>34</v>
      </c>
      <c r="U403" t="s">
        <v>35</v>
      </c>
      <c r="V403" t="s">
        <v>1782</v>
      </c>
      <c r="X403">
        <v>900000</v>
      </c>
      <c r="Y403">
        <v>3</v>
      </c>
    </row>
    <row r="404" spans="1:25" x14ac:dyDescent="0.35">
      <c r="A404" t="s">
        <v>1414</v>
      </c>
      <c r="B404" t="s">
        <v>59</v>
      </c>
      <c r="C404" t="s">
        <v>122</v>
      </c>
      <c r="D404" t="s">
        <v>1783</v>
      </c>
      <c r="E404" t="s">
        <v>1784</v>
      </c>
      <c r="F404" t="s">
        <v>1781</v>
      </c>
      <c r="G404">
        <v>1950000</v>
      </c>
      <c r="H404">
        <v>0</v>
      </c>
      <c r="I404">
        <v>1950000</v>
      </c>
      <c r="J404">
        <v>0</v>
      </c>
      <c r="K404">
        <v>0</v>
      </c>
      <c r="L404">
        <v>0</v>
      </c>
      <c r="M404">
        <v>1950000</v>
      </c>
      <c r="N404">
        <v>0</v>
      </c>
      <c r="O404">
        <v>0</v>
      </c>
      <c r="S404" t="s">
        <v>41</v>
      </c>
      <c r="T404" t="s">
        <v>34</v>
      </c>
      <c r="U404" t="s">
        <v>35</v>
      </c>
      <c r="V404" t="s">
        <v>1785</v>
      </c>
      <c r="X404">
        <v>650000</v>
      </c>
      <c r="Y404">
        <v>3</v>
      </c>
    </row>
    <row r="405" spans="1:25" x14ac:dyDescent="0.35">
      <c r="A405" t="s">
        <v>1709</v>
      </c>
      <c r="B405" t="s">
        <v>64</v>
      </c>
      <c r="C405" t="s">
        <v>89</v>
      </c>
      <c r="D405" t="s">
        <v>2377</v>
      </c>
      <c r="E405" t="s">
        <v>2378</v>
      </c>
      <c r="F405" t="s">
        <v>2379</v>
      </c>
      <c r="G405">
        <v>1100000</v>
      </c>
      <c r="H405">
        <v>0</v>
      </c>
      <c r="I405">
        <v>1100000</v>
      </c>
      <c r="J405">
        <v>0</v>
      </c>
      <c r="K405">
        <v>875000</v>
      </c>
      <c r="L405">
        <v>0</v>
      </c>
      <c r="M405">
        <v>225000</v>
      </c>
      <c r="N405">
        <v>0</v>
      </c>
      <c r="O405">
        <v>0</v>
      </c>
      <c r="P405" t="s">
        <v>2380</v>
      </c>
      <c r="Q405" t="s">
        <v>34</v>
      </c>
      <c r="R405" t="s">
        <v>34</v>
      </c>
      <c r="S405" t="s">
        <v>41</v>
      </c>
      <c r="T405" t="s">
        <v>34</v>
      </c>
      <c r="U405" t="s">
        <v>35</v>
      </c>
      <c r="V405" t="s">
        <v>2381</v>
      </c>
      <c r="X405">
        <v>550000</v>
      </c>
      <c r="Y405">
        <v>2</v>
      </c>
    </row>
    <row r="406" spans="1:25" x14ac:dyDescent="0.35">
      <c r="A406" t="s">
        <v>2373</v>
      </c>
      <c r="B406" t="s">
        <v>64</v>
      </c>
      <c r="C406" t="s">
        <v>83</v>
      </c>
      <c r="D406" t="s">
        <v>2374</v>
      </c>
      <c r="E406" t="s">
        <v>2375</v>
      </c>
      <c r="F406" t="s">
        <v>2371</v>
      </c>
      <c r="G406">
        <v>549000</v>
      </c>
      <c r="H406">
        <v>0</v>
      </c>
      <c r="I406">
        <v>549000</v>
      </c>
      <c r="J406">
        <v>0</v>
      </c>
      <c r="K406">
        <v>0</v>
      </c>
      <c r="L406">
        <v>0</v>
      </c>
      <c r="M406">
        <v>549000</v>
      </c>
      <c r="N406">
        <v>0</v>
      </c>
      <c r="O406">
        <v>0</v>
      </c>
      <c r="P406" t="s">
        <v>34</v>
      </c>
      <c r="Q406" t="s">
        <v>34</v>
      </c>
      <c r="R406" t="s">
        <v>34</v>
      </c>
      <c r="S406" t="s">
        <v>41</v>
      </c>
      <c r="T406" t="s">
        <v>34</v>
      </c>
      <c r="U406" t="s">
        <v>35</v>
      </c>
      <c r="V406" t="s">
        <v>2376</v>
      </c>
      <c r="X406">
        <v>549000</v>
      </c>
      <c r="Y406">
        <v>1</v>
      </c>
    </row>
    <row r="407" spans="1:25" x14ac:dyDescent="0.35">
      <c r="A407" t="s">
        <v>1436</v>
      </c>
      <c r="B407" t="s">
        <v>59</v>
      </c>
      <c r="C407" t="s">
        <v>193</v>
      </c>
      <c r="D407" t="s">
        <v>1748</v>
      </c>
      <c r="E407" t="s">
        <v>1801</v>
      </c>
      <c r="F407" t="s">
        <v>1802</v>
      </c>
      <c r="G407">
        <v>549000</v>
      </c>
      <c r="H407">
        <v>0</v>
      </c>
      <c r="I407">
        <v>549000</v>
      </c>
      <c r="J407">
        <v>0</v>
      </c>
      <c r="K407">
        <v>0</v>
      </c>
      <c r="L407">
        <v>0</v>
      </c>
      <c r="M407">
        <v>549000</v>
      </c>
      <c r="N407">
        <v>0</v>
      </c>
      <c r="O407">
        <v>0</v>
      </c>
      <c r="P407" t="s">
        <v>1750</v>
      </c>
      <c r="Q407" t="s">
        <v>1751</v>
      </c>
      <c r="R407" t="s">
        <v>1752</v>
      </c>
      <c r="S407" t="s">
        <v>41</v>
      </c>
      <c r="T407" t="s">
        <v>34</v>
      </c>
      <c r="U407" t="s">
        <v>35</v>
      </c>
      <c r="V407" t="s">
        <v>1803</v>
      </c>
      <c r="X407">
        <v>549000</v>
      </c>
      <c r="Y407">
        <v>1</v>
      </c>
    </row>
    <row r="408" spans="1:25" x14ac:dyDescent="0.35">
      <c r="A408" t="s">
        <v>1989</v>
      </c>
      <c r="B408" t="s">
        <v>71</v>
      </c>
      <c r="C408" t="s">
        <v>72</v>
      </c>
      <c r="D408" t="s">
        <v>2369</v>
      </c>
      <c r="E408" t="s">
        <v>2370</v>
      </c>
      <c r="F408" t="s">
        <v>2371</v>
      </c>
      <c r="G408">
        <v>1000000</v>
      </c>
      <c r="H408">
        <v>0</v>
      </c>
      <c r="I408">
        <v>1000000</v>
      </c>
      <c r="J408">
        <v>0</v>
      </c>
      <c r="K408">
        <v>1000000</v>
      </c>
      <c r="L408">
        <v>0</v>
      </c>
      <c r="M408">
        <v>0</v>
      </c>
      <c r="N408">
        <v>0</v>
      </c>
      <c r="O408">
        <v>0</v>
      </c>
      <c r="S408" t="s">
        <v>41</v>
      </c>
      <c r="T408" t="s">
        <v>34</v>
      </c>
      <c r="U408" t="s">
        <v>35</v>
      </c>
      <c r="V408" t="s">
        <v>2372</v>
      </c>
      <c r="X408">
        <v>500000</v>
      </c>
      <c r="Y408">
        <v>2</v>
      </c>
    </row>
    <row r="409" spans="1:25" x14ac:dyDescent="0.35">
      <c r="A409" t="s">
        <v>1810</v>
      </c>
      <c r="B409" t="s">
        <v>71</v>
      </c>
      <c r="C409" t="s">
        <v>72</v>
      </c>
      <c r="D409" t="s">
        <v>1811</v>
      </c>
      <c r="E409" t="s">
        <v>1812</v>
      </c>
      <c r="F409" t="s">
        <v>1813</v>
      </c>
      <c r="G409">
        <v>1350000</v>
      </c>
      <c r="H409">
        <v>0</v>
      </c>
      <c r="I409">
        <v>1350000</v>
      </c>
      <c r="J409">
        <v>0</v>
      </c>
      <c r="K409">
        <v>1350000</v>
      </c>
      <c r="L409">
        <v>0</v>
      </c>
      <c r="M409">
        <v>0</v>
      </c>
      <c r="N409">
        <v>0</v>
      </c>
      <c r="O409">
        <v>0</v>
      </c>
      <c r="P409" t="s">
        <v>1814</v>
      </c>
      <c r="Q409" t="s">
        <v>34</v>
      </c>
      <c r="R409" t="s">
        <v>34</v>
      </c>
      <c r="S409" t="s">
        <v>41</v>
      </c>
      <c r="T409" t="s">
        <v>34</v>
      </c>
      <c r="U409" t="s">
        <v>35</v>
      </c>
      <c r="V409" t="s">
        <v>1815</v>
      </c>
      <c r="X409">
        <v>675000</v>
      </c>
      <c r="Y409">
        <v>2</v>
      </c>
    </row>
    <row r="410" spans="1:25" x14ac:dyDescent="0.35">
      <c r="A410" t="s">
        <v>1816</v>
      </c>
      <c r="B410" t="s">
        <v>71</v>
      </c>
      <c r="C410" t="s">
        <v>95</v>
      </c>
      <c r="D410" t="s">
        <v>1817</v>
      </c>
      <c r="E410" t="s">
        <v>1818</v>
      </c>
      <c r="F410" t="s">
        <v>1813</v>
      </c>
      <c r="G410">
        <v>699000</v>
      </c>
      <c r="H410">
        <v>0</v>
      </c>
      <c r="I410">
        <v>699000</v>
      </c>
      <c r="J410">
        <v>0</v>
      </c>
      <c r="K410">
        <v>0</v>
      </c>
      <c r="L410">
        <v>0</v>
      </c>
      <c r="M410">
        <v>699000</v>
      </c>
      <c r="N410">
        <v>0</v>
      </c>
      <c r="O410">
        <v>0</v>
      </c>
      <c r="P410" t="s">
        <v>1819</v>
      </c>
      <c r="Q410" t="s">
        <v>34</v>
      </c>
      <c r="R410" t="s">
        <v>34</v>
      </c>
      <c r="S410" t="s">
        <v>41</v>
      </c>
      <c r="T410" t="s">
        <v>34</v>
      </c>
      <c r="U410" t="s">
        <v>35</v>
      </c>
      <c r="V410" t="s">
        <v>1820</v>
      </c>
      <c r="X410">
        <v>699000</v>
      </c>
      <c r="Y410">
        <v>1</v>
      </c>
    </row>
    <row r="411" spans="1:25" x14ac:dyDescent="0.35">
      <c r="A411" t="s">
        <v>2031</v>
      </c>
      <c r="B411" t="s">
        <v>29</v>
      </c>
      <c r="C411" t="s">
        <v>30</v>
      </c>
      <c r="D411" t="s">
        <v>2362</v>
      </c>
      <c r="E411" t="s">
        <v>2363</v>
      </c>
      <c r="F411" t="s">
        <v>2364</v>
      </c>
      <c r="G411">
        <v>760000</v>
      </c>
      <c r="H411">
        <v>0</v>
      </c>
      <c r="I411">
        <v>760000</v>
      </c>
      <c r="J411">
        <v>0</v>
      </c>
      <c r="K411">
        <v>0</v>
      </c>
      <c r="L411">
        <v>0</v>
      </c>
      <c r="M411">
        <v>760000</v>
      </c>
      <c r="N411">
        <v>0</v>
      </c>
      <c r="O411">
        <v>0</v>
      </c>
      <c r="P411" t="s">
        <v>2365</v>
      </c>
      <c r="Q411" t="s">
        <v>2366</v>
      </c>
      <c r="R411" t="s">
        <v>2367</v>
      </c>
      <c r="S411" t="s">
        <v>41</v>
      </c>
      <c r="T411" t="s">
        <v>34</v>
      </c>
      <c r="U411" t="s">
        <v>35</v>
      </c>
      <c r="V411" t="s">
        <v>2368</v>
      </c>
      <c r="X411">
        <v>760000</v>
      </c>
      <c r="Y411">
        <v>1</v>
      </c>
    </row>
    <row r="412" spans="1:25" x14ac:dyDescent="0.35">
      <c r="A412" t="s">
        <v>1462</v>
      </c>
      <c r="B412" t="s">
        <v>29</v>
      </c>
      <c r="C412" t="s">
        <v>110</v>
      </c>
      <c r="D412" t="s">
        <v>1827</v>
      </c>
      <c r="E412" t="s">
        <v>1818</v>
      </c>
      <c r="F412" t="s">
        <v>1828</v>
      </c>
      <c r="G412">
        <v>1560000</v>
      </c>
      <c r="H412">
        <v>352000</v>
      </c>
      <c r="I412">
        <v>1912000</v>
      </c>
      <c r="J412">
        <v>0</v>
      </c>
      <c r="K412">
        <v>0</v>
      </c>
      <c r="L412">
        <v>0</v>
      </c>
      <c r="M412">
        <v>1912000</v>
      </c>
      <c r="N412">
        <v>0</v>
      </c>
      <c r="O412">
        <v>0</v>
      </c>
      <c r="P412" t="s">
        <v>34</v>
      </c>
      <c r="Q412" t="s">
        <v>34</v>
      </c>
      <c r="R412" t="s">
        <v>34</v>
      </c>
      <c r="S412" t="s">
        <v>41</v>
      </c>
      <c r="T412" t="s">
        <v>34</v>
      </c>
      <c r="U412" t="s">
        <v>35</v>
      </c>
      <c r="V412" t="s">
        <v>1829</v>
      </c>
      <c r="X412">
        <v>780000</v>
      </c>
      <c r="Y412">
        <v>2</v>
      </c>
    </row>
    <row r="413" spans="1:25" x14ac:dyDescent="0.35">
      <c r="A413" t="s">
        <v>1462</v>
      </c>
      <c r="B413" t="s">
        <v>29</v>
      </c>
      <c r="C413" t="s">
        <v>30</v>
      </c>
      <c r="D413" t="s">
        <v>226</v>
      </c>
      <c r="E413" t="s">
        <v>1818</v>
      </c>
      <c r="F413" t="s">
        <v>1828</v>
      </c>
      <c r="G413">
        <v>1560000</v>
      </c>
      <c r="H413">
        <v>0</v>
      </c>
      <c r="I413">
        <v>1560000</v>
      </c>
      <c r="J413">
        <v>0</v>
      </c>
      <c r="K413">
        <v>0</v>
      </c>
      <c r="L413">
        <v>0</v>
      </c>
      <c r="M413">
        <v>1560000</v>
      </c>
      <c r="N413">
        <v>0</v>
      </c>
      <c r="O413">
        <v>0</v>
      </c>
      <c r="S413" t="s">
        <v>41</v>
      </c>
      <c r="T413" t="s">
        <v>34</v>
      </c>
      <c r="U413" t="s">
        <v>35</v>
      </c>
      <c r="V413" t="s">
        <v>1830</v>
      </c>
      <c r="X413">
        <v>780000</v>
      </c>
      <c r="Y413">
        <v>2</v>
      </c>
    </row>
    <row r="414" spans="1:25" x14ac:dyDescent="0.35">
      <c r="A414" t="s">
        <v>811</v>
      </c>
      <c r="B414" t="s">
        <v>64</v>
      </c>
      <c r="C414" t="s">
        <v>83</v>
      </c>
      <c r="D414" t="s">
        <v>226</v>
      </c>
      <c r="E414" t="s">
        <v>1831</v>
      </c>
      <c r="F414" t="s">
        <v>1832</v>
      </c>
      <c r="G414">
        <v>15000000</v>
      </c>
      <c r="H414">
        <v>470000</v>
      </c>
      <c r="I414">
        <v>15470000</v>
      </c>
      <c r="J414">
        <v>0</v>
      </c>
      <c r="K414">
        <v>90000</v>
      </c>
      <c r="L414">
        <v>0</v>
      </c>
      <c r="M414">
        <v>15380000</v>
      </c>
      <c r="N414">
        <v>0</v>
      </c>
      <c r="O414">
        <v>0</v>
      </c>
      <c r="S414" t="s">
        <v>41</v>
      </c>
      <c r="T414" t="s">
        <v>34</v>
      </c>
      <c r="U414" t="s">
        <v>35</v>
      </c>
      <c r="V414" t="s">
        <v>1214</v>
      </c>
      <c r="X414">
        <v>500000</v>
      </c>
      <c r="Y414">
        <v>30</v>
      </c>
    </row>
    <row r="415" spans="1:25" x14ac:dyDescent="0.35">
      <c r="A415" t="s">
        <v>2345</v>
      </c>
      <c r="B415" t="s">
        <v>59</v>
      </c>
      <c r="C415" t="s">
        <v>60</v>
      </c>
      <c r="D415" t="s">
        <v>2346</v>
      </c>
      <c r="E415" t="s">
        <v>2347</v>
      </c>
      <c r="F415" t="s">
        <v>2348</v>
      </c>
      <c r="G415">
        <v>600000</v>
      </c>
      <c r="H415">
        <v>0</v>
      </c>
      <c r="I415">
        <v>600000</v>
      </c>
      <c r="J415">
        <v>0</v>
      </c>
      <c r="K415">
        <v>600000</v>
      </c>
      <c r="L415">
        <v>0</v>
      </c>
      <c r="M415">
        <v>0</v>
      </c>
      <c r="N415">
        <v>0</v>
      </c>
      <c r="O415">
        <v>0</v>
      </c>
      <c r="P415" t="s">
        <v>34</v>
      </c>
      <c r="Q415" t="s">
        <v>34</v>
      </c>
      <c r="R415" t="s">
        <v>34</v>
      </c>
      <c r="S415" t="s">
        <v>41</v>
      </c>
      <c r="T415" t="s">
        <v>34</v>
      </c>
      <c r="U415" t="s">
        <v>35</v>
      </c>
      <c r="V415" t="s">
        <v>2349</v>
      </c>
      <c r="X415">
        <v>600000</v>
      </c>
      <c r="Y415">
        <v>1</v>
      </c>
    </row>
    <row r="416" spans="1:25" x14ac:dyDescent="0.35">
      <c r="A416" t="s">
        <v>1837</v>
      </c>
      <c r="B416" t="s">
        <v>71</v>
      </c>
      <c r="C416" t="s">
        <v>72</v>
      </c>
      <c r="D416" t="s">
        <v>1685</v>
      </c>
      <c r="E416" t="s">
        <v>1838</v>
      </c>
      <c r="F416" t="s">
        <v>1839</v>
      </c>
      <c r="G416">
        <v>649000</v>
      </c>
      <c r="H416">
        <v>0</v>
      </c>
      <c r="I416">
        <v>649000</v>
      </c>
      <c r="J416">
        <v>0</v>
      </c>
      <c r="K416">
        <v>0</v>
      </c>
      <c r="L416">
        <v>0</v>
      </c>
      <c r="M416">
        <v>649000</v>
      </c>
      <c r="N416">
        <v>0</v>
      </c>
      <c r="O416">
        <v>0</v>
      </c>
      <c r="P416" t="s">
        <v>1688</v>
      </c>
      <c r="Q416" t="s">
        <v>34</v>
      </c>
      <c r="R416" t="s">
        <v>1689</v>
      </c>
      <c r="S416" t="s">
        <v>41</v>
      </c>
      <c r="T416" t="s">
        <v>34</v>
      </c>
      <c r="U416" t="s">
        <v>35</v>
      </c>
      <c r="V416" t="s">
        <v>1840</v>
      </c>
      <c r="X416">
        <v>649000</v>
      </c>
      <c r="Y416">
        <v>1</v>
      </c>
    </row>
    <row r="417" spans="1:25" x14ac:dyDescent="0.35">
      <c r="A417" t="s">
        <v>1962</v>
      </c>
      <c r="B417" t="s">
        <v>64</v>
      </c>
      <c r="C417" t="s">
        <v>89</v>
      </c>
      <c r="D417" t="s">
        <v>376</v>
      </c>
      <c r="E417" t="s">
        <v>2339</v>
      </c>
      <c r="F417" t="s">
        <v>2340</v>
      </c>
      <c r="G417">
        <v>500000</v>
      </c>
      <c r="H417">
        <v>0</v>
      </c>
      <c r="I417">
        <v>500000</v>
      </c>
      <c r="J417">
        <v>0</v>
      </c>
      <c r="K417">
        <v>500000</v>
      </c>
      <c r="L417">
        <v>0</v>
      </c>
      <c r="M417">
        <v>0</v>
      </c>
      <c r="N417">
        <v>0</v>
      </c>
      <c r="O417">
        <v>0</v>
      </c>
      <c r="P417" t="s">
        <v>378</v>
      </c>
      <c r="Q417" t="s">
        <v>34</v>
      </c>
      <c r="R417" t="s">
        <v>34</v>
      </c>
      <c r="S417" t="s">
        <v>41</v>
      </c>
      <c r="T417" t="s">
        <v>34</v>
      </c>
      <c r="U417" t="s">
        <v>35</v>
      </c>
      <c r="V417" t="s">
        <v>2341</v>
      </c>
      <c r="X417">
        <v>500000</v>
      </c>
      <c r="Y417">
        <v>1</v>
      </c>
    </row>
    <row r="418" spans="1:25" x14ac:dyDescent="0.35">
      <c r="A418" t="s">
        <v>1328</v>
      </c>
      <c r="B418" t="s">
        <v>59</v>
      </c>
      <c r="C418" t="s">
        <v>60</v>
      </c>
      <c r="D418" t="s">
        <v>624</v>
      </c>
      <c r="E418" t="s">
        <v>1846</v>
      </c>
      <c r="F418" t="s">
        <v>1847</v>
      </c>
      <c r="G418">
        <v>629000</v>
      </c>
      <c r="H418">
        <v>0</v>
      </c>
      <c r="I418">
        <v>629000</v>
      </c>
      <c r="J418">
        <v>0</v>
      </c>
      <c r="K418">
        <v>0</v>
      </c>
      <c r="L418">
        <v>0</v>
      </c>
      <c r="M418">
        <v>0</v>
      </c>
      <c r="N418">
        <v>629000</v>
      </c>
      <c r="O418">
        <v>0</v>
      </c>
      <c r="P418" t="s">
        <v>1567</v>
      </c>
      <c r="Q418" t="s">
        <v>1568</v>
      </c>
      <c r="R418" t="s">
        <v>34</v>
      </c>
      <c r="S418" t="s">
        <v>41</v>
      </c>
      <c r="T418" t="s">
        <v>34</v>
      </c>
      <c r="U418" t="s">
        <v>35</v>
      </c>
      <c r="V418" t="s">
        <v>1848</v>
      </c>
      <c r="X418">
        <v>629000</v>
      </c>
      <c r="Y418">
        <v>1</v>
      </c>
    </row>
    <row r="419" spans="1:25" x14ac:dyDescent="0.35">
      <c r="A419" t="s">
        <v>1503</v>
      </c>
      <c r="B419" t="s">
        <v>64</v>
      </c>
      <c r="C419" t="s">
        <v>99</v>
      </c>
      <c r="D419" t="s">
        <v>1849</v>
      </c>
      <c r="E419" t="s">
        <v>1784</v>
      </c>
      <c r="F419" t="s">
        <v>1847</v>
      </c>
      <c r="G419">
        <v>3000000</v>
      </c>
      <c r="H419">
        <v>0</v>
      </c>
      <c r="I419">
        <v>3000000</v>
      </c>
      <c r="J419">
        <v>0</v>
      </c>
      <c r="K419">
        <v>3000000</v>
      </c>
      <c r="L419">
        <v>0</v>
      </c>
      <c r="M419">
        <v>0</v>
      </c>
      <c r="N419">
        <v>0</v>
      </c>
      <c r="O419">
        <v>0</v>
      </c>
      <c r="P419" t="s">
        <v>34</v>
      </c>
      <c r="Q419" t="s">
        <v>34</v>
      </c>
      <c r="R419" t="s">
        <v>34</v>
      </c>
      <c r="S419" t="s">
        <v>41</v>
      </c>
      <c r="T419" t="s">
        <v>34</v>
      </c>
      <c r="U419" t="s">
        <v>35</v>
      </c>
      <c r="V419" t="s">
        <v>1850</v>
      </c>
      <c r="X419">
        <v>500000</v>
      </c>
      <c r="Y419">
        <v>6</v>
      </c>
    </row>
    <row r="420" spans="1:25" x14ac:dyDescent="0.35">
      <c r="A420" t="s">
        <v>811</v>
      </c>
      <c r="B420" t="s">
        <v>64</v>
      </c>
      <c r="C420" t="s">
        <v>83</v>
      </c>
      <c r="D420" t="s">
        <v>850</v>
      </c>
      <c r="E420" t="s">
        <v>1841</v>
      </c>
      <c r="F420" t="s">
        <v>1847</v>
      </c>
      <c r="G420">
        <v>500000</v>
      </c>
      <c r="H420">
        <v>0</v>
      </c>
      <c r="I420">
        <v>500000</v>
      </c>
      <c r="J420">
        <v>0</v>
      </c>
      <c r="K420">
        <v>0</v>
      </c>
      <c r="L420">
        <v>0</v>
      </c>
      <c r="M420">
        <v>500000</v>
      </c>
      <c r="N420">
        <v>0</v>
      </c>
      <c r="O420">
        <v>0</v>
      </c>
      <c r="P420" t="s">
        <v>853</v>
      </c>
      <c r="Q420" t="s">
        <v>34</v>
      </c>
      <c r="R420" t="s">
        <v>854</v>
      </c>
      <c r="S420" t="s">
        <v>41</v>
      </c>
      <c r="T420" t="s">
        <v>34</v>
      </c>
      <c r="U420" t="s">
        <v>35</v>
      </c>
      <c r="V420" t="s">
        <v>1851</v>
      </c>
      <c r="X420">
        <v>500000</v>
      </c>
      <c r="Y420">
        <v>1</v>
      </c>
    </row>
    <row r="421" spans="1:25" x14ac:dyDescent="0.35">
      <c r="A421" t="s">
        <v>1770</v>
      </c>
      <c r="B421" t="s">
        <v>59</v>
      </c>
      <c r="C421" t="s">
        <v>122</v>
      </c>
      <c r="D421" t="s">
        <v>1852</v>
      </c>
      <c r="E421" t="s">
        <v>1853</v>
      </c>
      <c r="F421" t="s">
        <v>1847</v>
      </c>
      <c r="G421">
        <v>550000</v>
      </c>
      <c r="H421">
        <v>0</v>
      </c>
      <c r="I421">
        <v>550000</v>
      </c>
      <c r="J421">
        <v>0</v>
      </c>
      <c r="K421">
        <v>550000</v>
      </c>
      <c r="L421">
        <v>0</v>
      </c>
      <c r="M421">
        <v>0</v>
      </c>
      <c r="N421">
        <v>0</v>
      </c>
      <c r="O421">
        <v>0</v>
      </c>
      <c r="S421" t="s">
        <v>41</v>
      </c>
      <c r="T421" t="s">
        <v>34</v>
      </c>
      <c r="U421" t="s">
        <v>35</v>
      </c>
      <c r="V421" t="s">
        <v>1854</v>
      </c>
      <c r="X421">
        <v>550000</v>
      </c>
      <c r="Y421">
        <v>1</v>
      </c>
    </row>
    <row r="422" spans="1:25" x14ac:dyDescent="0.35">
      <c r="A422" t="s">
        <v>2097</v>
      </c>
      <c r="B422" t="s">
        <v>29</v>
      </c>
      <c r="C422" t="s">
        <v>110</v>
      </c>
      <c r="D422" t="s">
        <v>2335</v>
      </c>
      <c r="E422" t="s">
        <v>2336</v>
      </c>
      <c r="F422" t="s">
        <v>2337</v>
      </c>
      <c r="G422">
        <v>350000</v>
      </c>
      <c r="H422">
        <v>0</v>
      </c>
      <c r="I422">
        <v>350000</v>
      </c>
      <c r="J422">
        <v>0</v>
      </c>
      <c r="K422">
        <v>350000</v>
      </c>
      <c r="L422">
        <v>0</v>
      </c>
      <c r="M422">
        <v>0</v>
      </c>
      <c r="N422">
        <v>0</v>
      </c>
      <c r="O422">
        <v>0</v>
      </c>
      <c r="S422" t="s">
        <v>41</v>
      </c>
      <c r="T422" t="s">
        <v>34</v>
      </c>
      <c r="U422" t="s">
        <v>35</v>
      </c>
      <c r="V422" t="s">
        <v>2338</v>
      </c>
      <c r="X422">
        <v>350000</v>
      </c>
      <c r="Y422">
        <v>1</v>
      </c>
    </row>
    <row r="423" spans="1:25" x14ac:dyDescent="0.35">
      <c r="A423" t="s">
        <v>83</v>
      </c>
      <c r="B423" t="s">
        <v>59</v>
      </c>
      <c r="C423" t="s">
        <v>122</v>
      </c>
      <c r="D423" t="s">
        <v>226</v>
      </c>
      <c r="E423" t="s">
        <v>1861</v>
      </c>
      <c r="F423" t="s">
        <v>1862</v>
      </c>
      <c r="G423">
        <v>600000</v>
      </c>
      <c r="H423">
        <v>0</v>
      </c>
      <c r="I423">
        <v>600000</v>
      </c>
      <c r="J423">
        <v>0</v>
      </c>
      <c r="K423">
        <v>600000</v>
      </c>
      <c r="L423">
        <v>0</v>
      </c>
      <c r="M423">
        <v>0</v>
      </c>
      <c r="N423">
        <v>0</v>
      </c>
      <c r="O423">
        <v>0</v>
      </c>
      <c r="S423" t="s">
        <v>41</v>
      </c>
      <c r="T423" t="s">
        <v>34</v>
      </c>
      <c r="U423" t="s">
        <v>35</v>
      </c>
      <c r="V423" t="s">
        <v>65</v>
      </c>
      <c r="X423">
        <v>600000</v>
      </c>
      <c r="Y423">
        <v>1</v>
      </c>
    </row>
    <row r="424" spans="1:25" x14ac:dyDescent="0.35">
      <c r="A424" t="s">
        <v>1493</v>
      </c>
      <c r="B424" t="s">
        <v>71</v>
      </c>
      <c r="C424" t="s">
        <v>95</v>
      </c>
      <c r="D424" t="s">
        <v>226</v>
      </c>
      <c r="E424" t="s">
        <v>1863</v>
      </c>
      <c r="F424" t="s">
        <v>1862</v>
      </c>
      <c r="G424">
        <v>600000</v>
      </c>
      <c r="H424">
        <v>0</v>
      </c>
      <c r="I424">
        <v>600000</v>
      </c>
      <c r="J424">
        <v>0</v>
      </c>
      <c r="K424">
        <v>0</v>
      </c>
      <c r="L424">
        <v>0</v>
      </c>
      <c r="M424">
        <v>600000</v>
      </c>
      <c r="N424">
        <v>0</v>
      </c>
      <c r="O424">
        <v>0</v>
      </c>
      <c r="S424" t="s">
        <v>41</v>
      </c>
      <c r="T424" t="s">
        <v>34</v>
      </c>
      <c r="U424" t="s">
        <v>35</v>
      </c>
      <c r="V424" t="s">
        <v>1864</v>
      </c>
      <c r="X424">
        <v>600000</v>
      </c>
      <c r="Y424">
        <v>1</v>
      </c>
    </row>
    <row r="425" spans="1:25" x14ac:dyDescent="0.35">
      <c r="A425" t="s">
        <v>1575</v>
      </c>
      <c r="B425" t="s">
        <v>71</v>
      </c>
      <c r="C425" t="s">
        <v>72</v>
      </c>
      <c r="D425" t="s">
        <v>1865</v>
      </c>
      <c r="E425" t="s">
        <v>1866</v>
      </c>
      <c r="F425" t="s">
        <v>1862</v>
      </c>
      <c r="G425">
        <v>600000</v>
      </c>
      <c r="H425">
        <v>0</v>
      </c>
      <c r="I425">
        <v>600000</v>
      </c>
      <c r="J425">
        <v>0</v>
      </c>
      <c r="K425">
        <v>0</v>
      </c>
      <c r="L425">
        <v>0</v>
      </c>
      <c r="M425">
        <v>600000</v>
      </c>
      <c r="N425">
        <v>0</v>
      </c>
      <c r="O425">
        <v>0</v>
      </c>
      <c r="S425" t="s">
        <v>41</v>
      </c>
      <c r="T425" t="s">
        <v>34</v>
      </c>
      <c r="U425" t="s">
        <v>35</v>
      </c>
      <c r="V425" t="s">
        <v>1867</v>
      </c>
      <c r="X425">
        <v>600000</v>
      </c>
      <c r="Y425">
        <v>1</v>
      </c>
    </row>
    <row r="426" spans="1:25" x14ac:dyDescent="0.35">
      <c r="A426" t="s">
        <v>1741</v>
      </c>
      <c r="B426" t="s">
        <v>71</v>
      </c>
      <c r="C426" t="s">
        <v>72</v>
      </c>
      <c r="D426" t="s">
        <v>2317</v>
      </c>
      <c r="E426" t="s">
        <v>2318</v>
      </c>
      <c r="F426" t="s">
        <v>2319</v>
      </c>
      <c r="G426">
        <v>5500000</v>
      </c>
      <c r="H426">
        <v>0</v>
      </c>
      <c r="I426">
        <v>5500000</v>
      </c>
      <c r="J426">
        <v>0</v>
      </c>
      <c r="K426">
        <v>0</v>
      </c>
      <c r="L426">
        <v>0</v>
      </c>
      <c r="M426">
        <v>5500000</v>
      </c>
      <c r="N426">
        <v>0</v>
      </c>
      <c r="O426">
        <v>0</v>
      </c>
      <c r="P426" t="s">
        <v>2320</v>
      </c>
      <c r="Q426" t="s">
        <v>34</v>
      </c>
      <c r="R426" t="s">
        <v>34</v>
      </c>
      <c r="S426" t="s">
        <v>41</v>
      </c>
      <c r="T426" t="s">
        <v>34</v>
      </c>
      <c r="U426" t="s">
        <v>35</v>
      </c>
      <c r="V426" t="s">
        <v>2321</v>
      </c>
      <c r="X426">
        <v>550000</v>
      </c>
      <c r="Y426">
        <v>10</v>
      </c>
    </row>
    <row r="427" spans="1:25" x14ac:dyDescent="0.35">
      <c r="A427" t="s">
        <v>1523</v>
      </c>
      <c r="B427" t="s">
        <v>64</v>
      </c>
      <c r="C427" t="s">
        <v>89</v>
      </c>
      <c r="D427" t="s">
        <v>1868</v>
      </c>
      <c r="E427" t="s">
        <v>1869</v>
      </c>
      <c r="F427" t="s">
        <v>1870</v>
      </c>
      <c r="G427">
        <v>460000</v>
      </c>
      <c r="H427">
        <v>0</v>
      </c>
      <c r="I427">
        <v>460000</v>
      </c>
      <c r="J427">
        <v>0</v>
      </c>
      <c r="K427">
        <v>0</v>
      </c>
      <c r="L427">
        <v>0</v>
      </c>
      <c r="M427">
        <v>460000</v>
      </c>
      <c r="N427">
        <v>0</v>
      </c>
      <c r="O427">
        <v>0</v>
      </c>
      <c r="P427" t="s">
        <v>1871</v>
      </c>
      <c r="S427" t="s">
        <v>41</v>
      </c>
      <c r="T427" t="s">
        <v>34</v>
      </c>
      <c r="U427" t="s">
        <v>35</v>
      </c>
      <c r="V427" t="s">
        <v>1872</v>
      </c>
      <c r="X427">
        <v>460000</v>
      </c>
      <c r="Y427">
        <v>1</v>
      </c>
    </row>
    <row r="428" spans="1:25" x14ac:dyDescent="0.35">
      <c r="A428" t="s">
        <v>1937</v>
      </c>
      <c r="B428" t="s">
        <v>64</v>
      </c>
      <c r="C428" t="s">
        <v>83</v>
      </c>
      <c r="D428" t="s">
        <v>2310</v>
      </c>
      <c r="E428" t="s">
        <v>2311</v>
      </c>
      <c r="F428" t="s">
        <v>2307</v>
      </c>
      <c r="G428">
        <v>520000</v>
      </c>
      <c r="H428">
        <v>0</v>
      </c>
      <c r="I428">
        <v>520000</v>
      </c>
      <c r="J428">
        <v>0</v>
      </c>
      <c r="K428">
        <v>0</v>
      </c>
      <c r="L428">
        <v>0</v>
      </c>
      <c r="M428">
        <v>520000</v>
      </c>
      <c r="N428">
        <v>0</v>
      </c>
      <c r="O428">
        <v>0</v>
      </c>
      <c r="P428" t="s">
        <v>34</v>
      </c>
      <c r="Q428" t="s">
        <v>34</v>
      </c>
      <c r="R428" t="s">
        <v>34</v>
      </c>
      <c r="S428" t="s">
        <v>41</v>
      </c>
      <c r="T428" t="s">
        <v>34</v>
      </c>
      <c r="U428" t="s">
        <v>35</v>
      </c>
      <c r="V428" t="s">
        <v>2312</v>
      </c>
      <c r="X428">
        <v>520000</v>
      </c>
      <c r="Y428">
        <v>1</v>
      </c>
    </row>
    <row r="429" spans="1:25" x14ac:dyDescent="0.35">
      <c r="A429" t="s">
        <v>1511</v>
      </c>
      <c r="B429" t="s">
        <v>29</v>
      </c>
      <c r="C429" t="s">
        <v>110</v>
      </c>
      <c r="D429" t="s">
        <v>1427</v>
      </c>
      <c r="E429" t="s">
        <v>1880</v>
      </c>
      <c r="F429" t="s">
        <v>1881</v>
      </c>
      <c r="G429">
        <v>1600000</v>
      </c>
      <c r="H429">
        <v>0</v>
      </c>
      <c r="I429">
        <v>1600000</v>
      </c>
      <c r="J429">
        <v>0</v>
      </c>
      <c r="K429">
        <v>0</v>
      </c>
      <c r="L429">
        <v>0</v>
      </c>
      <c r="M429">
        <v>1600000</v>
      </c>
      <c r="N429">
        <v>0</v>
      </c>
      <c r="O429">
        <v>0</v>
      </c>
      <c r="P429" t="s">
        <v>1430</v>
      </c>
      <c r="Q429" t="s">
        <v>34</v>
      </c>
      <c r="R429" t="s">
        <v>34</v>
      </c>
      <c r="S429" t="s">
        <v>41</v>
      </c>
      <c r="T429" t="s">
        <v>34</v>
      </c>
      <c r="U429" t="s">
        <v>35</v>
      </c>
      <c r="V429" t="s">
        <v>72</v>
      </c>
      <c r="X429">
        <v>800000</v>
      </c>
      <c r="Y429">
        <v>2</v>
      </c>
    </row>
    <row r="430" spans="1:25" x14ac:dyDescent="0.35">
      <c r="A430" t="s">
        <v>1541</v>
      </c>
      <c r="B430" t="s">
        <v>59</v>
      </c>
      <c r="C430" t="s">
        <v>182</v>
      </c>
      <c r="D430" t="s">
        <v>1882</v>
      </c>
      <c r="E430" t="s">
        <v>1883</v>
      </c>
      <c r="F430" t="s">
        <v>1881</v>
      </c>
      <c r="G430">
        <v>600000</v>
      </c>
      <c r="H430">
        <v>44000</v>
      </c>
      <c r="I430">
        <v>644000</v>
      </c>
      <c r="J430">
        <v>0</v>
      </c>
      <c r="K430">
        <v>20000</v>
      </c>
      <c r="L430">
        <v>0</v>
      </c>
      <c r="M430">
        <v>0</v>
      </c>
      <c r="N430">
        <v>624000</v>
      </c>
      <c r="O430">
        <v>0</v>
      </c>
      <c r="P430" t="s">
        <v>34</v>
      </c>
      <c r="Q430" t="s">
        <v>34</v>
      </c>
      <c r="R430" t="s">
        <v>34</v>
      </c>
      <c r="S430" t="s">
        <v>41</v>
      </c>
      <c r="T430" t="s">
        <v>34</v>
      </c>
      <c r="U430" t="s">
        <v>35</v>
      </c>
      <c r="V430" t="s">
        <v>1884</v>
      </c>
      <c r="X430">
        <v>600000</v>
      </c>
      <c r="Y430">
        <v>1</v>
      </c>
    </row>
    <row r="431" spans="1:25" x14ac:dyDescent="0.35">
      <c r="A431" t="s">
        <v>1514</v>
      </c>
      <c r="B431" t="s">
        <v>64</v>
      </c>
      <c r="C431" t="s">
        <v>65</v>
      </c>
      <c r="D431" t="s">
        <v>1885</v>
      </c>
      <c r="E431" t="s">
        <v>1886</v>
      </c>
      <c r="F431" t="s">
        <v>1887</v>
      </c>
      <c r="G431">
        <v>585000</v>
      </c>
      <c r="H431">
        <v>0</v>
      </c>
      <c r="I431">
        <v>585000</v>
      </c>
      <c r="J431">
        <v>0</v>
      </c>
      <c r="K431">
        <v>0</v>
      </c>
      <c r="L431">
        <v>0</v>
      </c>
      <c r="M431">
        <v>585000</v>
      </c>
      <c r="N431">
        <v>0</v>
      </c>
      <c r="O431">
        <v>0</v>
      </c>
      <c r="P431" t="s">
        <v>34</v>
      </c>
      <c r="Q431" t="s">
        <v>34</v>
      </c>
      <c r="R431" t="s">
        <v>1888</v>
      </c>
      <c r="S431" t="s">
        <v>41</v>
      </c>
      <c r="T431" t="s">
        <v>34</v>
      </c>
      <c r="U431" t="s">
        <v>35</v>
      </c>
      <c r="V431" t="s">
        <v>30</v>
      </c>
      <c r="X431">
        <v>585000</v>
      </c>
      <c r="Y431">
        <v>1</v>
      </c>
    </row>
    <row r="432" spans="1:25" x14ac:dyDescent="0.35">
      <c r="A432" t="s">
        <v>1377</v>
      </c>
      <c r="B432" t="s">
        <v>64</v>
      </c>
      <c r="C432" t="s">
        <v>76</v>
      </c>
      <c r="D432" t="s">
        <v>1889</v>
      </c>
      <c r="E432" t="s">
        <v>1890</v>
      </c>
      <c r="F432" t="s">
        <v>1891</v>
      </c>
      <c r="G432">
        <v>1847000</v>
      </c>
      <c r="H432">
        <v>0</v>
      </c>
      <c r="I432">
        <v>1847000</v>
      </c>
      <c r="J432">
        <v>0</v>
      </c>
      <c r="K432">
        <v>0</v>
      </c>
      <c r="L432">
        <v>0</v>
      </c>
      <c r="M432">
        <v>1847000</v>
      </c>
      <c r="N432">
        <v>0</v>
      </c>
      <c r="O432">
        <v>0</v>
      </c>
      <c r="P432" t="s">
        <v>1892</v>
      </c>
      <c r="Q432" t="s">
        <v>1893</v>
      </c>
      <c r="R432" t="s">
        <v>1894</v>
      </c>
      <c r="S432" t="s">
        <v>41</v>
      </c>
      <c r="T432" t="s">
        <v>34</v>
      </c>
      <c r="U432" t="s">
        <v>35</v>
      </c>
      <c r="V432" t="s">
        <v>1895</v>
      </c>
      <c r="W432" t="s">
        <v>1896</v>
      </c>
      <c r="X432">
        <v>615666.6666</v>
      </c>
      <c r="Y432">
        <v>3</v>
      </c>
    </row>
    <row r="433" spans="1:25" x14ac:dyDescent="0.35">
      <c r="A433" t="s">
        <v>1878</v>
      </c>
      <c r="B433" t="s">
        <v>64</v>
      </c>
      <c r="C433" t="s">
        <v>173</v>
      </c>
      <c r="D433" t="s">
        <v>2305</v>
      </c>
      <c r="E433" t="s">
        <v>2306</v>
      </c>
      <c r="F433" t="s">
        <v>2307</v>
      </c>
      <c r="G433">
        <v>1100000</v>
      </c>
      <c r="H433">
        <v>0</v>
      </c>
      <c r="I433">
        <v>1100000</v>
      </c>
      <c r="J433">
        <v>0</v>
      </c>
      <c r="K433">
        <v>1100000</v>
      </c>
      <c r="L433">
        <v>0</v>
      </c>
      <c r="M433">
        <v>0</v>
      </c>
      <c r="N433">
        <v>0</v>
      </c>
      <c r="O433">
        <v>0</v>
      </c>
      <c r="P433" t="s">
        <v>2308</v>
      </c>
      <c r="Q433" t="s">
        <v>34</v>
      </c>
      <c r="R433" t="s">
        <v>34</v>
      </c>
      <c r="S433" t="s">
        <v>41</v>
      </c>
      <c r="T433" t="s">
        <v>34</v>
      </c>
      <c r="U433" t="s">
        <v>35</v>
      </c>
      <c r="V433" t="s">
        <v>2309</v>
      </c>
      <c r="X433">
        <v>550000</v>
      </c>
      <c r="Y433">
        <v>2</v>
      </c>
    </row>
    <row r="434" spans="1:25" x14ac:dyDescent="0.35">
      <c r="A434" t="s">
        <v>1614</v>
      </c>
      <c r="B434" t="s">
        <v>59</v>
      </c>
      <c r="C434" t="s">
        <v>182</v>
      </c>
      <c r="D434" t="s">
        <v>1901</v>
      </c>
      <c r="E434" t="s">
        <v>1902</v>
      </c>
      <c r="F434" t="s">
        <v>1898</v>
      </c>
      <c r="G434">
        <v>450000</v>
      </c>
      <c r="H434">
        <v>0</v>
      </c>
      <c r="I434">
        <v>450000</v>
      </c>
      <c r="J434">
        <v>0</v>
      </c>
      <c r="K434">
        <v>450000</v>
      </c>
      <c r="L434">
        <v>0</v>
      </c>
      <c r="M434">
        <v>0</v>
      </c>
      <c r="N434">
        <v>0</v>
      </c>
      <c r="O434">
        <v>0</v>
      </c>
      <c r="S434" t="s">
        <v>41</v>
      </c>
      <c r="T434" t="s">
        <v>34</v>
      </c>
      <c r="U434" t="s">
        <v>35</v>
      </c>
      <c r="V434" t="s">
        <v>1903</v>
      </c>
      <c r="X434">
        <v>450000</v>
      </c>
      <c r="Y434">
        <v>1</v>
      </c>
    </row>
    <row r="435" spans="1:25" x14ac:dyDescent="0.35">
      <c r="A435" t="s">
        <v>1927</v>
      </c>
      <c r="B435" t="s">
        <v>59</v>
      </c>
      <c r="C435" t="s">
        <v>122</v>
      </c>
      <c r="D435" t="s">
        <v>226</v>
      </c>
      <c r="E435" t="s">
        <v>2301</v>
      </c>
      <c r="F435" t="s">
        <v>2302</v>
      </c>
      <c r="G435">
        <v>550000</v>
      </c>
      <c r="H435">
        <v>15000</v>
      </c>
      <c r="I435">
        <v>565000</v>
      </c>
      <c r="J435">
        <v>0</v>
      </c>
      <c r="K435">
        <v>565000</v>
      </c>
      <c r="L435">
        <v>0</v>
      </c>
      <c r="M435">
        <v>0</v>
      </c>
      <c r="N435">
        <v>0</v>
      </c>
      <c r="O435">
        <v>0</v>
      </c>
      <c r="P435" t="s">
        <v>34</v>
      </c>
      <c r="Q435" t="s">
        <v>34</v>
      </c>
      <c r="R435" t="s">
        <v>34</v>
      </c>
      <c r="S435" t="s">
        <v>41</v>
      </c>
      <c r="T435" t="s">
        <v>34</v>
      </c>
      <c r="U435" t="s">
        <v>35</v>
      </c>
      <c r="V435" t="s">
        <v>2304</v>
      </c>
      <c r="X435">
        <v>550000</v>
      </c>
      <c r="Y435">
        <v>1</v>
      </c>
    </row>
    <row r="436" spans="1:25" x14ac:dyDescent="0.35">
      <c r="A436" t="s">
        <v>83</v>
      </c>
      <c r="B436" t="s">
        <v>64</v>
      </c>
      <c r="C436" t="s">
        <v>83</v>
      </c>
      <c r="D436" t="s">
        <v>1910</v>
      </c>
      <c r="E436" t="s">
        <v>1861</v>
      </c>
      <c r="F436" t="s">
        <v>1911</v>
      </c>
      <c r="G436">
        <v>1650000</v>
      </c>
      <c r="H436">
        <v>350000</v>
      </c>
      <c r="I436">
        <v>2000000</v>
      </c>
      <c r="J436">
        <v>0</v>
      </c>
      <c r="K436">
        <v>1000000</v>
      </c>
      <c r="L436">
        <v>0</v>
      </c>
      <c r="M436">
        <v>1000000</v>
      </c>
      <c r="N436">
        <v>0</v>
      </c>
      <c r="O436">
        <v>0</v>
      </c>
      <c r="P436" t="s">
        <v>34</v>
      </c>
      <c r="Q436" t="s">
        <v>34</v>
      </c>
      <c r="R436" t="s">
        <v>1912</v>
      </c>
      <c r="S436" t="s">
        <v>41</v>
      </c>
      <c r="T436" t="s">
        <v>34</v>
      </c>
      <c r="U436" t="s">
        <v>35</v>
      </c>
      <c r="V436" t="s">
        <v>1913</v>
      </c>
      <c r="X436">
        <v>550000</v>
      </c>
      <c r="Y436">
        <v>3</v>
      </c>
    </row>
    <row r="437" spans="1:25" x14ac:dyDescent="0.35">
      <c r="A437" t="s">
        <v>1589</v>
      </c>
      <c r="B437" t="s">
        <v>29</v>
      </c>
      <c r="C437" t="s">
        <v>37</v>
      </c>
      <c r="D437" t="s">
        <v>1914</v>
      </c>
      <c r="E437" t="s">
        <v>1915</v>
      </c>
      <c r="F437" t="s">
        <v>1916</v>
      </c>
      <c r="G437">
        <v>890000</v>
      </c>
      <c r="H437">
        <v>30000</v>
      </c>
      <c r="I437">
        <v>920000</v>
      </c>
      <c r="J437">
        <v>0</v>
      </c>
      <c r="K437">
        <v>30000</v>
      </c>
      <c r="L437">
        <v>0</v>
      </c>
      <c r="M437">
        <v>890000</v>
      </c>
      <c r="N437">
        <v>0</v>
      </c>
      <c r="O437">
        <v>0</v>
      </c>
      <c r="P437" t="s">
        <v>34</v>
      </c>
      <c r="Q437" t="s">
        <v>34</v>
      </c>
      <c r="R437" t="s">
        <v>1917</v>
      </c>
      <c r="S437" t="s">
        <v>41</v>
      </c>
      <c r="T437" t="s">
        <v>34</v>
      </c>
      <c r="U437" t="s">
        <v>35</v>
      </c>
      <c r="V437" t="s">
        <v>1918</v>
      </c>
      <c r="X437">
        <v>890000</v>
      </c>
      <c r="Y437">
        <v>1</v>
      </c>
    </row>
    <row r="438" spans="1:25" x14ac:dyDescent="0.35">
      <c r="A438" t="s">
        <v>1421</v>
      </c>
      <c r="B438" t="s">
        <v>59</v>
      </c>
      <c r="C438" t="s">
        <v>193</v>
      </c>
      <c r="D438" t="s">
        <v>1919</v>
      </c>
      <c r="E438" t="s">
        <v>1920</v>
      </c>
      <c r="F438" t="s">
        <v>1921</v>
      </c>
      <c r="G438">
        <v>2696000</v>
      </c>
      <c r="H438">
        <v>0</v>
      </c>
      <c r="I438">
        <v>2696000</v>
      </c>
      <c r="J438">
        <v>0</v>
      </c>
      <c r="K438">
        <v>300000</v>
      </c>
      <c r="L438">
        <v>0</v>
      </c>
      <c r="M438">
        <v>2396000</v>
      </c>
      <c r="N438">
        <v>0</v>
      </c>
      <c r="O438">
        <v>0</v>
      </c>
      <c r="P438" t="s">
        <v>1922</v>
      </c>
      <c r="S438" t="s">
        <v>41</v>
      </c>
      <c r="T438" t="s">
        <v>34</v>
      </c>
      <c r="U438" t="s">
        <v>35</v>
      </c>
      <c r="V438" t="s">
        <v>1923</v>
      </c>
      <c r="X438">
        <v>674000</v>
      </c>
      <c r="Y438">
        <v>4</v>
      </c>
    </row>
    <row r="439" spans="1:25" x14ac:dyDescent="0.35">
      <c r="A439" t="s">
        <v>1927</v>
      </c>
      <c r="B439" t="s">
        <v>64</v>
      </c>
      <c r="C439" t="s">
        <v>76</v>
      </c>
      <c r="D439" t="s">
        <v>2300</v>
      </c>
      <c r="E439" t="s">
        <v>2301</v>
      </c>
      <c r="F439" t="s">
        <v>2302</v>
      </c>
      <c r="G439">
        <v>550000</v>
      </c>
      <c r="H439">
        <v>0</v>
      </c>
      <c r="I439">
        <v>550000</v>
      </c>
      <c r="J439">
        <v>0</v>
      </c>
      <c r="K439">
        <v>550000</v>
      </c>
      <c r="L439">
        <v>0</v>
      </c>
      <c r="M439">
        <v>0</v>
      </c>
      <c r="N439">
        <v>0</v>
      </c>
      <c r="O439">
        <v>0</v>
      </c>
      <c r="P439" t="s">
        <v>34</v>
      </c>
      <c r="Q439" t="s">
        <v>34</v>
      </c>
      <c r="R439" t="s">
        <v>34</v>
      </c>
      <c r="S439" t="s">
        <v>41</v>
      </c>
      <c r="T439" t="s">
        <v>34</v>
      </c>
      <c r="U439" t="s">
        <v>35</v>
      </c>
      <c r="V439" t="s">
        <v>2303</v>
      </c>
      <c r="X439">
        <v>550000</v>
      </c>
      <c r="Y439">
        <v>1</v>
      </c>
    </row>
    <row r="440" spans="1:25" x14ac:dyDescent="0.35">
      <c r="A440" t="s">
        <v>1608</v>
      </c>
      <c r="B440" t="s">
        <v>71</v>
      </c>
      <c r="C440" t="s">
        <v>1086</v>
      </c>
      <c r="D440" t="s">
        <v>1928</v>
      </c>
      <c r="E440" t="s">
        <v>1929</v>
      </c>
      <c r="F440" t="s">
        <v>1930</v>
      </c>
      <c r="G440">
        <v>1300000</v>
      </c>
      <c r="H440">
        <v>0</v>
      </c>
      <c r="I440">
        <v>1300000</v>
      </c>
      <c r="J440">
        <v>0</v>
      </c>
      <c r="K440">
        <v>0</v>
      </c>
      <c r="L440">
        <v>0</v>
      </c>
      <c r="M440">
        <v>1300000</v>
      </c>
      <c r="N440">
        <v>0</v>
      </c>
      <c r="O440">
        <v>0</v>
      </c>
      <c r="P440" t="s">
        <v>34</v>
      </c>
      <c r="Q440" t="s">
        <v>34</v>
      </c>
      <c r="R440" t="s">
        <v>1931</v>
      </c>
      <c r="S440" t="s">
        <v>41</v>
      </c>
      <c r="T440" t="s">
        <v>34</v>
      </c>
      <c r="U440" t="s">
        <v>35</v>
      </c>
      <c r="V440" t="s">
        <v>1932</v>
      </c>
      <c r="X440">
        <v>650000</v>
      </c>
      <c r="Y440">
        <v>2</v>
      </c>
    </row>
    <row r="441" spans="1:25" x14ac:dyDescent="0.35">
      <c r="A441" t="s">
        <v>1859</v>
      </c>
      <c r="B441" t="s">
        <v>64</v>
      </c>
      <c r="C441" t="s">
        <v>76</v>
      </c>
      <c r="D441" t="s">
        <v>1933</v>
      </c>
      <c r="E441" t="s">
        <v>1934</v>
      </c>
      <c r="F441" t="s">
        <v>1930</v>
      </c>
      <c r="G441">
        <v>549000</v>
      </c>
      <c r="H441">
        <v>0</v>
      </c>
      <c r="I441">
        <v>549000</v>
      </c>
      <c r="J441">
        <v>0</v>
      </c>
      <c r="K441">
        <v>0</v>
      </c>
      <c r="L441">
        <v>0</v>
      </c>
      <c r="M441">
        <v>549000</v>
      </c>
      <c r="N441">
        <v>0</v>
      </c>
      <c r="O441">
        <v>0</v>
      </c>
      <c r="P441" t="s">
        <v>1935</v>
      </c>
      <c r="Q441" t="s">
        <v>34</v>
      </c>
      <c r="R441" t="s">
        <v>1936</v>
      </c>
      <c r="S441" t="s">
        <v>41</v>
      </c>
      <c r="T441" t="s">
        <v>34</v>
      </c>
      <c r="U441" t="s">
        <v>35</v>
      </c>
      <c r="V441" t="s">
        <v>1937</v>
      </c>
      <c r="X441">
        <v>549000</v>
      </c>
      <c r="Y441">
        <v>1</v>
      </c>
    </row>
    <row r="442" spans="1:25" x14ac:dyDescent="0.35">
      <c r="A442" t="s">
        <v>1563</v>
      </c>
      <c r="B442" t="s">
        <v>64</v>
      </c>
      <c r="C442" t="s">
        <v>65</v>
      </c>
      <c r="D442" t="s">
        <v>1938</v>
      </c>
      <c r="E442" t="s">
        <v>1939</v>
      </c>
      <c r="F442" t="s">
        <v>1940</v>
      </c>
      <c r="G442">
        <v>500000</v>
      </c>
      <c r="H442">
        <v>0</v>
      </c>
      <c r="I442">
        <v>500000</v>
      </c>
      <c r="J442">
        <v>0</v>
      </c>
      <c r="K442">
        <v>0</v>
      </c>
      <c r="L442">
        <v>0</v>
      </c>
      <c r="M442">
        <v>500000</v>
      </c>
      <c r="N442">
        <v>0</v>
      </c>
      <c r="O442">
        <v>0</v>
      </c>
      <c r="S442" t="s">
        <v>41</v>
      </c>
      <c r="T442" t="s">
        <v>34</v>
      </c>
      <c r="U442" t="s">
        <v>35</v>
      </c>
      <c r="V442" t="s">
        <v>1941</v>
      </c>
      <c r="X442">
        <v>500000</v>
      </c>
      <c r="Y442">
        <v>1</v>
      </c>
    </row>
    <row r="443" spans="1:25" x14ac:dyDescent="0.35">
      <c r="A443" t="s">
        <v>1867</v>
      </c>
      <c r="B443" t="s">
        <v>64</v>
      </c>
      <c r="C443" t="s">
        <v>65</v>
      </c>
      <c r="D443" t="s">
        <v>2295</v>
      </c>
      <c r="E443" t="s">
        <v>2296</v>
      </c>
      <c r="F443" t="s">
        <v>2297</v>
      </c>
      <c r="G443">
        <v>549000</v>
      </c>
      <c r="H443">
        <v>0</v>
      </c>
      <c r="I443">
        <v>549000</v>
      </c>
      <c r="J443">
        <v>0</v>
      </c>
      <c r="K443">
        <v>249000</v>
      </c>
      <c r="L443">
        <v>0</v>
      </c>
      <c r="M443">
        <v>300000</v>
      </c>
      <c r="N443">
        <v>0</v>
      </c>
      <c r="O443">
        <v>0</v>
      </c>
      <c r="P443" t="s">
        <v>34</v>
      </c>
      <c r="Q443" t="s">
        <v>34</v>
      </c>
      <c r="R443" t="s">
        <v>2298</v>
      </c>
      <c r="S443" t="s">
        <v>41</v>
      </c>
      <c r="T443" t="s">
        <v>34</v>
      </c>
      <c r="U443" t="s">
        <v>35</v>
      </c>
      <c r="V443" t="s">
        <v>2299</v>
      </c>
      <c r="X443">
        <v>549000</v>
      </c>
      <c r="Y443">
        <v>1</v>
      </c>
    </row>
    <row r="444" spans="1:25" x14ac:dyDescent="0.35">
      <c r="A444" t="s">
        <v>1954</v>
      </c>
      <c r="B444" t="s">
        <v>64</v>
      </c>
      <c r="C444" t="s">
        <v>83</v>
      </c>
      <c r="D444" t="s">
        <v>2287</v>
      </c>
      <c r="E444" t="s">
        <v>2288</v>
      </c>
      <c r="F444" t="s">
        <v>2289</v>
      </c>
      <c r="G444">
        <v>650000</v>
      </c>
      <c r="H444">
        <v>0</v>
      </c>
      <c r="I444">
        <v>650000</v>
      </c>
      <c r="J444">
        <v>0</v>
      </c>
      <c r="K444">
        <v>0</v>
      </c>
      <c r="L444">
        <v>0</v>
      </c>
      <c r="M444">
        <v>650000</v>
      </c>
      <c r="N444">
        <v>0</v>
      </c>
      <c r="O444">
        <v>0</v>
      </c>
      <c r="P444" t="s">
        <v>34</v>
      </c>
      <c r="Q444" t="s">
        <v>34</v>
      </c>
      <c r="R444" t="s">
        <v>2290</v>
      </c>
      <c r="S444" t="s">
        <v>41</v>
      </c>
      <c r="T444" t="s">
        <v>34</v>
      </c>
      <c r="U444" t="s">
        <v>35</v>
      </c>
      <c r="V444" t="s">
        <v>2291</v>
      </c>
      <c r="X444">
        <v>650000</v>
      </c>
      <c r="Y444">
        <v>1</v>
      </c>
    </row>
    <row r="445" spans="1:25" x14ac:dyDescent="0.35">
      <c r="A445" t="s">
        <v>65</v>
      </c>
      <c r="B445" t="s">
        <v>64</v>
      </c>
      <c r="C445" t="s">
        <v>89</v>
      </c>
      <c r="D445" t="s">
        <v>2283</v>
      </c>
      <c r="E445" t="s">
        <v>2284</v>
      </c>
      <c r="F445" t="s">
        <v>2280</v>
      </c>
      <c r="G445">
        <v>549000</v>
      </c>
      <c r="H445">
        <v>0</v>
      </c>
      <c r="I445">
        <v>549000</v>
      </c>
      <c r="J445">
        <v>0</v>
      </c>
      <c r="K445">
        <v>0</v>
      </c>
      <c r="L445">
        <v>0</v>
      </c>
      <c r="M445">
        <v>549000</v>
      </c>
      <c r="N445">
        <v>0</v>
      </c>
      <c r="O445">
        <v>0</v>
      </c>
      <c r="P445" t="s">
        <v>2285</v>
      </c>
      <c r="Q445" t="s">
        <v>34</v>
      </c>
      <c r="R445" t="s">
        <v>34</v>
      </c>
      <c r="S445" t="s">
        <v>41</v>
      </c>
      <c r="T445" t="s">
        <v>34</v>
      </c>
      <c r="U445" t="s">
        <v>35</v>
      </c>
      <c r="V445" t="s">
        <v>2286</v>
      </c>
      <c r="X445">
        <v>549000</v>
      </c>
      <c r="Y445">
        <v>1</v>
      </c>
    </row>
    <row r="446" spans="1:25" x14ac:dyDescent="0.35">
      <c r="A446" t="s">
        <v>72</v>
      </c>
      <c r="B446" t="s">
        <v>29</v>
      </c>
      <c r="C446" t="s">
        <v>110</v>
      </c>
      <c r="D446" t="s">
        <v>953</v>
      </c>
      <c r="E446" t="s">
        <v>2282</v>
      </c>
      <c r="F446" t="s">
        <v>2280</v>
      </c>
      <c r="G446">
        <v>1898000</v>
      </c>
      <c r="H446">
        <v>0</v>
      </c>
      <c r="I446">
        <v>1798000</v>
      </c>
      <c r="J446">
        <v>0</v>
      </c>
      <c r="K446">
        <v>899000</v>
      </c>
      <c r="L446">
        <v>0</v>
      </c>
      <c r="M446">
        <v>899000</v>
      </c>
      <c r="N446">
        <v>0</v>
      </c>
      <c r="O446">
        <v>0</v>
      </c>
      <c r="P446" t="s">
        <v>955</v>
      </c>
      <c r="Q446" t="s">
        <v>34</v>
      </c>
      <c r="R446" t="s">
        <v>956</v>
      </c>
      <c r="S446" t="s">
        <v>41</v>
      </c>
      <c r="T446" t="s">
        <v>34</v>
      </c>
      <c r="U446" t="s">
        <v>35</v>
      </c>
      <c r="V446" t="s">
        <v>89</v>
      </c>
      <c r="X446">
        <v>949000</v>
      </c>
      <c r="Y446">
        <v>2</v>
      </c>
    </row>
    <row r="447" spans="1:25" x14ac:dyDescent="0.35">
      <c r="A447" t="s">
        <v>1803</v>
      </c>
      <c r="B447" t="s">
        <v>59</v>
      </c>
      <c r="C447" t="s">
        <v>182</v>
      </c>
      <c r="D447" t="s">
        <v>2113</v>
      </c>
      <c r="E447" t="s">
        <v>2279</v>
      </c>
      <c r="F447" t="s">
        <v>2280</v>
      </c>
      <c r="G447">
        <v>2050000</v>
      </c>
      <c r="H447">
        <v>0</v>
      </c>
      <c r="I447">
        <v>2050000</v>
      </c>
      <c r="J447">
        <v>0</v>
      </c>
      <c r="K447">
        <v>2050000</v>
      </c>
      <c r="L447">
        <v>0</v>
      </c>
      <c r="M447">
        <v>0</v>
      </c>
      <c r="N447">
        <v>0</v>
      </c>
      <c r="O447">
        <v>0</v>
      </c>
      <c r="S447" t="s">
        <v>41</v>
      </c>
      <c r="T447" t="s">
        <v>34</v>
      </c>
      <c r="U447" t="s">
        <v>35</v>
      </c>
      <c r="V447" t="s">
        <v>2281</v>
      </c>
      <c r="X447">
        <v>512500</v>
      </c>
      <c r="Y447">
        <v>4</v>
      </c>
    </row>
    <row r="448" spans="1:25" x14ac:dyDescent="0.35">
      <c r="A448" t="s">
        <v>1628</v>
      </c>
      <c r="B448" t="s">
        <v>64</v>
      </c>
      <c r="C448" t="s">
        <v>99</v>
      </c>
      <c r="D448" t="s">
        <v>1947</v>
      </c>
      <c r="E448" t="s">
        <v>1934</v>
      </c>
      <c r="F448" t="s">
        <v>1944</v>
      </c>
      <c r="G448">
        <v>1098000</v>
      </c>
      <c r="H448">
        <v>0</v>
      </c>
      <c r="I448">
        <v>1098000</v>
      </c>
      <c r="J448">
        <v>0</v>
      </c>
      <c r="K448">
        <v>798000</v>
      </c>
      <c r="L448">
        <v>0</v>
      </c>
      <c r="M448">
        <v>300000</v>
      </c>
      <c r="N448">
        <v>0</v>
      </c>
      <c r="O448">
        <v>0</v>
      </c>
      <c r="P448" t="s">
        <v>1948</v>
      </c>
      <c r="Q448" t="s">
        <v>34</v>
      </c>
      <c r="R448" t="s">
        <v>1949</v>
      </c>
      <c r="S448" t="s">
        <v>41</v>
      </c>
      <c r="T448" t="s">
        <v>34</v>
      </c>
      <c r="U448" t="s">
        <v>35</v>
      </c>
      <c r="V448" t="s">
        <v>1950</v>
      </c>
      <c r="X448">
        <v>549000</v>
      </c>
      <c r="Y448">
        <v>2</v>
      </c>
    </row>
    <row r="449" spans="1:25" x14ac:dyDescent="0.35">
      <c r="A449" t="s">
        <v>1918</v>
      </c>
      <c r="B449" t="s">
        <v>29</v>
      </c>
      <c r="C449" t="s">
        <v>30</v>
      </c>
      <c r="D449" t="s">
        <v>2274</v>
      </c>
      <c r="E449" t="s">
        <v>2275</v>
      </c>
      <c r="F449" t="s">
        <v>2276</v>
      </c>
      <c r="G449">
        <v>450000</v>
      </c>
      <c r="H449">
        <v>0</v>
      </c>
      <c r="I449">
        <v>450000</v>
      </c>
      <c r="J449">
        <v>0</v>
      </c>
      <c r="K449">
        <v>0</v>
      </c>
      <c r="L449">
        <v>0</v>
      </c>
      <c r="M449">
        <v>450000</v>
      </c>
      <c r="N449">
        <v>0</v>
      </c>
      <c r="O449">
        <v>0</v>
      </c>
      <c r="P449" t="s">
        <v>34</v>
      </c>
      <c r="Q449" t="s">
        <v>34</v>
      </c>
      <c r="R449" t="s">
        <v>2277</v>
      </c>
      <c r="S449" t="s">
        <v>41</v>
      </c>
      <c r="T449" t="s">
        <v>34</v>
      </c>
      <c r="U449" t="s">
        <v>35</v>
      </c>
      <c r="V449" t="s">
        <v>2278</v>
      </c>
      <c r="X449">
        <v>450000</v>
      </c>
      <c r="Y449">
        <v>1</v>
      </c>
    </row>
    <row r="450" spans="1:25" x14ac:dyDescent="0.35">
      <c r="A450" t="s">
        <v>1864</v>
      </c>
      <c r="B450" t="s">
        <v>64</v>
      </c>
      <c r="C450" t="s">
        <v>65</v>
      </c>
      <c r="D450" t="s">
        <v>2271</v>
      </c>
      <c r="E450" t="s">
        <v>2272</v>
      </c>
      <c r="F450" t="s">
        <v>2268</v>
      </c>
      <c r="G450">
        <v>650000</v>
      </c>
      <c r="H450">
        <v>150000</v>
      </c>
      <c r="I450">
        <v>800000</v>
      </c>
      <c r="J450">
        <v>0</v>
      </c>
      <c r="K450">
        <v>150000</v>
      </c>
      <c r="L450">
        <v>0</v>
      </c>
      <c r="M450">
        <v>650000</v>
      </c>
      <c r="N450">
        <v>0</v>
      </c>
      <c r="O450">
        <v>0</v>
      </c>
      <c r="P450" t="s">
        <v>34</v>
      </c>
      <c r="Q450" t="s">
        <v>34</v>
      </c>
      <c r="R450" t="s">
        <v>2273</v>
      </c>
      <c r="S450" t="s">
        <v>41</v>
      </c>
      <c r="T450" t="s">
        <v>34</v>
      </c>
      <c r="U450" t="s">
        <v>35</v>
      </c>
      <c r="V450" t="s">
        <v>110</v>
      </c>
      <c r="X450">
        <v>650000</v>
      </c>
      <c r="Y450">
        <v>1</v>
      </c>
    </row>
    <row r="451" spans="1:25" x14ac:dyDescent="0.35">
      <c r="A451" t="s">
        <v>1619</v>
      </c>
      <c r="B451" t="s">
        <v>59</v>
      </c>
      <c r="C451" t="s">
        <v>182</v>
      </c>
      <c r="D451" t="s">
        <v>1959</v>
      </c>
      <c r="E451" t="s">
        <v>1960</v>
      </c>
      <c r="F451" t="s">
        <v>1961</v>
      </c>
      <c r="G451">
        <v>500000</v>
      </c>
      <c r="H451">
        <v>0</v>
      </c>
      <c r="I451">
        <v>500000</v>
      </c>
      <c r="J451">
        <v>0</v>
      </c>
      <c r="K451">
        <v>500000</v>
      </c>
      <c r="L451">
        <v>0</v>
      </c>
      <c r="M451">
        <v>0</v>
      </c>
      <c r="N451">
        <v>0</v>
      </c>
      <c r="O451">
        <v>0</v>
      </c>
      <c r="S451" t="s">
        <v>41</v>
      </c>
      <c r="T451" t="s">
        <v>34</v>
      </c>
      <c r="U451" t="s">
        <v>35</v>
      </c>
      <c r="V451" t="s">
        <v>1962</v>
      </c>
      <c r="X451">
        <v>500000</v>
      </c>
      <c r="Y451">
        <v>1</v>
      </c>
    </row>
    <row r="452" spans="1:25" x14ac:dyDescent="0.35">
      <c r="A452" t="s">
        <v>1552</v>
      </c>
      <c r="B452" t="s">
        <v>29</v>
      </c>
      <c r="C452" t="s">
        <v>110</v>
      </c>
      <c r="D452" t="s">
        <v>1228</v>
      </c>
      <c r="E452" t="s">
        <v>1963</v>
      </c>
      <c r="F452" t="s">
        <v>1964</v>
      </c>
      <c r="G452">
        <v>850000</v>
      </c>
      <c r="H452">
        <v>0</v>
      </c>
      <c r="I452">
        <v>850000</v>
      </c>
      <c r="J452">
        <v>0</v>
      </c>
      <c r="K452">
        <v>0</v>
      </c>
      <c r="L452">
        <v>0</v>
      </c>
      <c r="M452">
        <v>850000</v>
      </c>
      <c r="N452">
        <v>0</v>
      </c>
      <c r="O452">
        <v>0</v>
      </c>
      <c r="P452" t="s">
        <v>34</v>
      </c>
      <c r="Q452" t="s">
        <v>34</v>
      </c>
      <c r="R452" t="s">
        <v>34</v>
      </c>
      <c r="S452" t="s">
        <v>41</v>
      </c>
      <c r="T452" t="s">
        <v>34</v>
      </c>
      <c r="U452" t="s">
        <v>35</v>
      </c>
      <c r="V452" t="s">
        <v>1965</v>
      </c>
      <c r="X452">
        <v>850000</v>
      </c>
      <c r="Y452">
        <v>1</v>
      </c>
    </row>
    <row r="453" spans="1:25" x14ac:dyDescent="0.35">
      <c r="A453" t="s">
        <v>1482</v>
      </c>
      <c r="B453" t="s">
        <v>64</v>
      </c>
      <c r="C453" t="s">
        <v>65</v>
      </c>
      <c r="D453" t="s">
        <v>1966</v>
      </c>
      <c r="E453" t="s">
        <v>1967</v>
      </c>
      <c r="F453" t="s">
        <v>1968</v>
      </c>
      <c r="G453">
        <v>1098000</v>
      </c>
      <c r="H453">
        <v>0</v>
      </c>
      <c r="I453">
        <v>1098000</v>
      </c>
      <c r="J453">
        <v>0</v>
      </c>
      <c r="K453">
        <v>0</v>
      </c>
      <c r="L453">
        <v>0</v>
      </c>
      <c r="M453">
        <v>1098000</v>
      </c>
      <c r="N453">
        <v>0</v>
      </c>
      <c r="O453">
        <v>0</v>
      </c>
      <c r="P453" t="s">
        <v>1969</v>
      </c>
      <c r="Q453" t="s">
        <v>34</v>
      </c>
      <c r="R453" t="s">
        <v>34</v>
      </c>
      <c r="S453" t="s">
        <v>41</v>
      </c>
      <c r="T453" t="s">
        <v>34</v>
      </c>
      <c r="U453" t="s">
        <v>35</v>
      </c>
      <c r="V453" t="s">
        <v>1970</v>
      </c>
      <c r="X453">
        <v>549000</v>
      </c>
      <c r="Y453">
        <v>2</v>
      </c>
    </row>
    <row r="454" spans="1:25" x14ac:dyDescent="0.35">
      <c r="A454" t="s">
        <v>1848</v>
      </c>
      <c r="B454" t="s">
        <v>64</v>
      </c>
      <c r="C454" t="s">
        <v>89</v>
      </c>
      <c r="D454" t="s">
        <v>1971</v>
      </c>
      <c r="E454" t="s">
        <v>1972</v>
      </c>
      <c r="F454" t="s">
        <v>1973</v>
      </c>
      <c r="G454">
        <v>549000</v>
      </c>
      <c r="H454">
        <v>0</v>
      </c>
      <c r="I454">
        <v>549000</v>
      </c>
      <c r="J454">
        <v>0</v>
      </c>
      <c r="K454">
        <v>0</v>
      </c>
      <c r="L454">
        <v>0</v>
      </c>
      <c r="M454">
        <v>549000</v>
      </c>
      <c r="N454">
        <v>0</v>
      </c>
      <c r="O454">
        <v>0</v>
      </c>
      <c r="P454" t="s">
        <v>1974</v>
      </c>
      <c r="Q454" t="s">
        <v>34</v>
      </c>
      <c r="R454" t="s">
        <v>1975</v>
      </c>
      <c r="S454" t="s">
        <v>41</v>
      </c>
      <c r="T454" t="s">
        <v>34</v>
      </c>
      <c r="U454" t="s">
        <v>35</v>
      </c>
      <c r="V454" t="s">
        <v>1976</v>
      </c>
      <c r="X454">
        <v>549000</v>
      </c>
      <c r="Y454">
        <v>1</v>
      </c>
    </row>
    <row r="455" spans="1:25" x14ac:dyDescent="0.35">
      <c r="A455" t="s">
        <v>1535</v>
      </c>
      <c r="B455" t="s">
        <v>29</v>
      </c>
      <c r="C455" t="s">
        <v>385</v>
      </c>
      <c r="D455" t="s">
        <v>226</v>
      </c>
      <c r="E455" t="s">
        <v>1977</v>
      </c>
      <c r="F455" t="s">
        <v>1978</v>
      </c>
      <c r="G455">
        <v>2250000</v>
      </c>
      <c r="H455">
        <v>0</v>
      </c>
      <c r="I455">
        <v>2250000</v>
      </c>
      <c r="J455">
        <v>0</v>
      </c>
      <c r="K455">
        <v>0</v>
      </c>
      <c r="L455">
        <v>0</v>
      </c>
      <c r="M455">
        <v>2250000</v>
      </c>
      <c r="N455">
        <v>0</v>
      </c>
      <c r="O455">
        <v>0</v>
      </c>
      <c r="P455" t="s">
        <v>34</v>
      </c>
      <c r="Q455" t="s">
        <v>34</v>
      </c>
      <c r="R455" t="s">
        <v>34</v>
      </c>
      <c r="S455" t="s">
        <v>41</v>
      </c>
      <c r="T455" t="s">
        <v>34</v>
      </c>
      <c r="U455" t="s">
        <v>35</v>
      </c>
      <c r="V455" t="s">
        <v>1979</v>
      </c>
      <c r="X455">
        <v>750000</v>
      </c>
      <c r="Y455">
        <v>3</v>
      </c>
    </row>
    <row r="456" spans="1:25" x14ac:dyDescent="0.35">
      <c r="A456" t="s">
        <v>1535</v>
      </c>
      <c r="B456" t="s">
        <v>29</v>
      </c>
      <c r="C456" t="s">
        <v>413</v>
      </c>
      <c r="D456" t="s">
        <v>226</v>
      </c>
      <c r="E456" t="s">
        <v>1977</v>
      </c>
      <c r="F456" t="s">
        <v>1978</v>
      </c>
      <c r="G456">
        <v>2250000</v>
      </c>
      <c r="H456">
        <v>0</v>
      </c>
      <c r="I456">
        <v>2250000</v>
      </c>
      <c r="J456">
        <v>0</v>
      </c>
      <c r="K456">
        <v>0</v>
      </c>
      <c r="L456">
        <v>0</v>
      </c>
      <c r="M456">
        <v>2250000</v>
      </c>
      <c r="N456">
        <v>0</v>
      </c>
      <c r="O456">
        <v>0</v>
      </c>
      <c r="S456" t="s">
        <v>41</v>
      </c>
      <c r="T456" t="s">
        <v>34</v>
      </c>
      <c r="U456" t="s">
        <v>35</v>
      </c>
      <c r="V456" t="s">
        <v>1980</v>
      </c>
      <c r="X456">
        <v>750000</v>
      </c>
      <c r="Y456">
        <v>3</v>
      </c>
    </row>
    <row r="457" spans="1:25" x14ac:dyDescent="0.35">
      <c r="A457" t="s">
        <v>1535</v>
      </c>
      <c r="B457" t="s">
        <v>29</v>
      </c>
      <c r="C457" t="s">
        <v>37</v>
      </c>
      <c r="D457" t="s">
        <v>1981</v>
      </c>
      <c r="E457" t="s">
        <v>1982</v>
      </c>
      <c r="F457" t="s">
        <v>1978</v>
      </c>
      <c r="G457">
        <v>2250000</v>
      </c>
      <c r="H457">
        <v>0</v>
      </c>
      <c r="I457">
        <v>2250000</v>
      </c>
      <c r="J457">
        <v>0</v>
      </c>
      <c r="K457">
        <v>0</v>
      </c>
      <c r="L457">
        <v>0</v>
      </c>
      <c r="M457">
        <v>2250000</v>
      </c>
      <c r="N457">
        <v>0</v>
      </c>
      <c r="O457">
        <v>0</v>
      </c>
      <c r="P457" t="s">
        <v>1983</v>
      </c>
      <c r="S457" t="s">
        <v>41</v>
      </c>
      <c r="T457" t="s">
        <v>34</v>
      </c>
      <c r="U457" t="s">
        <v>35</v>
      </c>
      <c r="V457" t="s">
        <v>1984</v>
      </c>
      <c r="X457">
        <v>750000</v>
      </c>
      <c r="Y457">
        <v>3</v>
      </c>
    </row>
    <row r="458" spans="1:25" x14ac:dyDescent="0.35">
      <c r="A458" t="s">
        <v>1601</v>
      </c>
      <c r="B458" t="s">
        <v>64</v>
      </c>
      <c r="C458" t="s">
        <v>76</v>
      </c>
      <c r="D458" t="s">
        <v>1985</v>
      </c>
      <c r="E458" t="s">
        <v>1986</v>
      </c>
      <c r="F458" t="s">
        <v>1987</v>
      </c>
      <c r="G458">
        <v>549000</v>
      </c>
      <c r="H458">
        <v>0</v>
      </c>
      <c r="I458">
        <v>549000</v>
      </c>
      <c r="J458">
        <v>0</v>
      </c>
      <c r="K458">
        <v>249000</v>
      </c>
      <c r="L458">
        <v>0</v>
      </c>
      <c r="M458">
        <v>300000</v>
      </c>
      <c r="N458">
        <v>0</v>
      </c>
      <c r="O458">
        <v>0</v>
      </c>
      <c r="P458" t="s">
        <v>1988</v>
      </c>
      <c r="Q458" t="s">
        <v>34</v>
      </c>
      <c r="R458" t="s">
        <v>34</v>
      </c>
      <c r="S458" t="s">
        <v>41</v>
      </c>
      <c r="T458" t="s">
        <v>34</v>
      </c>
      <c r="U458" t="s">
        <v>35</v>
      </c>
      <c r="V458" t="s">
        <v>1989</v>
      </c>
      <c r="X458">
        <v>549000</v>
      </c>
      <c r="Y458">
        <v>1</v>
      </c>
    </row>
    <row r="459" spans="1:25" x14ac:dyDescent="0.35">
      <c r="A459" t="s">
        <v>1840</v>
      </c>
      <c r="B459" t="s">
        <v>59</v>
      </c>
      <c r="C459" t="s">
        <v>122</v>
      </c>
      <c r="D459" t="s">
        <v>2266</v>
      </c>
      <c r="E459" t="s">
        <v>2267</v>
      </c>
      <c r="F459" t="s">
        <v>2268</v>
      </c>
      <c r="G459">
        <v>1300000</v>
      </c>
      <c r="H459">
        <v>40000</v>
      </c>
      <c r="I459">
        <v>1340000</v>
      </c>
      <c r="J459">
        <v>0</v>
      </c>
      <c r="K459">
        <v>0</v>
      </c>
      <c r="L459">
        <v>0</v>
      </c>
      <c r="M459">
        <v>1340000</v>
      </c>
      <c r="N459">
        <v>0</v>
      </c>
      <c r="O459">
        <v>0</v>
      </c>
      <c r="P459" t="s">
        <v>34</v>
      </c>
      <c r="Q459" t="s">
        <v>34</v>
      </c>
      <c r="R459" t="s">
        <v>2269</v>
      </c>
      <c r="S459" t="s">
        <v>41</v>
      </c>
      <c r="T459" t="s">
        <v>34</v>
      </c>
      <c r="U459" t="s">
        <v>35</v>
      </c>
      <c r="V459" t="s">
        <v>2270</v>
      </c>
      <c r="X459">
        <v>650000</v>
      </c>
      <c r="Y459">
        <v>2</v>
      </c>
    </row>
    <row r="460" spans="1:25" x14ac:dyDescent="0.35">
      <c r="A460" t="s">
        <v>1619</v>
      </c>
      <c r="B460" t="s">
        <v>59</v>
      </c>
      <c r="C460" t="s">
        <v>60</v>
      </c>
      <c r="D460" t="s">
        <v>1959</v>
      </c>
      <c r="E460" t="s">
        <v>1996</v>
      </c>
      <c r="F460" t="s">
        <v>1997</v>
      </c>
      <c r="G460">
        <v>1000000</v>
      </c>
      <c r="H460">
        <v>0</v>
      </c>
      <c r="I460">
        <v>1000000</v>
      </c>
      <c r="J460">
        <v>0</v>
      </c>
      <c r="K460">
        <v>1000000</v>
      </c>
      <c r="L460">
        <v>0</v>
      </c>
      <c r="M460">
        <v>0</v>
      </c>
      <c r="N460">
        <v>0</v>
      </c>
      <c r="O460">
        <v>0</v>
      </c>
      <c r="S460" t="s">
        <v>41</v>
      </c>
      <c r="T460" t="s">
        <v>34</v>
      </c>
      <c r="U460" t="s">
        <v>35</v>
      </c>
      <c r="V460" t="s">
        <v>1998</v>
      </c>
      <c r="X460">
        <v>500000</v>
      </c>
      <c r="Y460">
        <v>2</v>
      </c>
    </row>
    <row r="461" spans="1:25" x14ac:dyDescent="0.35">
      <c r="A461" t="s">
        <v>1659</v>
      </c>
      <c r="B461" t="s">
        <v>64</v>
      </c>
      <c r="C461" t="s">
        <v>65</v>
      </c>
      <c r="D461" t="s">
        <v>1999</v>
      </c>
      <c r="E461" t="s">
        <v>2000</v>
      </c>
      <c r="F461" t="s">
        <v>2001</v>
      </c>
      <c r="G461">
        <v>550000</v>
      </c>
      <c r="H461">
        <v>0</v>
      </c>
      <c r="I461">
        <v>550000</v>
      </c>
      <c r="J461">
        <v>0</v>
      </c>
      <c r="K461">
        <v>0</v>
      </c>
      <c r="L461">
        <v>0</v>
      </c>
      <c r="M461">
        <v>550000</v>
      </c>
      <c r="N461">
        <v>0</v>
      </c>
      <c r="O461">
        <v>0</v>
      </c>
      <c r="S461" t="s">
        <v>41</v>
      </c>
      <c r="T461" t="s">
        <v>34</v>
      </c>
      <c r="U461" t="s">
        <v>35</v>
      </c>
      <c r="V461" t="s">
        <v>2002</v>
      </c>
      <c r="X461">
        <v>550000</v>
      </c>
      <c r="Y461">
        <v>1</v>
      </c>
    </row>
    <row r="462" spans="1:25" x14ac:dyDescent="0.35">
      <c r="A462" t="s">
        <v>1592</v>
      </c>
      <c r="B462" t="s">
        <v>71</v>
      </c>
      <c r="C462" t="s">
        <v>72</v>
      </c>
      <c r="D462" t="s">
        <v>2003</v>
      </c>
      <c r="E462" t="s">
        <v>2004</v>
      </c>
      <c r="F462" t="s">
        <v>2005</v>
      </c>
      <c r="G462">
        <v>1320000</v>
      </c>
      <c r="H462">
        <v>0</v>
      </c>
      <c r="I462">
        <v>1320000</v>
      </c>
      <c r="J462">
        <v>0</v>
      </c>
      <c r="K462">
        <v>1320000</v>
      </c>
      <c r="L462">
        <v>0</v>
      </c>
      <c r="M462">
        <v>0</v>
      </c>
      <c r="N462">
        <v>0</v>
      </c>
      <c r="O462">
        <v>0</v>
      </c>
      <c r="P462" t="s">
        <v>34</v>
      </c>
      <c r="Q462" t="s">
        <v>34</v>
      </c>
      <c r="R462" t="s">
        <v>2006</v>
      </c>
      <c r="S462" t="s">
        <v>41</v>
      </c>
      <c r="T462" t="s">
        <v>34</v>
      </c>
      <c r="U462" t="s">
        <v>35</v>
      </c>
      <c r="V462" t="s">
        <v>2007</v>
      </c>
      <c r="X462">
        <v>660000</v>
      </c>
      <c r="Y462">
        <v>2</v>
      </c>
    </row>
    <row r="463" spans="1:25" x14ac:dyDescent="0.35">
      <c r="A463" t="s">
        <v>1697</v>
      </c>
      <c r="B463" t="s">
        <v>29</v>
      </c>
      <c r="C463" t="s">
        <v>30</v>
      </c>
      <c r="D463" t="s">
        <v>2008</v>
      </c>
      <c r="E463" t="s">
        <v>2009</v>
      </c>
      <c r="F463" t="s">
        <v>2010</v>
      </c>
      <c r="G463">
        <v>649000</v>
      </c>
      <c r="H463">
        <v>0</v>
      </c>
      <c r="I463">
        <v>649000</v>
      </c>
      <c r="J463">
        <v>0</v>
      </c>
      <c r="K463">
        <v>0</v>
      </c>
      <c r="L463">
        <v>0</v>
      </c>
      <c r="M463">
        <v>649000</v>
      </c>
      <c r="N463">
        <v>0</v>
      </c>
      <c r="O463">
        <v>0</v>
      </c>
      <c r="P463" t="s">
        <v>2011</v>
      </c>
      <c r="Q463" t="s">
        <v>34</v>
      </c>
      <c r="R463" t="s">
        <v>34</v>
      </c>
      <c r="S463" t="s">
        <v>41</v>
      </c>
      <c r="T463" t="s">
        <v>34</v>
      </c>
      <c r="U463" t="s">
        <v>35</v>
      </c>
      <c r="V463" t="s">
        <v>2012</v>
      </c>
      <c r="X463">
        <v>649000</v>
      </c>
      <c r="Y463">
        <v>1</v>
      </c>
    </row>
    <row r="464" spans="1:25" x14ac:dyDescent="0.35">
      <c r="A464" t="s">
        <v>1694</v>
      </c>
      <c r="B464" t="s">
        <v>64</v>
      </c>
      <c r="C464" t="s">
        <v>173</v>
      </c>
      <c r="D464" t="s">
        <v>2013</v>
      </c>
      <c r="E464" t="s">
        <v>2014</v>
      </c>
      <c r="F464" t="s">
        <v>2015</v>
      </c>
      <c r="G464">
        <v>1098000</v>
      </c>
      <c r="H464">
        <v>0</v>
      </c>
      <c r="I464">
        <v>1098000</v>
      </c>
      <c r="J464">
        <v>0</v>
      </c>
      <c r="K464">
        <v>1098000</v>
      </c>
      <c r="L464">
        <v>0</v>
      </c>
      <c r="M464">
        <v>0</v>
      </c>
      <c r="N464">
        <v>0</v>
      </c>
      <c r="O464">
        <v>0</v>
      </c>
      <c r="P464" t="s">
        <v>34</v>
      </c>
      <c r="Q464" t="s">
        <v>34</v>
      </c>
      <c r="R464" t="s">
        <v>34</v>
      </c>
      <c r="S464" t="s">
        <v>41</v>
      </c>
      <c r="T464" t="s">
        <v>34</v>
      </c>
      <c r="U464" t="s">
        <v>35</v>
      </c>
      <c r="V464" t="s">
        <v>2016</v>
      </c>
      <c r="X464">
        <v>549000</v>
      </c>
      <c r="Y464">
        <v>2</v>
      </c>
    </row>
    <row r="465" spans="1:25" x14ac:dyDescent="0.35">
      <c r="A465" t="s">
        <v>1642</v>
      </c>
      <c r="B465" t="s">
        <v>64</v>
      </c>
      <c r="C465" t="s">
        <v>99</v>
      </c>
      <c r="D465" t="s">
        <v>2017</v>
      </c>
      <c r="E465" t="s">
        <v>2018</v>
      </c>
      <c r="F465" t="s">
        <v>2019</v>
      </c>
      <c r="G465">
        <v>1098000</v>
      </c>
      <c r="H465">
        <v>0</v>
      </c>
      <c r="I465">
        <v>1098000</v>
      </c>
      <c r="J465">
        <v>0</v>
      </c>
      <c r="K465">
        <v>1098000</v>
      </c>
      <c r="L465">
        <v>0</v>
      </c>
      <c r="M465">
        <v>0</v>
      </c>
      <c r="N465">
        <v>0</v>
      </c>
      <c r="O465">
        <v>0</v>
      </c>
      <c r="P465" t="s">
        <v>34</v>
      </c>
      <c r="Q465" t="s">
        <v>34</v>
      </c>
      <c r="R465" t="s">
        <v>2020</v>
      </c>
      <c r="S465" t="s">
        <v>41</v>
      </c>
      <c r="T465" t="s">
        <v>34</v>
      </c>
      <c r="U465" t="s">
        <v>35</v>
      </c>
      <c r="V465" t="s">
        <v>2021</v>
      </c>
      <c r="X465">
        <v>549000</v>
      </c>
      <c r="Y465">
        <v>2</v>
      </c>
    </row>
    <row r="466" spans="1:25" x14ac:dyDescent="0.35">
      <c r="A466" t="s">
        <v>1851</v>
      </c>
      <c r="B466" t="s">
        <v>29</v>
      </c>
      <c r="C466" t="s">
        <v>30</v>
      </c>
      <c r="D466" t="s">
        <v>2261</v>
      </c>
      <c r="E466" t="s">
        <v>2262</v>
      </c>
      <c r="F466" t="s">
        <v>2263</v>
      </c>
      <c r="G466">
        <v>2550000</v>
      </c>
      <c r="H466">
        <v>0</v>
      </c>
      <c r="I466">
        <v>2550000</v>
      </c>
      <c r="J466">
        <v>0</v>
      </c>
      <c r="K466">
        <v>2550000</v>
      </c>
      <c r="L466">
        <v>0</v>
      </c>
      <c r="M466">
        <v>0</v>
      </c>
      <c r="N466">
        <v>0</v>
      </c>
      <c r="O466">
        <v>0</v>
      </c>
      <c r="P466" t="s">
        <v>34</v>
      </c>
      <c r="Q466" t="s">
        <v>34</v>
      </c>
      <c r="R466" t="s">
        <v>2264</v>
      </c>
      <c r="S466" t="s">
        <v>41</v>
      </c>
      <c r="T466" t="s">
        <v>34</v>
      </c>
      <c r="U466" t="s">
        <v>35</v>
      </c>
      <c r="V466" t="s">
        <v>2265</v>
      </c>
      <c r="X466">
        <v>850000</v>
      </c>
      <c r="Y466">
        <v>3</v>
      </c>
    </row>
    <row r="467" spans="1:25" x14ac:dyDescent="0.35">
      <c r="A467" t="s">
        <v>1923</v>
      </c>
      <c r="B467" t="s">
        <v>59</v>
      </c>
      <c r="C467" t="s">
        <v>122</v>
      </c>
      <c r="D467" t="s">
        <v>2027</v>
      </c>
      <c r="E467" t="s">
        <v>2028</v>
      </c>
      <c r="F467" t="s">
        <v>2029</v>
      </c>
      <c r="G467">
        <v>1200000</v>
      </c>
      <c r="H467">
        <v>0</v>
      </c>
      <c r="I467">
        <v>1200000</v>
      </c>
      <c r="J467">
        <v>0</v>
      </c>
      <c r="K467">
        <v>0</v>
      </c>
      <c r="L467">
        <v>0</v>
      </c>
      <c r="M467">
        <v>1200000</v>
      </c>
      <c r="N467">
        <v>0</v>
      </c>
      <c r="O467">
        <v>0</v>
      </c>
      <c r="P467" t="s">
        <v>34</v>
      </c>
      <c r="Q467" t="s">
        <v>34</v>
      </c>
      <c r="R467" t="s">
        <v>2030</v>
      </c>
      <c r="S467" t="s">
        <v>41</v>
      </c>
      <c r="T467" t="s">
        <v>34</v>
      </c>
      <c r="U467" t="s">
        <v>35</v>
      </c>
      <c r="V467" t="s">
        <v>2031</v>
      </c>
      <c r="X467">
        <v>600000</v>
      </c>
      <c r="Y467">
        <v>2</v>
      </c>
    </row>
    <row r="468" spans="1:25" x14ac:dyDescent="0.35">
      <c r="A468" t="s">
        <v>1913</v>
      </c>
      <c r="B468" t="s">
        <v>29</v>
      </c>
      <c r="C468" t="s">
        <v>43</v>
      </c>
      <c r="D468" t="s">
        <v>2256</v>
      </c>
      <c r="E468" t="s">
        <v>2257</v>
      </c>
      <c r="F468" t="s">
        <v>2258</v>
      </c>
      <c r="G468">
        <v>2550000</v>
      </c>
      <c r="H468">
        <v>0</v>
      </c>
      <c r="I468">
        <v>2550000</v>
      </c>
      <c r="J468">
        <v>0</v>
      </c>
      <c r="K468">
        <v>2550000</v>
      </c>
      <c r="L468">
        <v>0</v>
      </c>
      <c r="M468">
        <v>0</v>
      </c>
      <c r="N468">
        <v>0</v>
      </c>
      <c r="O468">
        <v>0</v>
      </c>
      <c r="P468" t="s">
        <v>34</v>
      </c>
      <c r="Q468" t="s">
        <v>34</v>
      </c>
      <c r="R468" t="s">
        <v>2259</v>
      </c>
      <c r="S468" t="s">
        <v>41</v>
      </c>
      <c r="T468" t="s">
        <v>34</v>
      </c>
      <c r="U468" t="s">
        <v>35</v>
      </c>
      <c r="V468" t="s">
        <v>2260</v>
      </c>
      <c r="X468">
        <v>850000</v>
      </c>
      <c r="Y468">
        <v>3</v>
      </c>
    </row>
    <row r="469" spans="1:25" x14ac:dyDescent="0.35">
      <c r="A469" t="s">
        <v>1696</v>
      </c>
      <c r="B469" t="s">
        <v>59</v>
      </c>
      <c r="C469" t="s">
        <v>60</v>
      </c>
      <c r="D469" t="s">
        <v>2035</v>
      </c>
      <c r="E469" t="s">
        <v>2036</v>
      </c>
      <c r="F469" t="s">
        <v>2029</v>
      </c>
      <c r="G469">
        <v>600000</v>
      </c>
      <c r="H469">
        <v>0</v>
      </c>
      <c r="I469">
        <v>600000</v>
      </c>
      <c r="J469">
        <v>0</v>
      </c>
      <c r="K469">
        <v>600000</v>
      </c>
      <c r="L469">
        <v>0</v>
      </c>
      <c r="M469">
        <v>0</v>
      </c>
      <c r="N469">
        <v>0</v>
      </c>
      <c r="O469">
        <v>0</v>
      </c>
      <c r="P469" t="s">
        <v>34</v>
      </c>
      <c r="Q469" t="s">
        <v>34</v>
      </c>
      <c r="R469" t="s">
        <v>34</v>
      </c>
      <c r="S469" t="s">
        <v>41</v>
      </c>
      <c r="T469" t="s">
        <v>34</v>
      </c>
      <c r="U469" t="s">
        <v>35</v>
      </c>
      <c r="V469" t="s">
        <v>2037</v>
      </c>
      <c r="X469">
        <v>600000</v>
      </c>
      <c r="Y469">
        <v>1</v>
      </c>
    </row>
    <row r="470" spans="1:25" x14ac:dyDescent="0.35">
      <c r="A470" t="s">
        <v>1970</v>
      </c>
      <c r="B470" t="s">
        <v>64</v>
      </c>
      <c r="C470" t="s">
        <v>83</v>
      </c>
      <c r="D470" t="s">
        <v>2251</v>
      </c>
      <c r="E470" t="s">
        <v>2252</v>
      </c>
      <c r="F470" t="s">
        <v>2253</v>
      </c>
      <c r="G470">
        <v>1680000</v>
      </c>
      <c r="H470">
        <v>0</v>
      </c>
      <c r="I470">
        <v>1680000</v>
      </c>
      <c r="J470">
        <v>0</v>
      </c>
      <c r="K470">
        <v>0</v>
      </c>
      <c r="L470">
        <v>0</v>
      </c>
      <c r="M470">
        <v>1680000</v>
      </c>
      <c r="N470">
        <v>0</v>
      </c>
      <c r="O470">
        <v>0</v>
      </c>
      <c r="P470" t="s">
        <v>2254</v>
      </c>
      <c r="Q470" t="s">
        <v>34</v>
      </c>
      <c r="R470" t="s">
        <v>34</v>
      </c>
      <c r="S470" t="s">
        <v>41</v>
      </c>
      <c r="T470" t="s">
        <v>34</v>
      </c>
      <c r="U470" t="s">
        <v>35</v>
      </c>
      <c r="V470" t="s">
        <v>2255</v>
      </c>
      <c r="X470">
        <v>560000</v>
      </c>
      <c r="Y470">
        <v>3</v>
      </c>
    </row>
    <row r="471" spans="1:25" x14ac:dyDescent="0.35">
      <c r="A471" t="s">
        <v>1711</v>
      </c>
      <c r="B471" t="s">
        <v>64</v>
      </c>
      <c r="C471" t="s">
        <v>65</v>
      </c>
      <c r="D471" t="s">
        <v>2044</v>
      </c>
      <c r="E471" t="s">
        <v>2045</v>
      </c>
      <c r="F471" t="s">
        <v>2046</v>
      </c>
      <c r="G471">
        <v>350000</v>
      </c>
      <c r="H471">
        <v>0</v>
      </c>
      <c r="I471">
        <v>350000</v>
      </c>
      <c r="J471">
        <v>0</v>
      </c>
      <c r="K471">
        <v>350000</v>
      </c>
      <c r="L471">
        <v>0</v>
      </c>
      <c r="M471">
        <v>0</v>
      </c>
      <c r="N471">
        <v>0</v>
      </c>
      <c r="O471">
        <v>0</v>
      </c>
      <c r="P471" t="s">
        <v>34</v>
      </c>
      <c r="Q471" t="s">
        <v>34</v>
      </c>
      <c r="R471" t="s">
        <v>34</v>
      </c>
      <c r="S471" t="s">
        <v>41</v>
      </c>
      <c r="T471" t="s">
        <v>34</v>
      </c>
      <c r="U471" t="s">
        <v>35</v>
      </c>
      <c r="V471" t="s">
        <v>2047</v>
      </c>
      <c r="X471">
        <v>350000</v>
      </c>
      <c r="Y471">
        <v>1</v>
      </c>
    </row>
    <row r="472" spans="1:25" x14ac:dyDescent="0.35">
      <c r="A472" t="s">
        <v>1958</v>
      </c>
      <c r="B472" t="s">
        <v>64</v>
      </c>
      <c r="C472" t="s">
        <v>173</v>
      </c>
      <c r="D472" t="s">
        <v>2246</v>
      </c>
      <c r="E472" t="s">
        <v>2247</v>
      </c>
      <c r="F472" t="s">
        <v>2248</v>
      </c>
      <c r="G472">
        <v>350000</v>
      </c>
      <c r="H472">
        <v>0</v>
      </c>
      <c r="I472">
        <v>350000</v>
      </c>
      <c r="J472">
        <v>0</v>
      </c>
      <c r="K472">
        <v>350000</v>
      </c>
      <c r="L472">
        <v>0</v>
      </c>
      <c r="M472">
        <v>0</v>
      </c>
      <c r="N472">
        <v>0</v>
      </c>
      <c r="O472">
        <v>0</v>
      </c>
      <c r="P472" t="s">
        <v>34</v>
      </c>
      <c r="Q472" t="s">
        <v>34</v>
      </c>
      <c r="R472" t="s">
        <v>2249</v>
      </c>
      <c r="S472" t="s">
        <v>41</v>
      </c>
      <c r="T472" t="s">
        <v>34</v>
      </c>
      <c r="U472" t="s">
        <v>35</v>
      </c>
      <c r="V472" t="s">
        <v>2250</v>
      </c>
      <c r="X472">
        <v>350000</v>
      </c>
      <c r="Y472">
        <v>1</v>
      </c>
    </row>
    <row r="473" spans="1:25" x14ac:dyDescent="0.35">
      <c r="A473" t="s">
        <v>1681</v>
      </c>
      <c r="B473" t="s">
        <v>64</v>
      </c>
      <c r="C473" t="s">
        <v>173</v>
      </c>
      <c r="D473" t="s">
        <v>2050</v>
      </c>
      <c r="E473" t="s">
        <v>2051</v>
      </c>
      <c r="F473" t="s">
        <v>2052</v>
      </c>
      <c r="G473">
        <v>549000</v>
      </c>
      <c r="H473">
        <v>0</v>
      </c>
      <c r="I473">
        <v>549000</v>
      </c>
      <c r="J473">
        <v>0</v>
      </c>
      <c r="K473">
        <v>549000</v>
      </c>
      <c r="L473">
        <v>0</v>
      </c>
      <c r="M473">
        <v>0</v>
      </c>
      <c r="N473">
        <v>0</v>
      </c>
      <c r="O473">
        <v>0</v>
      </c>
      <c r="P473" t="s">
        <v>34</v>
      </c>
      <c r="Q473" t="s">
        <v>34</v>
      </c>
      <c r="R473" t="s">
        <v>34</v>
      </c>
      <c r="S473" t="s">
        <v>41</v>
      </c>
      <c r="T473" t="s">
        <v>34</v>
      </c>
      <c r="U473" t="s">
        <v>35</v>
      </c>
      <c r="V473" t="s">
        <v>2053</v>
      </c>
      <c r="X473">
        <v>549000</v>
      </c>
      <c r="Y473">
        <v>1</v>
      </c>
    </row>
    <row r="474" spans="1:25" x14ac:dyDescent="0.35">
      <c r="A474" t="s">
        <v>1557</v>
      </c>
      <c r="B474" t="s">
        <v>64</v>
      </c>
      <c r="C474" t="s">
        <v>89</v>
      </c>
      <c r="D474" t="s">
        <v>2054</v>
      </c>
      <c r="E474" t="s">
        <v>2028</v>
      </c>
      <c r="F474" t="s">
        <v>2055</v>
      </c>
      <c r="G474">
        <v>1847000</v>
      </c>
      <c r="H474">
        <v>0</v>
      </c>
      <c r="I474">
        <v>1847000</v>
      </c>
      <c r="J474">
        <v>0</v>
      </c>
      <c r="K474">
        <v>0</v>
      </c>
      <c r="L474">
        <v>0</v>
      </c>
      <c r="M474">
        <v>1847000</v>
      </c>
      <c r="N474">
        <v>0</v>
      </c>
      <c r="O474">
        <v>0</v>
      </c>
      <c r="P474" t="s">
        <v>2056</v>
      </c>
      <c r="Q474" t="s">
        <v>34</v>
      </c>
      <c r="R474" t="s">
        <v>2057</v>
      </c>
      <c r="S474" t="s">
        <v>41</v>
      </c>
      <c r="T474" t="s">
        <v>34</v>
      </c>
      <c r="U474" t="s">
        <v>35</v>
      </c>
      <c r="V474" t="s">
        <v>2058</v>
      </c>
      <c r="X474">
        <v>615666.6666</v>
      </c>
      <c r="Y474">
        <v>3</v>
      </c>
    </row>
    <row r="475" spans="1:25" x14ac:dyDescent="0.35">
      <c r="A475" t="s">
        <v>1984</v>
      </c>
      <c r="B475" t="s">
        <v>64</v>
      </c>
      <c r="C475" t="s">
        <v>65</v>
      </c>
      <c r="D475" t="s">
        <v>2242</v>
      </c>
      <c r="E475" t="s">
        <v>2243</v>
      </c>
      <c r="F475" t="s">
        <v>2235</v>
      </c>
      <c r="G475">
        <v>549000</v>
      </c>
      <c r="H475">
        <v>0</v>
      </c>
      <c r="I475">
        <v>549000</v>
      </c>
      <c r="J475">
        <v>0</v>
      </c>
      <c r="K475">
        <v>549000</v>
      </c>
      <c r="L475">
        <v>0</v>
      </c>
      <c r="M475">
        <v>0</v>
      </c>
      <c r="N475">
        <v>0</v>
      </c>
      <c r="O475">
        <v>0</v>
      </c>
      <c r="P475" t="s">
        <v>34</v>
      </c>
      <c r="Q475" t="s">
        <v>34</v>
      </c>
      <c r="R475" t="s">
        <v>2244</v>
      </c>
      <c r="S475" t="s">
        <v>41</v>
      </c>
      <c r="T475" t="s">
        <v>34</v>
      </c>
      <c r="U475" t="s">
        <v>35</v>
      </c>
      <c r="V475" t="s">
        <v>2245</v>
      </c>
      <c r="X475">
        <v>549000</v>
      </c>
      <c r="Y475">
        <v>1</v>
      </c>
    </row>
    <row r="476" spans="1:25" x14ac:dyDescent="0.35">
      <c r="A476" t="s">
        <v>2065</v>
      </c>
      <c r="B476" t="s">
        <v>64</v>
      </c>
      <c r="C476" t="s">
        <v>76</v>
      </c>
      <c r="D476" t="s">
        <v>2066</v>
      </c>
      <c r="E476" t="s">
        <v>2067</v>
      </c>
      <c r="F476" t="s">
        <v>2068</v>
      </c>
      <c r="G476">
        <v>549000</v>
      </c>
      <c r="H476">
        <v>0</v>
      </c>
      <c r="I476">
        <v>549000</v>
      </c>
      <c r="J476">
        <v>0</v>
      </c>
      <c r="K476">
        <v>0</v>
      </c>
      <c r="L476">
        <v>0</v>
      </c>
      <c r="M476">
        <v>549000</v>
      </c>
      <c r="N476">
        <v>0</v>
      </c>
      <c r="O476">
        <v>0</v>
      </c>
      <c r="P476" t="s">
        <v>2069</v>
      </c>
      <c r="Q476" t="s">
        <v>2070</v>
      </c>
      <c r="R476" t="s">
        <v>2071</v>
      </c>
      <c r="S476" t="s">
        <v>41</v>
      </c>
      <c r="T476" t="s">
        <v>34</v>
      </c>
      <c r="U476" t="s">
        <v>35</v>
      </c>
      <c r="V476" t="s">
        <v>2072</v>
      </c>
      <c r="W476" t="s">
        <v>2073</v>
      </c>
      <c r="X476">
        <v>549000</v>
      </c>
      <c r="Y476">
        <v>1</v>
      </c>
    </row>
    <row r="477" spans="1:25" x14ac:dyDescent="0.35">
      <c r="A477" t="s">
        <v>1844</v>
      </c>
      <c r="B477" t="s">
        <v>64</v>
      </c>
      <c r="C477" t="s">
        <v>89</v>
      </c>
      <c r="D477" t="s">
        <v>2238</v>
      </c>
      <c r="E477" t="s">
        <v>2239</v>
      </c>
      <c r="F477" t="s">
        <v>2235</v>
      </c>
      <c r="G477">
        <v>1100000</v>
      </c>
      <c r="H477">
        <v>27500</v>
      </c>
      <c r="I477">
        <v>1127500</v>
      </c>
      <c r="J477">
        <v>0</v>
      </c>
      <c r="K477">
        <v>550000</v>
      </c>
      <c r="L477">
        <v>0</v>
      </c>
      <c r="M477">
        <v>0</v>
      </c>
      <c r="N477">
        <v>577500</v>
      </c>
      <c r="O477">
        <v>0</v>
      </c>
      <c r="P477" t="s">
        <v>34</v>
      </c>
      <c r="Q477" t="s">
        <v>34</v>
      </c>
      <c r="R477" t="s">
        <v>2240</v>
      </c>
      <c r="S477" t="s">
        <v>41</v>
      </c>
      <c r="T477" t="s">
        <v>34</v>
      </c>
      <c r="U477" t="s">
        <v>35</v>
      </c>
      <c r="V477" t="s">
        <v>2241</v>
      </c>
      <c r="X477">
        <v>550000</v>
      </c>
      <c r="Y477">
        <v>2</v>
      </c>
    </row>
    <row r="478" spans="1:25" x14ac:dyDescent="0.35">
      <c r="A478" t="s">
        <v>1719</v>
      </c>
      <c r="B478" t="s">
        <v>29</v>
      </c>
      <c r="C478" t="s">
        <v>37</v>
      </c>
      <c r="D478" t="s">
        <v>2079</v>
      </c>
      <c r="E478" t="s">
        <v>2080</v>
      </c>
      <c r="F478" t="s">
        <v>2081</v>
      </c>
      <c r="G478">
        <v>350000</v>
      </c>
      <c r="H478">
        <v>0</v>
      </c>
      <c r="I478">
        <v>350000</v>
      </c>
      <c r="J478">
        <v>0</v>
      </c>
      <c r="K478">
        <v>0</v>
      </c>
      <c r="L478">
        <v>0</v>
      </c>
      <c r="M478">
        <v>350000</v>
      </c>
      <c r="N478">
        <v>0</v>
      </c>
      <c r="O478">
        <v>0</v>
      </c>
      <c r="S478" t="s">
        <v>41</v>
      </c>
      <c r="T478" t="s">
        <v>34</v>
      </c>
      <c r="U478" t="s">
        <v>35</v>
      </c>
      <c r="V478" t="s">
        <v>2082</v>
      </c>
      <c r="X478">
        <v>350000</v>
      </c>
      <c r="Y478">
        <v>1</v>
      </c>
    </row>
    <row r="479" spans="1:25" x14ac:dyDescent="0.35">
      <c r="A479" t="s">
        <v>1850</v>
      </c>
      <c r="B479" t="s">
        <v>29</v>
      </c>
      <c r="C479" t="s">
        <v>385</v>
      </c>
      <c r="D479" t="s">
        <v>226</v>
      </c>
      <c r="E479" t="s">
        <v>2083</v>
      </c>
      <c r="F479" t="s">
        <v>2081</v>
      </c>
      <c r="G479">
        <v>200000</v>
      </c>
      <c r="H479">
        <v>0</v>
      </c>
      <c r="I479">
        <v>200000</v>
      </c>
      <c r="J479">
        <v>0</v>
      </c>
      <c r="K479">
        <v>200000</v>
      </c>
      <c r="L479">
        <v>0</v>
      </c>
      <c r="M479">
        <v>0</v>
      </c>
      <c r="N479">
        <v>0</v>
      </c>
      <c r="O479">
        <v>0</v>
      </c>
      <c r="S479" t="s">
        <v>41</v>
      </c>
      <c r="T479" t="s">
        <v>34</v>
      </c>
      <c r="U479" t="s">
        <v>35</v>
      </c>
      <c r="V479" t="s">
        <v>2084</v>
      </c>
      <c r="X479">
        <v>200000</v>
      </c>
      <c r="Y479">
        <v>1</v>
      </c>
    </row>
    <row r="480" spans="1:25" x14ac:dyDescent="0.35">
      <c r="A480" t="s">
        <v>1835</v>
      </c>
      <c r="B480" t="s">
        <v>59</v>
      </c>
      <c r="C480" t="s">
        <v>60</v>
      </c>
      <c r="D480" t="s">
        <v>2228</v>
      </c>
      <c r="E480" t="s">
        <v>2229</v>
      </c>
      <c r="F480" t="s">
        <v>2230</v>
      </c>
      <c r="G480">
        <v>550000</v>
      </c>
      <c r="H480">
        <v>65000</v>
      </c>
      <c r="I480">
        <v>615000</v>
      </c>
      <c r="J480">
        <v>0</v>
      </c>
      <c r="K480">
        <v>0</v>
      </c>
      <c r="L480">
        <v>0</v>
      </c>
      <c r="M480">
        <v>615000</v>
      </c>
      <c r="N480">
        <v>0</v>
      </c>
      <c r="O480">
        <v>0</v>
      </c>
      <c r="P480" t="s">
        <v>2231</v>
      </c>
      <c r="S480" t="s">
        <v>41</v>
      </c>
      <c r="T480" t="s">
        <v>34</v>
      </c>
      <c r="U480" t="s">
        <v>35</v>
      </c>
      <c r="V480" t="s">
        <v>2232</v>
      </c>
      <c r="X480">
        <v>550000</v>
      </c>
      <c r="Y480">
        <v>1</v>
      </c>
    </row>
    <row r="481" spans="1:25" x14ac:dyDescent="0.35">
      <c r="A481" t="s">
        <v>1799</v>
      </c>
      <c r="B481" t="s">
        <v>59</v>
      </c>
      <c r="C481" t="s">
        <v>122</v>
      </c>
      <c r="D481" t="s">
        <v>1127</v>
      </c>
      <c r="E481" t="s">
        <v>2089</v>
      </c>
      <c r="F481" t="s">
        <v>2090</v>
      </c>
      <c r="G481">
        <v>500000</v>
      </c>
      <c r="H481">
        <v>25000</v>
      </c>
      <c r="I481">
        <v>525000</v>
      </c>
      <c r="J481">
        <v>0</v>
      </c>
      <c r="K481">
        <v>25000</v>
      </c>
      <c r="L481">
        <v>0</v>
      </c>
      <c r="M481">
        <v>500000</v>
      </c>
      <c r="N481">
        <v>0</v>
      </c>
      <c r="O481">
        <v>0</v>
      </c>
      <c r="P481" t="s">
        <v>34</v>
      </c>
      <c r="Q481" t="s">
        <v>34</v>
      </c>
      <c r="R481" t="s">
        <v>34</v>
      </c>
      <c r="S481" t="s">
        <v>41</v>
      </c>
      <c r="T481" t="s">
        <v>34</v>
      </c>
      <c r="U481" t="s">
        <v>35</v>
      </c>
      <c r="V481" t="s">
        <v>2091</v>
      </c>
      <c r="X481">
        <v>500000</v>
      </c>
      <c r="Y481">
        <v>1</v>
      </c>
    </row>
    <row r="482" spans="1:25" x14ac:dyDescent="0.35">
      <c r="A482" t="s">
        <v>2210</v>
      </c>
      <c r="B482" t="s">
        <v>64</v>
      </c>
      <c r="C482" t="s">
        <v>89</v>
      </c>
      <c r="D482" t="s">
        <v>2211</v>
      </c>
      <c r="E482" t="s">
        <v>2212</v>
      </c>
      <c r="F482" t="s">
        <v>2213</v>
      </c>
      <c r="G482">
        <v>350000</v>
      </c>
      <c r="H482">
        <v>0</v>
      </c>
      <c r="I482">
        <v>350000</v>
      </c>
      <c r="J482">
        <v>0</v>
      </c>
      <c r="K482">
        <v>350000</v>
      </c>
      <c r="L482">
        <v>0</v>
      </c>
      <c r="M482">
        <v>0</v>
      </c>
      <c r="N482">
        <v>0</v>
      </c>
      <c r="O482">
        <v>0</v>
      </c>
      <c r="P482" t="s">
        <v>2214</v>
      </c>
      <c r="S482" t="s">
        <v>41</v>
      </c>
      <c r="T482" t="s">
        <v>34</v>
      </c>
      <c r="U482" t="s">
        <v>35</v>
      </c>
      <c r="V482" t="s">
        <v>2215</v>
      </c>
      <c r="X482">
        <v>350000</v>
      </c>
      <c r="Y482">
        <v>1</v>
      </c>
    </row>
    <row r="483" spans="1:25" x14ac:dyDescent="0.35">
      <c r="A483" t="s">
        <v>1829</v>
      </c>
      <c r="B483" t="s">
        <v>71</v>
      </c>
      <c r="C483" t="s">
        <v>95</v>
      </c>
      <c r="D483" t="s">
        <v>2205</v>
      </c>
      <c r="E483" t="s">
        <v>2206</v>
      </c>
      <c r="F483" t="s">
        <v>2207</v>
      </c>
      <c r="G483">
        <v>780000</v>
      </c>
      <c r="H483">
        <v>0</v>
      </c>
      <c r="I483">
        <v>780000</v>
      </c>
      <c r="J483">
        <v>0</v>
      </c>
      <c r="K483">
        <v>0</v>
      </c>
      <c r="L483">
        <v>0</v>
      </c>
      <c r="M483">
        <v>780000</v>
      </c>
      <c r="N483">
        <v>0</v>
      </c>
      <c r="O483">
        <v>0</v>
      </c>
      <c r="P483" t="s">
        <v>2208</v>
      </c>
      <c r="Q483" t="s">
        <v>34</v>
      </c>
      <c r="R483" t="s">
        <v>34</v>
      </c>
      <c r="S483" t="s">
        <v>41</v>
      </c>
      <c r="T483" t="s">
        <v>34</v>
      </c>
      <c r="U483" t="s">
        <v>35</v>
      </c>
      <c r="V483" t="s">
        <v>2209</v>
      </c>
      <c r="X483">
        <v>780000</v>
      </c>
      <c r="Y483">
        <v>1</v>
      </c>
    </row>
    <row r="484" spans="1:25" x14ac:dyDescent="0.35">
      <c r="A484" t="s">
        <v>1791</v>
      </c>
      <c r="B484" t="s">
        <v>64</v>
      </c>
      <c r="C484" t="s">
        <v>83</v>
      </c>
      <c r="D484" t="s">
        <v>376</v>
      </c>
      <c r="E484" t="s">
        <v>2106</v>
      </c>
      <c r="F484" t="s">
        <v>2107</v>
      </c>
      <c r="G484">
        <v>500000</v>
      </c>
      <c r="H484">
        <v>0</v>
      </c>
      <c r="I484">
        <v>500000</v>
      </c>
      <c r="J484">
        <v>0</v>
      </c>
      <c r="K484">
        <v>500000</v>
      </c>
      <c r="L484">
        <v>0</v>
      </c>
      <c r="M484">
        <v>0</v>
      </c>
      <c r="N484">
        <v>0</v>
      </c>
      <c r="O484">
        <v>0</v>
      </c>
      <c r="P484" t="s">
        <v>378</v>
      </c>
      <c r="Q484" t="s">
        <v>34</v>
      </c>
      <c r="R484" t="s">
        <v>34</v>
      </c>
      <c r="S484" t="s">
        <v>41</v>
      </c>
      <c r="T484" t="s">
        <v>34</v>
      </c>
      <c r="U484" t="s">
        <v>35</v>
      </c>
      <c r="V484" t="s">
        <v>2108</v>
      </c>
      <c r="X484">
        <v>500000</v>
      </c>
      <c r="Y484">
        <v>1</v>
      </c>
    </row>
    <row r="485" spans="1:25" x14ac:dyDescent="0.35">
      <c r="A485" t="s">
        <v>1713</v>
      </c>
      <c r="B485" t="s">
        <v>71</v>
      </c>
      <c r="C485" t="s">
        <v>72</v>
      </c>
      <c r="D485" t="s">
        <v>2109</v>
      </c>
      <c r="E485" t="s">
        <v>2110</v>
      </c>
      <c r="F485" t="s">
        <v>2111</v>
      </c>
      <c r="G485">
        <v>1740000</v>
      </c>
      <c r="H485">
        <v>0</v>
      </c>
      <c r="I485">
        <v>1740000</v>
      </c>
      <c r="J485">
        <v>0</v>
      </c>
      <c r="K485">
        <v>1740000</v>
      </c>
      <c r="L485">
        <v>0</v>
      </c>
      <c r="M485">
        <v>0</v>
      </c>
      <c r="N485">
        <v>0</v>
      </c>
      <c r="O485">
        <v>0</v>
      </c>
      <c r="P485" t="s">
        <v>34</v>
      </c>
      <c r="Q485" t="s">
        <v>34</v>
      </c>
      <c r="R485" t="s">
        <v>34</v>
      </c>
      <c r="S485" t="s">
        <v>41</v>
      </c>
      <c r="T485" t="s">
        <v>34</v>
      </c>
      <c r="U485" t="s">
        <v>35</v>
      </c>
      <c r="V485" t="s">
        <v>2112</v>
      </c>
      <c r="X485">
        <v>580000</v>
      </c>
      <c r="Y485">
        <v>3</v>
      </c>
    </row>
    <row r="486" spans="1:25" x14ac:dyDescent="0.35">
      <c r="A486" t="s">
        <v>1678</v>
      </c>
      <c r="B486" t="s">
        <v>71</v>
      </c>
      <c r="C486" t="s">
        <v>95</v>
      </c>
      <c r="D486" t="s">
        <v>2113</v>
      </c>
      <c r="E486" t="s">
        <v>2089</v>
      </c>
      <c r="F486" t="s">
        <v>2114</v>
      </c>
      <c r="G486">
        <v>1000000</v>
      </c>
      <c r="H486">
        <v>0</v>
      </c>
      <c r="I486">
        <v>1000000</v>
      </c>
      <c r="J486">
        <v>0</v>
      </c>
      <c r="K486">
        <v>1000000</v>
      </c>
      <c r="L486">
        <v>0</v>
      </c>
      <c r="M486">
        <v>0</v>
      </c>
      <c r="N486">
        <v>0</v>
      </c>
      <c r="O486">
        <v>0</v>
      </c>
      <c r="S486" t="s">
        <v>41</v>
      </c>
      <c r="T486" t="s">
        <v>34</v>
      </c>
      <c r="U486" t="s">
        <v>35</v>
      </c>
      <c r="V486" t="s">
        <v>2115</v>
      </c>
      <c r="X486">
        <v>500000</v>
      </c>
      <c r="Y486">
        <v>2</v>
      </c>
    </row>
    <row r="487" spans="1:25" x14ac:dyDescent="0.35">
      <c r="A487" t="s">
        <v>2199</v>
      </c>
      <c r="B487" t="s">
        <v>64</v>
      </c>
      <c r="C487" t="s">
        <v>173</v>
      </c>
      <c r="D487" t="s">
        <v>2200</v>
      </c>
      <c r="E487" t="s">
        <v>2201</v>
      </c>
      <c r="F487" t="s">
        <v>2202</v>
      </c>
      <c r="G487">
        <v>350000</v>
      </c>
      <c r="H487">
        <v>15000</v>
      </c>
      <c r="I487">
        <v>365000</v>
      </c>
      <c r="J487">
        <v>0</v>
      </c>
      <c r="K487">
        <v>365000</v>
      </c>
      <c r="L487">
        <v>0</v>
      </c>
      <c r="M487">
        <v>0</v>
      </c>
      <c r="N487">
        <v>0</v>
      </c>
      <c r="O487">
        <v>0</v>
      </c>
      <c r="P487" t="s">
        <v>2203</v>
      </c>
      <c r="Q487" t="s">
        <v>34</v>
      </c>
      <c r="R487" t="s">
        <v>34</v>
      </c>
      <c r="S487" t="s">
        <v>41</v>
      </c>
      <c r="T487" t="s">
        <v>34</v>
      </c>
      <c r="U487" t="s">
        <v>35</v>
      </c>
      <c r="V487" t="s">
        <v>2204</v>
      </c>
      <c r="X487">
        <v>350000</v>
      </c>
      <c r="Y487">
        <v>1</v>
      </c>
    </row>
    <row r="488" spans="1:25" x14ac:dyDescent="0.35">
      <c r="A488" t="s">
        <v>1899</v>
      </c>
      <c r="B488" t="s">
        <v>64</v>
      </c>
      <c r="C488" t="s">
        <v>99</v>
      </c>
      <c r="D488" t="s">
        <v>861</v>
      </c>
      <c r="E488" t="s">
        <v>2191</v>
      </c>
      <c r="F488" t="s">
        <v>2192</v>
      </c>
      <c r="G488">
        <v>2500000</v>
      </c>
      <c r="H488">
        <v>0</v>
      </c>
      <c r="I488">
        <v>2500000</v>
      </c>
      <c r="J488">
        <v>0</v>
      </c>
      <c r="K488">
        <v>0</v>
      </c>
      <c r="L488">
        <v>0</v>
      </c>
      <c r="M488">
        <v>2500000</v>
      </c>
      <c r="N488">
        <v>0</v>
      </c>
      <c r="O488">
        <v>0</v>
      </c>
      <c r="P488" t="s">
        <v>864</v>
      </c>
      <c r="Q488" t="s">
        <v>34</v>
      </c>
      <c r="R488" t="s">
        <v>865</v>
      </c>
      <c r="S488" t="s">
        <v>41</v>
      </c>
      <c r="T488" t="s">
        <v>34</v>
      </c>
      <c r="U488" t="s">
        <v>35</v>
      </c>
      <c r="V488" t="s">
        <v>2193</v>
      </c>
      <c r="X488">
        <v>500000</v>
      </c>
      <c r="Y488">
        <v>5</v>
      </c>
    </row>
    <row r="489" spans="1:25" x14ac:dyDescent="0.35">
      <c r="A489" t="s">
        <v>1761</v>
      </c>
      <c r="B489" t="s">
        <v>71</v>
      </c>
      <c r="C489" t="s">
        <v>95</v>
      </c>
      <c r="D489" t="s">
        <v>2186</v>
      </c>
      <c r="E489" t="s">
        <v>2187</v>
      </c>
      <c r="F489" t="s">
        <v>2188</v>
      </c>
      <c r="G489">
        <v>1300000</v>
      </c>
      <c r="H489">
        <v>60000</v>
      </c>
      <c r="I489">
        <v>1360000</v>
      </c>
      <c r="J489">
        <v>0</v>
      </c>
      <c r="K489">
        <v>1360000</v>
      </c>
      <c r="L489">
        <v>0</v>
      </c>
      <c r="M489">
        <v>0</v>
      </c>
      <c r="N489">
        <v>0</v>
      </c>
      <c r="O489">
        <v>0</v>
      </c>
      <c r="P489" t="s">
        <v>2189</v>
      </c>
      <c r="Q489" t="s">
        <v>34</v>
      </c>
      <c r="R489" t="s">
        <v>34</v>
      </c>
      <c r="S489" t="s">
        <v>41</v>
      </c>
      <c r="T489" t="s">
        <v>34</v>
      </c>
      <c r="U489" t="s">
        <v>35</v>
      </c>
      <c r="V489" t="s">
        <v>2190</v>
      </c>
      <c r="X489">
        <v>650000</v>
      </c>
      <c r="Y489">
        <v>2</v>
      </c>
    </row>
    <row r="490" spans="1:25" x14ac:dyDescent="0.35">
      <c r="A490" t="s">
        <v>1753</v>
      </c>
      <c r="B490" t="s">
        <v>71</v>
      </c>
      <c r="C490" t="s">
        <v>95</v>
      </c>
      <c r="D490" t="s">
        <v>1537</v>
      </c>
      <c r="E490" t="s">
        <v>2136</v>
      </c>
      <c r="F490" t="s">
        <v>2137</v>
      </c>
      <c r="G490">
        <v>550000</v>
      </c>
      <c r="H490">
        <v>27500</v>
      </c>
      <c r="I490">
        <v>577500</v>
      </c>
      <c r="J490">
        <v>0</v>
      </c>
      <c r="K490">
        <v>0</v>
      </c>
      <c r="L490">
        <v>0</v>
      </c>
      <c r="M490">
        <v>0</v>
      </c>
      <c r="N490">
        <v>577500</v>
      </c>
      <c r="O490">
        <v>0</v>
      </c>
      <c r="P490" t="s">
        <v>34</v>
      </c>
      <c r="Q490" t="s">
        <v>34</v>
      </c>
      <c r="R490" t="s">
        <v>1540</v>
      </c>
      <c r="S490" t="s">
        <v>41</v>
      </c>
      <c r="T490" t="s">
        <v>34</v>
      </c>
      <c r="U490" t="s">
        <v>35</v>
      </c>
      <c r="V490" t="s">
        <v>2138</v>
      </c>
      <c r="X490">
        <v>550000</v>
      </c>
      <c r="Y490">
        <v>1</v>
      </c>
    </row>
    <row r="491" spans="1:25" x14ac:dyDescent="0.35">
      <c r="A491" t="s">
        <v>1744</v>
      </c>
      <c r="B491" t="s">
        <v>64</v>
      </c>
      <c r="C491" t="s">
        <v>173</v>
      </c>
      <c r="D491" t="s">
        <v>2116</v>
      </c>
      <c r="E491" t="s">
        <v>2139</v>
      </c>
      <c r="F491" t="s">
        <v>2140</v>
      </c>
      <c r="G491">
        <v>550000</v>
      </c>
      <c r="H491">
        <v>0</v>
      </c>
      <c r="I491">
        <v>550000</v>
      </c>
      <c r="J491">
        <v>0</v>
      </c>
      <c r="K491">
        <v>0</v>
      </c>
      <c r="L491">
        <v>0</v>
      </c>
      <c r="M491">
        <v>0</v>
      </c>
      <c r="N491">
        <v>550000</v>
      </c>
      <c r="O491">
        <v>0</v>
      </c>
      <c r="P491" t="s">
        <v>2119</v>
      </c>
      <c r="Q491" t="s">
        <v>34</v>
      </c>
      <c r="R491" t="s">
        <v>2120</v>
      </c>
      <c r="S491" t="s">
        <v>41</v>
      </c>
      <c r="T491" t="s">
        <v>34</v>
      </c>
      <c r="U491" t="s">
        <v>35</v>
      </c>
      <c r="V491" t="s">
        <v>2141</v>
      </c>
      <c r="X491">
        <v>550000</v>
      </c>
      <c r="Y491">
        <v>1</v>
      </c>
    </row>
    <row r="492" spans="1:25" x14ac:dyDescent="0.35">
      <c r="A492" t="s">
        <v>1747</v>
      </c>
      <c r="B492" t="s">
        <v>29</v>
      </c>
      <c r="C492" t="s">
        <v>110</v>
      </c>
      <c r="D492" t="s">
        <v>2142</v>
      </c>
      <c r="E492" t="s">
        <v>2143</v>
      </c>
      <c r="F492" t="s">
        <v>2144</v>
      </c>
      <c r="G492">
        <v>500000</v>
      </c>
      <c r="H492">
        <v>0</v>
      </c>
      <c r="I492">
        <v>500000</v>
      </c>
      <c r="J492">
        <v>0</v>
      </c>
      <c r="K492">
        <v>0</v>
      </c>
      <c r="L492">
        <v>0</v>
      </c>
      <c r="M492">
        <v>500000</v>
      </c>
      <c r="N492">
        <v>0</v>
      </c>
      <c r="O492">
        <v>0</v>
      </c>
      <c r="P492" t="s">
        <v>2145</v>
      </c>
      <c r="S492" t="s">
        <v>41</v>
      </c>
      <c r="T492" t="s">
        <v>34</v>
      </c>
      <c r="U492" t="s">
        <v>35</v>
      </c>
      <c r="V492" t="s">
        <v>2146</v>
      </c>
      <c r="X492">
        <v>500000</v>
      </c>
      <c r="Y492">
        <v>1</v>
      </c>
    </row>
    <row r="493" spans="1:25" x14ac:dyDescent="0.35">
      <c r="A493" t="s">
        <v>1738</v>
      </c>
      <c r="B493" t="s">
        <v>64</v>
      </c>
      <c r="C493" t="s">
        <v>65</v>
      </c>
      <c r="D493" t="s">
        <v>2147</v>
      </c>
      <c r="E493" t="s">
        <v>2148</v>
      </c>
      <c r="F493" t="s">
        <v>2149</v>
      </c>
      <c r="G493">
        <v>350000</v>
      </c>
      <c r="H493">
        <v>0</v>
      </c>
      <c r="I493">
        <v>350000</v>
      </c>
      <c r="J493">
        <v>0</v>
      </c>
      <c r="K493">
        <v>350000</v>
      </c>
      <c r="L493">
        <v>0</v>
      </c>
      <c r="M493">
        <v>0</v>
      </c>
      <c r="N493">
        <v>0</v>
      </c>
      <c r="O493">
        <v>0</v>
      </c>
      <c r="S493" t="s">
        <v>41</v>
      </c>
      <c r="T493" t="s">
        <v>34</v>
      </c>
      <c r="U493" t="s">
        <v>35</v>
      </c>
      <c r="V493" t="s">
        <v>2150</v>
      </c>
      <c r="X493">
        <v>350000</v>
      </c>
      <c r="Y493">
        <v>1</v>
      </c>
    </row>
    <row r="494" spans="1:25" x14ac:dyDescent="0.35">
      <c r="A494" t="s">
        <v>1671</v>
      </c>
      <c r="B494" t="s">
        <v>64</v>
      </c>
      <c r="C494" t="s">
        <v>76</v>
      </c>
      <c r="D494" t="s">
        <v>100</v>
      </c>
      <c r="E494" t="s">
        <v>2151</v>
      </c>
      <c r="F494" t="s">
        <v>2152</v>
      </c>
      <c r="G494">
        <v>1100000</v>
      </c>
      <c r="H494">
        <v>0</v>
      </c>
      <c r="I494">
        <v>1100000</v>
      </c>
      <c r="J494">
        <v>0</v>
      </c>
      <c r="K494">
        <v>0</v>
      </c>
      <c r="L494">
        <v>0</v>
      </c>
      <c r="M494">
        <v>1100000</v>
      </c>
      <c r="N494">
        <v>0</v>
      </c>
      <c r="O494">
        <v>0</v>
      </c>
      <c r="P494" t="s">
        <v>34</v>
      </c>
      <c r="Q494" t="s">
        <v>34</v>
      </c>
      <c r="R494" t="s">
        <v>34</v>
      </c>
      <c r="S494" t="s">
        <v>41</v>
      </c>
      <c r="T494" t="s">
        <v>34</v>
      </c>
      <c r="U494" t="s">
        <v>35</v>
      </c>
      <c r="V494" t="s">
        <v>2153</v>
      </c>
      <c r="X494">
        <v>550000</v>
      </c>
      <c r="Y494">
        <v>2</v>
      </c>
    </row>
    <row r="495" spans="1:25" x14ac:dyDescent="0.35">
      <c r="A495" t="s">
        <v>1779</v>
      </c>
      <c r="B495" t="s">
        <v>59</v>
      </c>
      <c r="C495" t="s">
        <v>60</v>
      </c>
      <c r="D495" t="s">
        <v>226</v>
      </c>
      <c r="E495" t="s">
        <v>2181</v>
      </c>
      <c r="F495" t="s">
        <v>2182</v>
      </c>
      <c r="G495">
        <v>495000</v>
      </c>
      <c r="H495">
        <v>0</v>
      </c>
      <c r="I495">
        <v>495000</v>
      </c>
      <c r="J495">
        <v>0</v>
      </c>
      <c r="K495">
        <v>495000</v>
      </c>
      <c r="L495">
        <v>0</v>
      </c>
      <c r="M495">
        <v>0</v>
      </c>
      <c r="N495">
        <v>0</v>
      </c>
      <c r="O495">
        <v>0</v>
      </c>
      <c r="S495" t="s">
        <v>41</v>
      </c>
      <c r="T495" t="s">
        <v>34</v>
      </c>
      <c r="U495" t="s">
        <v>35</v>
      </c>
      <c r="V495" t="s">
        <v>2185</v>
      </c>
      <c r="X495">
        <v>495000</v>
      </c>
      <c r="Y495">
        <v>1</v>
      </c>
    </row>
    <row r="496" spans="1:25" x14ac:dyDescent="0.35">
      <c r="A496" t="s">
        <v>1785</v>
      </c>
      <c r="B496" t="s">
        <v>59</v>
      </c>
      <c r="C496" t="s">
        <v>182</v>
      </c>
      <c r="D496" t="s">
        <v>2158</v>
      </c>
      <c r="E496" t="s">
        <v>2159</v>
      </c>
      <c r="F496" t="s">
        <v>2160</v>
      </c>
      <c r="G496">
        <v>1980000</v>
      </c>
      <c r="H496">
        <v>0</v>
      </c>
      <c r="I496">
        <v>1980000</v>
      </c>
      <c r="J496">
        <v>0</v>
      </c>
      <c r="K496">
        <v>1980000</v>
      </c>
      <c r="L496">
        <v>0</v>
      </c>
      <c r="M496">
        <v>0</v>
      </c>
      <c r="N496">
        <v>0</v>
      </c>
      <c r="O496">
        <v>0</v>
      </c>
      <c r="P496" t="s">
        <v>2161</v>
      </c>
      <c r="Q496" t="s">
        <v>34</v>
      </c>
      <c r="R496" t="s">
        <v>34</v>
      </c>
      <c r="S496" t="s">
        <v>41</v>
      </c>
      <c r="T496" t="s">
        <v>34</v>
      </c>
      <c r="U496" t="s">
        <v>35</v>
      </c>
      <c r="V496" t="s">
        <v>2162</v>
      </c>
      <c r="X496">
        <v>495000</v>
      </c>
      <c r="Y496">
        <v>4</v>
      </c>
    </row>
    <row r="497" spans="1:25" x14ac:dyDescent="0.35">
      <c r="A497" t="s">
        <v>2163</v>
      </c>
      <c r="B497" t="s">
        <v>64</v>
      </c>
      <c r="C497" t="s">
        <v>83</v>
      </c>
      <c r="D497" t="s">
        <v>2164</v>
      </c>
      <c r="E497" t="s">
        <v>2165</v>
      </c>
      <c r="F497" t="s">
        <v>2166</v>
      </c>
      <c r="G497">
        <v>1500000</v>
      </c>
      <c r="H497">
        <v>0</v>
      </c>
      <c r="I497">
        <v>1500000</v>
      </c>
      <c r="J497">
        <v>0</v>
      </c>
      <c r="K497">
        <v>1000000</v>
      </c>
      <c r="L497">
        <v>0</v>
      </c>
      <c r="M497">
        <v>500000</v>
      </c>
      <c r="N497">
        <v>0</v>
      </c>
      <c r="O497">
        <v>0</v>
      </c>
      <c r="S497" t="s">
        <v>41</v>
      </c>
      <c r="T497" t="s">
        <v>34</v>
      </c>
      <c r="U497" t="s">
        <v>35</v>
      </c>
      <c r="V497" t="s">
        <v>2167</v>
      </c>
      <c r="X497">
        <v>500000</v>
      </c>
      <c r="Y497">
        <v>3</v>
      </c>
    </row>
    <row r="498" spans="1:25" x14ac:dyDescent="0.35">
      <c r="A498" t="s">
        <v>2168</v>
      </c>
      <c r="B498" t="s">
        <v>64</v>
      </c>
      <c r="C498" t="s">
        <v>65</v>
      </c>
      <c r="D498" t="s">
        <v>2169</v>
      </c>
      <c r="E498" t="s">
        <v>2170</v>
      </c>
      <c r="F498" t="s">
        <v>2171</v>
      </c>
      <c r="G498">
        <v>495000</v>
      </c>
      <c r="H498">
        <v>0</v>
      </c>
      <c r="I498">
        <v>495000</v>
      </c>
      <c r="J498">
        <v>0</v>
      </c>
      <c r="K498">
        <v>495000</v>
      </c>
      <c r="L498">
        <v>0</v>
      </c>
      <c r="M498">
        <v>0</v>
      </c>
      <c r="N498">
        <v>0</v>
      </c>
      <c r="O498">
        <v>0</v>
      </c>
      <c r="P498" t="s">
        <v>2172</v>
      </c>
      <c r="Q498" t="s">
        <v>34</v>
      </c>
      <c r="R498" t="s">
        <v>34</v>
      </c>
      <c r="S498" t="s">
        <v>41</v>
      </c>
      <c r="T498" t="s">
        <v>34</v>
      </c>
      <c r="U498" t="s">
        <v>35</v>
      </c>
      <c r="V498" t="s">
        <v>2173</v>
      </c>
      <c r="X498">
        <v>495000</v>
      </c>
      <c r="Y498">
        <v>1</v>
      </c>
    </row>
    <row r="499" spans="1:25" x14ac:dyDescent="0.35">
      <c r="A499" t="s">
        <v>1779</v>
      </c>
      <c r="B499" t="s">
        <v>64</v>
      </c>
      <c r="C499" t="s">
        <v>76</v>
      </c>
      <c r="D499" t="s">
        <v>2180</v>
      </c>
      <c r="E499" t="s">
        <v>2181</v>
      </c>
      <c r="F499" t="s">
        <v>2182</v>
      </c>
      <c r="G499">
        <v>495000</v>
      </c>
      <c r="H499">
        <v>20000</v>
      </c>
      <c r="I499">
        <v>515000</v>
      </c>
      <c r="J499">
        <v>0</v>
      </c>
      <c r="K499">
        <v>215000</v>
      </c>
      <c r="L499">
        <v>0</v>
      </c>
      <c r="M499">
        <v>300000</v>
      </c>
      <c r="N499">
        <v>0</v>
      </c>
      <c r="O499">
        <v>0</v>
      </c>
      <c r="P499" t="s">
        <v>2183</v>
      </c>
      <c r="S499" t="s">
        <v>41</v>
      </c>
      <c r="T499" t="s">
        <v>34</v>
      </c>
      <c r="U499" t="s">
        <v>35</v>
      </c>
      <c r="V499" t="s">
        <v>2184</v>
      </c>
      <c r="X499">
        <v>495000</v>
      </c>
      <c r="Y499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3268E-C259-422D-8B6C-9FBFECE8C231}">
  <dimension ref="A1:Y218"/>
  <sheetViews>
    <sheetView tabSelected="1" topLeftCell="E56" zoomScale="48" workbookViewId="0">
      <selection activeCell="V66" sqref="V66"/>
    </sheetView>
  </sheetViews>
  <sheetFormatPr defaultRowHeight="14.5" x14ac:dyDescent="0.35"/>
  <cols>
    <col min="1" max="1" width="19.90625" bestFit="1" customWidth="1"/>
    <col min="2" max="2" width="24.1796875" bestFit="1" customWidth="1"/>
    <col min="3" max="3" width="14.1796875" customWidth="1"/>
    <col min="4" max="4" width="12" customWidth="1"/>
    <col min="5" max="5" width="12.453125" customWidth="1"/>
    <col min="8" max="8" width="15.81640625" customWidth="1"/>
    <col min="9" max="9" width="13.90625" customWidth="1"/>
    <col min="10" max="11" width="12.7265625" customWidth="1"/>
    <col min="12" max="12" width="13.36328125" customWidth="1"/>
    <col min="13" max="13" width="14.453125" customWidth="1"/>
    <col min="14" max="14" width="12.36328125" bestFit="1" customWidth="1"/>
    <col min="15" max="15" width="26.08984375" bestFit="1" customWidth="1"/>
    <col min="16" max="16" width="17" customWidth="1"/>
    <col min="18" max="18" width="13" customWidth="1"/>
    <col min="19" max="19" width="12.453125" customWidth="1"/>
    <col min="20" max="20" width="12" customWidth="1"/>
    <col min="24" max="24" width="11.36328125" customWidth="1"/>
  </cols>
  <sheetData>
    <row r="1" spans="1:20" x14ac:dyDescent="0.35">
      <c r="A1" s="121" t="s">
        <v>3250</v>
      </c>
      <c r="B1" s="121"/>
      <c r="C1" s="121"/>
      <c r="D1" s="121"/>
      <c r="E1" s="121"/>
      <c r="H1" s="113" t="s">
        <v>3326</v>
      </c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</row>
    <row r="2" spans="1:20" x14ac:dyDescent="0.35">
      <c r="A2" s="122" t="s">
        <v>3251</v>
      </c>
      <c r="B2" s="122"/>
      <c r="C2" s="122"/>
      <c r="D2" s="122"/>
      <c r="E2" s="122"/>
      <c r="H2" s="114">
        <v>45444</v>
      </c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6"/>
    </row>
    <row r="3" spans="1:20" x14ac:dyDescent="0.35">
      <c r="A3" s="69" t="s">
        <v>3252</v>
      </c>
      <c r="B3" s="69" t="s">
        <v>3253</v>
      </c>
      <c r="C3" s="69" t="s">
        <v>3254</v>
      </c>
      <c r="D3" s="69" t="s">
        <v>3255</v>
      </c>
      <c r="E3" s="69" t="s">
        <v>3256</v>
      </c>
      <c r="H3" s="80" t="s">
        <v>3281</v>
      </c>
      <c r="I3" s="80" t="s">
        <v>3293</v>
      </c>
      <c r="J3" s="80" t="s">
        <v>3292</v>
      </c>
      <c r="K3" s="80" t="s">
        <v>3294</v>
      </c>
      <c r="L3" s="80" t="s">
        <v>3295</v>
      </c>
      <c r="M3" s="80" t="s">
        <v>3296</v>
      </c>
      <c r="N3" s="80" t="s">
        <v>3297</v>
      </c>
      <c r="O3" s="80" t="s">
        <v>3298</v>
      </c>
      <c r="P3" s="80" t="s">
        <v>3299</v>
      </c>
      <c r="Q3" s="80" t="s">
        <v>3300</v>
      </c>
      <c r="R3" s="80" t="s">
        <v>3301</v>
      </c>
      <c r="S3" s="80" t="s">
        <v>3302</v>
      </c>
      <c r="T3" s="80" t="s">
        <v>3303</v>
      </c>
    </row>
    <row r="4" spans="1:20" x14ac:dyDescent="0.35">
      <c r="A4" s="69" t="s">
        <v>3257</v>
      </c>
      <c r="B4" s="69">
        <f>SUM(B5:B8)</f>
        <v>20</v>
      </c>
      <c r="C4" s="69">
        <f>COUNTIF(June!E4:AH23,"&lt;&gt;Lock")</f>
        <v>600</v>
      </c>
      <c r="D4" s="69">
        <f>COUNTIFS(June!E4:AH23, "&lt;&gt;",June!E4:AH23, "&lt;&gt;Lock")</f>
        <v>310</v>
      </c>
      <c r="E4" s="70">
        <f>(D4/C4)</f>
        <v>0.51666666666666672</v>
      </c>
      <c r="H4" s="80" t="s">
        <v>64</v>
      </c>
      <c r="I4" s="80">
        <f t="shared" ref="I4:I6" si="0">SUM(J4:T4)</f>
        <v>119</v>
      </c>
      <c r="J4" s="80">
        <f>COUNTIF(June!$E$4:$AH$9,J$40)</f>
        <v>0</v>
      </c>
      <c r="K4" s="80">
        <f>COUNTIF(June!$E$4:$AH$9,K$40)</f>
        <v>31</v>
      </c>
      <c r="L4" s="80">
        <f>COUNTIF(June!$E$4:$AH$9,L$40)</f>
        <v>2</v>
      </c>
      <c r="M4" s="80">
        <f>COUNTIF(June!$E$4:$AH$9,M$40)</f>
        <v>79</v>
      </c>
      <c r="N4" s="80">
        <f>COUNTIF(June!$E$4:$AH$9,N$40)</f>
        <v>7</v>
      </c>
      <c r="O4" s="80">
        <f>COUNTIF(June!$E$4:$AH$9,O$40)</f>
        <v>0</v>
      </c>
      <c r="P4" s="80">
        <f>COUNTIF(June!$E$4:$AH$9,P$40)</f>
        <v>0</v>
      </c>
      <c r="Q4" s="80">
        <f>COUNTIF(June!$E$4:$AH$9,Q$40)</f>
        <v>0</v>
      </c>
      <c r="R4" s="80">
        <f>COUNTIF(June!$E$4:$AH$9,R$40)</f>
        <v>0</v>
      </c>
      <c r="S4" s="80">
        <f>COUNTIF(June!$E$4:$AH$9,S$40)</f>
        <v>0</v>
      </c>
      <c r="T4" s="80">
        <f>COUNTIF(June!$E$4:$AH$9,T$40)</f>
        <v>0</v>
      </c>
    </row>
    <row r="5" spans="1:20" x14ac:dyDescent="0.35">
      <c r="A5" s="69" t="s">
        <v>64</v>
      </c>
      <c r="B5" s="69">
        <v>6</v>
      </c>
      <c r="C5" s="69">
        <f>COUNTIF(June!E4:AH9,"&lt;&gt;Lock")</f>
        <v>180</v>
      </c>
      <c r="D5" s="69">
        <f>COUNTIFS(June!E4:AH9, "&lt;&gt;",June!E4:AH9, "&lt;&gt;Lock")</f>
        <v>119</v>
      </c>
      <c r="E5" s="70">
        <f t="shared" ref="E5:E8" si="1">(D5/C5)</f>
        <v>0.66111111111111109</v>
      </c>
      <c r="H5" s="80" t="s">
        <v>59</v>
      </c>
      <c r="I5" s="80">
        <f t="shared" si="0"/>
        <v>68</v>
      </c>
      <c r="J5" s="80">
        <f>COUNTIF(June!$E$10:$AH$13,J$40)</f>
        <v>6</v>
      </c>
      <c r="K5" s="80">
        <f>COUNTIF(June!$E$10:$AH$13,K$40)</f>
        <v>14</v>
      </c>
      <c r="L5" s="80">
        <f>COUNTIF(June!$E$10:$AH$13,L$40)</f>
        <v>0</v>
      </c>
      <c r="M5" s="80">
        <f>COUNTIF(June!$E$10:$AH$13,M$40)</f>
        <v>47</v>
      </c>
      <c r="N5" s="80">
        <f>COUNTIF(June!$E$10:$AH$13,N$40)</f>
        <v>1</v>
      </c>
      <c r="O5" s="80">
        <f>COUNTIF(June!$E$10:$AH$13,O$40)</f>
        <v>0</v>
      </c>
      <c r="P5" s="80">
        <f>COUNTIF(June!$E$10:$AH$13,P$40)</f>
        <v>0</v>
      </c>
      <c r="Q5" s="80">
        <f>COUNTIF(June!$E$10:$AH$13,Q$40)</f>
        <v>0</v>
      </c>
      <c r="R5" s="80">
        <f>COUNTIF(June!$E$10:$AH$13,R$40)</f>
        <v>0</v>
      </c>
      <c r="S5" s="80">
        <f>COUNTIF(June!$E$10:$AH$13,S$40)</f>
        <v>0</v>
      </c>
      <c r="T5" s="80">
        <f>COUNTIF(June!$E$10:$AH$13,T$40)</f>
        <v>0</v>
      </c>
    </row>
    <row r="6" spans="1:20" x14ac:dyDescent="0.35">
      <c r="A6" s="69" t="s">
        <v>59</v>
      </c>
      <c r="B6" s="69">
        <v>4</v>
      </c>
      <c r="C6" s="69">
        <f>COUNTIF(June!E10:AH13,"&lt;&gt;Lock")</f>
        <v>120</v>
      </c>
      <c r="D6" s="69">
        <f>COUNTIFS(June!E10:AH13, "&lt;&gt;",June!E10:AH13, "&lt;&gt;Lock")</f>
        <v>68</v>
      </c>
      <c r="E6" s="70">
        <f t="shared" si="1"/>
        <v>0.56666666666666665</v>
      </c>
      <c r="H6" s="80" t="s">
        <v>71</v>
      </c>
      <c r="I6" s="80">
        <f t="shared" si="0"/>
        <v>35</v>
      </c>
      <c r="J6" s="80">
        <f>COUNTIF(June!$E$14:$AH$16,J$40)</f>
        <v>2</v>
      </c>
      <c r="K6" s="80">
        <f>COUNTIF(June!$E$14:$AH$16,K$40)</f>
        <v>5</v>
      </c>
      <c r="L6" s="80">
        <f>COUNTIF(June!$E$14:$AH$16,L$40)</f>
        <v>6</v>
      </c>
      <c r="M6" s="80">
        <f>COUNTIF(June!$E$14:$AH$16,M$40)</f>
        <v>19</v>
      </c>
      <c r="N6" s="80">
        <f>COUNTIF(June!$E$14:$AH$16,N$40)</f>
        <v>2</v>
      </c>
      <c r="O6" s="80">
        <f>COUNTIF(June!$E$14:$AH$16,O$40)</f>
        <v>1</v>
      </c>
      <c r="P6" s="80">
        <f>COUNTIF(June!$E$14:$AH$16,P$40)</f>
        <v>0</v>
      </c>
      <c r="Q6" s="80">
        <f>COUNTIF(June!$E$14:$AH$16,Q$40)</f>
        <v>0</v>
      </c>
      <c r="R6" s="80">
        <f>COUNTIF(June!$E$14:$AH$16,R$40)</f>
        <v>0</v>
      </c>
      <c r="S6" s="80">
        <f>COUNTIF(June!$E$14:$AH$16,S$40)</f>
        <v>0</v>
      </c>
      <c r="T6" s="80">
        <f>COUNTIF(June!$E$14:$AH$16,T$40)</f>
        <v>0</v>
      </c>
    </row>
    <row r="7" spans="1:20" x14ac:dyDescent="0.35">
      <c r="A7" s="69" t="s">
        <v>71</v>
      </c>
      <c r="B7" s="69">
        <v>3</v>
      </c>
      <c r="C7" s="69">
        <f>COUNTIF(June!E14:AH16,"&lt;&gt;Lock")</f>
        <v>90</v>
      </c>
      <c r="D7" s="69">
        <f>COUNTIFS(June!E14:AH16, "&lt;&gt;",June!E14:AH16, "&lt;&gt;Lock")</f>
        <v>35</v>
      </c>
      <c r="E7" s="70">
        <f t="shared" si="1"/>
        <v>0.3888888888888889</v>
      </c>
      <c r="H7" s="80" t="s">
        <v>3286</v>
      </c>
      <c r="I7" s="80">
        <f>SUM(J7:T7)</f>
        <v>88</v>
      </c>
      <c r="J7" s="80">
        <f>COUNTIF(June!$E$17:$AH$23,J$40)</f>
        <v>0</v>
      </c>
      <c r="K7" s="80">
        <f>COUNTIF(June!$E$17:$AH$23,K$40)</f>
        <v>0</v>
      </c>
      <c r="L7" s="80">
        <f>COUNTIF(June!$E$17:$AH$23,L$40)</f>
        <v>19</v>
      </c>
      <c r="M7" s="80">
        <f>COUNTIF(June!$E$17:$AH$23,M$40)</f>
        <v>55</v>
      </c>
      <c r="N7" s="80">
        <f>COUNTIF(June!$E$17:$AH$23,N$40)</f>
        <v>14</v>
      </c>
      <c r="O7" s="80">
        <f>COUNTIF(June!$E$17:$AH$23,O$40)</f>
        <v>0</v>
      </c>
      <c r="P7" s="80">
        <f>COUNTIF(June!$E$17:$AH$23,P$40)</f>
        <v>0</v>
      </c>
      <c r="Q7" s="80">
        <f>COUNTIF(June!$E$17:$AH$23,Q$40)</f>
        <v>0</v>
      </c>
      <c r="R7" s="80">
        <f>COUNTIF(June!$E$17:$AH$23,R$40)</f>
        <v>0</v>
      </c>
      <c r="S7" s="80">
        <f>COUNTIF(June!$E$17:$AH$23,S$40)</f>
        <v>0</v>
      </c>
      <c r="T7" s="80">
        <f>COUNTIF(June!$E$17:$AH$23,T$40)</f>
        <v>0</v>
      </c>
    </row>
    <row r="8" spans="1:20" x14ac:dyDescent="0.35">
      <c r="A8" s="69" t="s">
        <v>29</v>
      </c>
      <c r="B8" s="69">
        <v>7</v>
      </c>
      <c r="C8" s="69">
        <f>COUNTIF(June!E17:AH23,"&lt;&gt;Lock")</f>
        <v>210</v>
      </c>
      <c r="D8" s="69">
        <f>COUNTIFS(June!E17:AH23, "&lt;&gt;",June!E17:AH23, "&lt;&gt;Lock")</f>
        <v>88</v>
      </c>
      <c r="E8" s="70">
        <f t="shared" si="1"/>
        <v>0.41904761904761906</v>
      </c>
    </row>
    <row r="9" spans="1:20" x14ac:dyDescent="0.35">
      <c r="H9" s="117">
        <v>45474</v>
      </c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6"/>
    </row>
    <row r="10" spans="1:20" x14ac:dyDescent="0.35">
      <c r="A10" s="123" t="s">
        <v>3318</v>
      </c>
      <c r="B10" s="123"/>
      <c r="C10" s="123"/>
      <c r="D10" s="123"/>
      <c r="E10" s="123"/>
      <c r="H10" s="80" t="s">
        <v>3281</v>
      </c>
      <c r="I10" s="80" t="s">
        <v>3293</v>
      </c>
      <c r="J10" s="80" t="s">
        <v>3292</v>
      </c>
      <c r="K10" s="80" t="s">
        <v>3294</v>
      </c>
      <c r="L10" s="80" t="s">
        <v>3295</v>
      </c>
      <c r="M10" s="80" t="s">
        <v>3296</v>
      </c>
      <c r="N10" s="80" t="s">
        <v>3297</v>
      </c>
      <c r="O10" s="80" t="s">
        <v>3298</v>
      </c>
      <c r="P10" s="80" t="s">
        <v>3299</v>
      </c>
      <c r="Q10" s="80" t="s">
        <v>3300</v>
      </c>
      <c r="R10" s="80" t="s">
        <v>3301</v>
      </c>
      <c r="S10" s="80" t="s">
        <v>3302</v>
      </c>
      <c r="T10" s="80" t="s">
        <v>3303</v>
      </c>
    </row>
    <row r="11" spans="1:20" x14ac:dyDescent="0.35">
      <c r="A11" s="71" t="s">
        <v>3252</v>
      </c>
      <c r="B11" s="71" t="s">
        <v>3253</v>
      </c>
      <c r="C11" s="71" t="s">
        <v>3254</v>
      </c>
      <c r="D11" s="71" t="s">
        <v>3255</v>
      </c>
      <c r="E11" s="71" t="s">
        <v>3256</v>
      </c>
      <c r="H11" s="80" t="s">
        <v>64</v>
      </c>
      <c r="I11" s="80">
        <f t="shared" ref="I11:I13" si="2">SUM(J11:T11)</f>
        <v>161</v>
      </c>
      <c r="J11" s="80">
        <f>COUNTIF(July!$E$4:$AI$9,J$40)</f>
        <v>3</v>
      </c>
      <c r="K11" s="80">
        <f>COUNTIF(July!$E$4:$AI$9,K$40)</f>
        <v>42</v>
      </c>
      <c r="L11" s="80">
        <f>COUNTIF(July!$E$4:$AI$9,L$40)</f>
        <v>4</v>
      </c>
      <c r="M11" s="80">
        <f>COUNTIF(July!$E$4:$AI$9,M$40)</f>
        <v>108</v>
      </c>
      <c r="N11" s="80">
        <f>COUNTIF(July!$E$4:$AI$9,N$40)</f>
        <v>2</v>
      </c>
      <c r="O11" s="80">
        <f>COUNTIF(July!$E$4:$AI$9,O$40)</f>
        <v>0</v>
      </c>
      <c r="P11" s="80">
        <f>COUNTIF(July!$E$4:$AI$9,P$40)</f>
        <v>0</v>
      </c>
      <c r="Q11" s="80">
        <f>COUNTIF(July!$E$4:$AI$9,Q$40)</f>
        <v>0</v>
      </c>
      <c r="R11" s="80">
        <f>COUNTIF(July!$E$4:$AI$9,R$40)</f>
        <v>0</v>
      </c>
      <c r="S11" s="80">
        <f>COUNTIF(July!$E$4:$AI$9,S$40)</f>
        <v>2</v>
      </c>
      <c r="T11" s="80">
        <f>COUNTIF(July!$E$4:$AI$9,T$40)</f>
        <v>0</v>
      </c>
    </row>
    <row r="12" spans="1:20" x14ac:dyDescent="0.35">
      <c r="A12" s="71" t="s">
        <v>3257</v>
      </c>
      <c r="B12" s="71">
        <f>SUM(B13:B16)</f>
        <v>20</v>
      </c>
      <c r="C12" s="71">
        <f>COUNTIF(July!E4:AI23,"&lt;&gt;Lock")</f>
        <v>620</v>
      </c>
      <c r="D12" s="71">
        <f>COUNTIFS(July!E4:AI23, "&lt;&gt;",July!E4:AI23, "&lt;&gt;Lock")</f>
        <v>440</v>
      </c>
      <c r="E12" s="72">
        <f>(D12/C12)</f>
        <v>0.70967741935483875</v>
      </c>
      <c r="H12" s="80" t="s">
        <v>59</v>
      </c>
      <c r="I12" s="80">
        <f t="shared" si="2"/>
        <v>89</v>
      </c>
      <c r="J12" s="80">
        <f>COUNTIF(July!$E$10:$AI$13,J$40)</f>
        <v>6</v>
      </c>
      <c r="K12" s="80">
        <f>COUNTIF(July!$E$10:$AI$13,K$40)</f>
        <v>5</v>
      </c>
      <c r="L12" s="80">
        <f>COUNTIF(July!$E$10:$AI$13,L$40)</f>
        <v>9</v>
      </c>
      <c r="M12" s="80">
        <f>COUNTIF(July!$E$10:$AI$13,M$40)</f>
        <v>66</v>
      </c>
      <c r="N12" s="80">
        <f>COUNTIF(July!$E$10:$AI$13,N$40)</f>
        <v>0</v>
      </c>
      <c r="O12" s="80">
        <f>COUNTIF(July!$E$10:$AI$13,O$40)</f>
        <v>0</v>
      </c>
      <c r="P12" s="80">
        <f>COUNTIF(July!$E$10:$AI$13,P$40)</f>
        <v>0</v>
      </c>
      <c r="Q12" s="80">
        <f>COUNTIF(July!$E$10:$AI$13,Q$40)</f>
        <v>3</v>
      </c>
      <c r="R12" s="80">
        <f>COUNTIF(July!$E$10:$AI$13,R$40)</f>
        <v>0</v>
      </c>
      <c r="S12" s="80">
        <f>COUNTIF(July!$E$10:$AI$13,S$40)</f>
        <v>0</v>
      </c>
      <c r="T12" s="80">
        <f>COUNTIF(July!$E$10:$AI$13,T$40)</f>
        <v>0</v>
      </c>
    </row>
    <row r="13" spans="1:20" x14ac:dyDescent="0.35">
      <c r="A13" s="71" t="s">
        <v>64</v>
      </c>
      <c r="B13" s="71">
        <v>6</v>
      </c>
      <c r="C13" s="71">
        <f>COUNTIF(July!E4:AI9,"&lt;&gt;Lock")</f>
        <v>186</v>
      </c>
      <c r="D13" s="71">
        <f>COUNTIFS(July!E4:AI9, "&lt;&gt;",July!E4:AI9, "&lt;&gt;Lock")</f>
        <v>161</v>
      </c>
      <c r="E13" s="72">
        <f t="shared" ref="E13:E16" si="3">(D13/C13)</f>
        <v>0.86559139784946237</v>
      </c>
      <c r="H13" s="80" t="s">
        <v>71</v>
      </c>
      <c r="I13" s="80">
        <f t="shared" si="2"/>
        <v>53</v>
      </c>
      <c r="J13" s="80">
        <f>COUNTIF(July!$E$14:$AI$16,J$40)</f>
        <v>3</v>
      </c>
      <c r="K13" s="80">
        <f>COUNTIF(July!$E$14:$AI$16,K$40)</f>
        <v>3</v>
      </c>
      <c r="L13" s="80">
        <f>COUNTIF(July!$E$14:$AI$16,L$40)</f>
        <v>3</v>
      </c>
      <c r="M13" s="80">
        <f>COUNTIF(July!$E$14:$AI$16,M$40)</f>
        <v>37</v>
      </c>
      <c r="N13" s="80">
        <f>COUNTIF(July!$E$14:$AI$16,N$40)</f>
        <v>7</v>
      </c>
      <c r="O13" s="80">
        <f>COUNTIF(July!$E$14:$AI$16,O$40)</f>
        <v>0</v>
      </c>
      <c r="P13" s="80">
        <f>COUNTIF(July!$E$14:$AI$16,P$40)</f>
        <v>0</v>
      </c>
      <c r="Q13" s="80">
        <f>COUNTIF(July!$E$14:$AI$16,Q$40)</f>
        <v>0</v>
      </c>
      <c r="R13" s="80">
        <f>COUNTIF(July!$E$14:$AI$16,R$40)</f>
        <v>0</v>
      </c>
      <c r="S13" s="80">
        <f>COUNTIF(July!$E$14:$AI$16,S$40)</f>
        <v>0</v>
      </c>
      <c r="T13" s="80">
        <f>COUNTIF(July!$E$14:$AI$16,T$40)</f>
        <v>0</v>
      </c>
    </row>
    <row r="14" spans="1:20" x14ac:dyDescent="0.35">
      <c r="A14" s="71" t="s">
        <v>59</v>
      </c>
      <c r="B14" s="71">
        <v>4</v>
      </c>
      <c r="C14" s="71">
        <f>COUNTIF(July!E10:AI13,"&lt;&gt;Lock")</f>
        <v>124</v>
      </c>
      <c r="D14" s="71">
        <f>COUNTIFS(July!E10:AI13, "&lt;&gt;",July!E10:AI13, "&lt;&gt;Lock")</f>
        <v>89</v>
      </c>
      <c r="E14" s="72">
        <f t="shared" si="3"/>
        <v>0.717741935483871</v>
      </c>
      <c r="H14" s="80" t="s">
        <v>3286</v>
      </c>
      <c r="I14" s="80">
        <f>SUM(J14:T14)</f>
        <v>137</v>
      </c>
      <c r="J14" s="80">
        <f>COUNTIF(July!$E$17:$AI$23,J$40)</f>
        <v>1</v>
      </c>
      <c r="K14" s="80">
        <f>COUNTIF(July!$E$17:$AI$23,K$40)</f>
        <v>12</v>
      </c>
      <c r="L14" s="80">
        <f>COUNTIF(July!$E$17:$AI$23,L$40)</f>
        <v>5</v>
      </c>
      <c r="M14" s="80">
        <f>COUNTIF(July!$E$17:$AI$23,M$40)</f>
        <v>118</v>
      </c>
      <c r="N14" s="80">
        <f>COUNTIF(July!$E$17:$AI$23,N$40)</f>
        <v>1</v>
      </c>
      <c r="O14" s="80">
        <f>COUNTIF(July!$E$17:$AI$23,O$40)</f>
        <v>0</v>
      </c>
      <c r="P14" s="80">
        <f>COUNTIF(July!$E$17:$AI$23,P$40)</f>
        <v>0</v>
      </c>
      <c r="Q14" s="80">
        <f>COUNTIF(July!$E$17:$AI$23,Q$40)</f>
        <v>0</v>
      </c>
      <c r="R14" s="80">
        <f>COUNTIF(July!$E$17:$AI$23,R$40)</f>
        <v>0</v>
      </c>
      <c r="S14" s="80">
        <f>COUNTIF(July!$E$17:$AI$23,S$40)</f>
        <v>0</v>
      </c>
      <c r="T14" s="80">
        <f>COUNTIF(July!$E$17:$AI$23,T$40)</f>
        <v>0</v>
      </c>
    </row>
    <row r="15" spans="1:20" x14ac:dyDescent="0.35">
      <c r="A15" s="71" t="s">
        <v>71</v>
      </c>
      <c r="B15" s="71">
        <v>3</v>
      </c>
      <c r="C15" s="71">
        <f>COUNTIF(July!E14:AI16,"&lt;&gt;Lock")</f>
        <v>93</v>
      </c>
      <c r="D15" s="71">
        <f>COUNTIFS(July!E14:AI16, "&lt;&gt;",July!E14:AI16, "&lt;&gt;Lock")</f>
        <v>53</v>
      </c>
      <c r="E15" s="72">
        <f t="shared" si="3"/>
        <v>0.56989247311827962</v>
      </c>
    </row>
    <row r="16" spans="1:20" x14ac:dyDescent="0.35">
      <c r="A16" s="71" t="s">
        <v>29</v>
      </c>
      <c r="B16" s="71">
        <v>7</v>
      </c>
      <c r="C16" s="71">
        <f>COUNTIF(July!E17:AI23,"&lt;&gt;Lock")</f>
        <v>217</v>
      </c>
      <c r="D16" s="71">
        <f>COUNTIFS(July!E17:AI23, "&lt;&gt;",July!E17:AI23, "&lt;&gt;Lock")</f>
        <v>137</v>
      </c>
      <c r="E16" s="72">
        <f t="shared" si="3"/>
        <v>0.63133640552995396</v>
      </c>
    </row>
    <row r="17" spans="1:20" x14ac:dyDescent="0.35">
      <c r="H17" s="118">
        <v>45505</v>
      </c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6"/>
    </row>
    <row r="18" spans="1:20" x14ac:dyDescent="0.35">
      <c r="A18" s="124" t="s">
        <v>3314</v>
      </c>
      <c r="B18" s="124"/>
      <c r="C18" s="124"/>
      <c r="D18" s="124"/>
      <c r="E18" s="124"/>
      <c r="H18" s="80" t="s">
        <v>3281</v>
      </c>
      <c r="I18" s="80" t="s">
        <v>3293</v>
      </c>
      <c r="J18" s="80" t="s">
        <v>3292</v>
      </c>
      <c r="K18" s="80" t="s">
        <v>3294</v>
      </c>
      <c r="L18" s="80" t="s">
        <v>3295</v>
      </c>
      <c r="M18" s="80" t="s">
        <v>3296</v>
      </c>
      <c r="N18" s="80" t="s">
        <v>3297</v>
      </c>
      <c r="O18" s="80" t="s">
        <v>3298</v>
      </c>
      <c r="P18" s="80" t="s">
        <v>3299</v>
      </c>
      <c r="Q18" s="80" t="s">
        <v>3300</v>
      </c>
      <c r="R18" s="80" t="s">
        <v>3301</v>
      </c>
      <c r="S18" s="80" t="s">
        <v>3302</v>
      </c>
      <c r="T18" s="80" t="s">
        <v>3303</v>
      </c>
    </row>
    <row r="19" spans="1:20" x14ac:dyDescent="0.35">
      <c r="A19" s="73" t="s">
        <v>3252</v>
      </c>
      <c r="B19" s="73" t="s">
        <v>3253</v>
      </c>
      <c r="C19" s="73" t="s">
        <v>3254</v>
      </c>
      <c r="D19" s="73" t="s">
        <v>3255</v>
      </c>
      <c r="E19" s="73" t="s">
        <v>3256</v>
      </c>
      <c r="H19" s="80" t="s">
        <v>64</v>
      </c>
      <c r="I19" s="80">
        <f t="shared" ref="I19:I21" si="4">SUM(J19:T19)</f>
        <v>112</v>
      </c>
      <c r="J19" s="80">
        <f>COUNTIF(August!$E$4:$AI$9,J$40)</f>
        <v>7</v>
      </c>
      <c r="K19" s="80">
        <f>COUNTIF(August!$E$4:$AI$9,K$40)</f>
        <v>14</v>
      </c>
      <c r="L19" s="80">
        <f>COUNTIF(August!$E$4:$AI$9,L$40)</f>
        <v>3</v>
      </c>
      <c r="M19" s="80">
        <f>COUNTIF(August!$E$4:$AI$9,M$40)</f>
        <v>88</v>
      </c>
      <c r="N19" s="80">
        <f>COUNTIF(August!$E$4:$AI$9,N$40)</f>
        <v>0</v>
      </c>
      <c r="O19" s="80">
        <f>COUNTIF(August!$E$4:$AI$9,O$40)</f>
        <v>0</v>
      </c>
      <c r="P19" s="80">
        <f>COUNTIF(August!$E$4:$AI$9,P$40)</f>
        <v>0</v>
      </c>
      <c r="Q19" s="80">
        <f>COUNTIF(August!$E$4:$AI$9,Q$40)</f>
        <v>0</v>
      </c>
      <c r="R19" s="80">
        <f>COUNTIF(August!$E$4:$AI$9,R$40)</f>
        <v>0</v>
      </c>
      <c r="S19" s="80">
        <f>COUNTIF(August!$E$4:$AI$9,S$40)</f>
        <v>0</v>
      </c>
      <c r="T19" s="80">
        <f>COUNTIF(August!$E$4:$AI$9,T$40)</f>
        <v>0</v>
      </c>
    </row>
    <row r="20" spans="1:20" x14ac:dyDescent="0.35">
      <c r="A20" s="73" t="s">
        <v>3257</v>
      </c>
      <c r="B20" s="73">
        <f>SUM(B21:B24)</f>
        <v>20</v>
      </c>
      <c r="C20" s="73">
        <f>COUNTIF(August!E4:AI23,"&lt;&gt;Lock")</f>
        <v>608</v>
      </c>
      <c r="D20" s="73">
        <f>COUNTIFS(August!E4:AI23, "&lt;&gt;",August!E4:AI23, "&lt;&gt;Lock")</f>
        <v>284</v>
      </c>
      <c r="E20" s="74">
        <f>(D20/C20)</f>
        <v>0.46710526315789475</v>
      </c>
      <c r="H20" s="80" t="s">
        <v>59</v>
      </c>
      <c r="I20" s="80">
        <f t="shared" si="4"/>
        <v>54</v>
      </c>
      <c r="J20" s="80">
        <f>COUNTIF(August!$E$10:$AI$13,J$40)</f>
        <v>1</v>
      </c>
      <c r="K20" s="80">
        <f>COUNTIF(August!$E$10:$AI$13,K$40)</f>
        <v>2</v>
      </c>
      <c r="L20" s="80">
        <f>COUNTIF(August!$E$10:$AI$13,L$40)</f>
        <v>7</v>
      </c>
      <c r="M20" s="80">
        <f>COUNTIF(August!$E$10:$AI$13,M$40)</f>
        <v>44</v>
      </c>
      <c r="N20" s="80">
        <f>COUNTIF(August!$E$10:$AI$13,N$40)</f>
        <v>0</v>
      </c>
      <c r="O20" s="80">
        <f>COUNTIF(August!$E$10:$AI$13,O$40)</f>
        <v>0</v>
      </c>
      <c r="P20" s="80">
        <f>COUNTIF(August!$E$10:$AI$13,P$40)</f>
        <v>0</v>
      </c>
      <c r="Q20" s="80">
        <f>COUNTIF(August!$E$10:$AI$13,Q$40)</f>
        <v>0</v>
      </c>
      <c r="R20" s="80">
        <f>COUNTIF(August!$E$10:$AI$13,R$40)</f>
        <v>0</v>
      </c>
      <c r="S20" s="80">
        <f>COUNTIF(August!$E$10:$AI$13,S$40)</f>
        <v>0</v>
      </c>
      <c r="T20" s="80">
        <f>COUNTIF(August!$E$10:$AI$13,T$40)</f>
        <v>0</v>
      </c>
    </row>
    <row r="21" spans="1:20" x14ac:dyDescent="0.35">
      <c r="A21" s="73" t="s">
        <v>64</v>
      </c>
      <c r="B21" s="73">
        <v>6</v>
      </c>
      <c r="C21" s="73">
        <f>COUNTIF(August!E4:AI9,"&lt;&gt;Lock")</f>
        <v>186</v>
      </c>
      <c r="D21" s="73">
        <f>COUNTIFS(August!E4:AI9, "&lt;&gt;",August!E4:AI9, "&lt;&gt;Lock")</f>
        <v>112</v>
      </c>
      <c r="E21" s="74">
        <f t="shared" ref="E21:E24" si="5">(D21/C21)</f>
        <v>0.60215053763440862</v>
      </c>
      <c r="H21" s="80" t="s">
        <v>71</v>
      </c>
      <c r="I21" s="80">
        <f t="shared" si="4"/>
        <v>44</v>
      </c>
      <c r="J21" s="80">
        <f>COUNTIF(August!$E$14:$AI$16,J$40)</f>
        <v>0</v>
      </c>
      <c r="K21" s="80">
        <f>COUNTIF(August!$E$14:$AI$16,K$40)</f>
        <v>4</v>
      </c>
      <c r="L21" s="80">
        <f>COUNTIF(August!$E$14:$AI$16,L$40)</f>
        <v>0</v>
      </c>
      <c r="M21" s="80">
        <f>COUNTIF(August!$E$14:$AI$16,M$40)</f>
        <v>35</v>
      </c>
      <c r="N21" s="80">
        <f>COUNTIF(August!$E$14:$AI$16,N$40)</f>
        <v>0</v>
      </c>
      <c r="O21" s="80">
        <f>COUNTIF(August!$E$14:$AI$16,O$40)</f>
        <v>0</v>
      </c>
      <c r="P21" s="80">
        <f>COUNTIF(August!$E$14:$AI$16,P$40)</f>
        <v>0</v>
      </c>
      <c r="Q21" s="80">
        <f>COUNTIF(August!$E$14:$AI$16,Q$40)</f>
        <v>2</v>
      </c>
      <c r="R21" s="80">
        <f>COUNTIF(August!$E$14:$AI$16,R$40)</f>
        <v>0</v>
      </c>
      <c r="S21" s="80">
        <f>COUNTIF(August!$E$14:$AI$16,S$40)</f>
        <v>0</v>
      </c>
      <c r="T21" s="80">
        <f>COUNTIF(August!$E$14:$AI$16,T$40)</f>
        <v>3</v>
      </c>
    </row>
    <row r="22" spans="1:20" x14ac:dyDescent="0.35">
      <c r="A22" s="73" t="s">
        <v>59</v>
      </c>
      <c r="B22" s="73">
        <v>4</v>
      </c>
      <c r="C22" s="73">
        <f>COUNTIF(August!E10:AI13,"&lt;&gt;Lock")</f>
        <v>124</v>
      </c>
      <c r="D22" s="73">
        <f>COUNTIFS(August!E10:AI13, "&lt;&gt;",August!E10:AI13, "&lt;&gt;Lock")</f>
        <v>54</v>
      </c>
      <c r="E22" s="74">
        <f t="shared" si="5"/>
        <v>0.43548387096774194</v>
      </c>
      <c r="H22" s="80" t="s">
        <v>3286</v>
      </c>
      <c r="I22" s="80">
        <f>SUM(J22:T22)</f>
        <v>74</v>
      </c>
      <c r="J22" s="80">
        <f>COUNTIF(August!$E$17:$AI$23,J$40)</f>
        <v>3</v>
      </c>
      <c r="K22" s="80">
        <f>COUNTIF(August!$E$17:$AI$23,K$40)</f>
        <v>4</v>
      </c>
      <c r="L22" s="80">
        <f>COUNTIF(August!$E$17:$AI$23,L$40)</f>
        <v>5</v>
      </c>
      <c r="M22" s="80">
        <f>COUNTIF(August!$E$17:$AI$23,M$40)</f>
        <v>52</v>
      </c>
      <c r="N22" s="80">
        <f>COUNTIF(August!$E$17:$AI$23,N$40)</f>
        <v>0</v>
      </c>
      <c r="O22" s="80">
        <f>COUNTIF(August!$E$17:$AI$23,O$40)</f>
        <v>0</v>
      </c>
      <c r="P22" s="80">
        <f>COUNTIF(August!$E$17:$AI$23,P$40)</f>
        <v>0</v>
      </c>
      <c r="Q22" s="80">
        <f>COUNTIF(August!$E$17:$AI$23,Q$40)</f>
        <v>10</v>
      </c>
      <c r="R22" s="80">
        <f>COUNTIF(August!$E$17:$AI$23,R$40)</f>
        <v>0</v>
      </c>
      <c r="S22" s="80">
        <f>COUNTIF(August!$E$17:$AI$23,S$40)</f>
        <v>0</v>
      </c>
      <c r="T22" s="80">
        <f>COUNTIF(August!$E$17:$AI$23,T$40)</f>
        <v>0</v>
      </c>
    </row>
    <row r="23" spans="1:20" x14ac:dyDescent="0.35">
      <c r="A23" s="73" t="s">
        <v>71</v>
      </c>
      <c r="B23" s="73">
        <v>3</v>
      </c>
      <c r="C23" s="73">
        <f>COUNTIF(August!E14:AI16,"&lt;&gt;Lock")</f>
        <v>93</v>
      </c>
      <c r="D23" s="73">
        <f>COUNTIFS(August!E14:AI16, "&lt;&gt;",August!E14:AI16, "&lt;&gt;Lock")</f>
        <v>44</v>
      </c>
      <c r="E23" s="74">
        <f t="shared" si="5"/>
        <v>0.4731182795698925</v>
      </c>
    </row>
    <row r="24" spans="1:20" x14ac:dyDescent="0.35">
      <c r="A24" s="73" t="s">
        <v>29</v>
      </c>
      <c r="B24" s="73">
        <v>7</v>
      </c>
      <c r="C24" s="73">
        <f>COUNTIF(August!E17:AI23,"&lt;&gt;Lock")</f>
        <v>205</v>
      </c>
      <c r="D24" s="73">
        <f>COUNTIFS(August!E17:AI23, "&lt;&gt;",August!E17:AI23, "&lt;&gt;Lock")</f>
        <v>74</v>
      </c>
      <c r="E24" s="74">
        <f t="shared" si="5"/>
        <v>0.36097560975609755</v>
      </c>
    </row>
    <row r="25" spans="1:20" x14ac:dyDescent="0.35">
      <c r="H25" s="119">
        <v>45536</v>
      </c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6"/>
    </row>
    <row r="26" spans="1:20" x14ac:dyDescent="0.35">
      <c r="A26" s="125" t="s">
        <v>3324</v>
      </c>
      <c r="B26" s="125"/>
      <c r="C26" s="125"/>
      <c r="D26" s="125"/>
      <c r="E26" s="125"/>
      <c r="H26" s="80" t="s">
        <v>3281</v>
      </c>
      <c r="I26" s="80" t="s">
        <v>3293</v>
      </c>
      <c r="J26" s="80" t="s">
        <v>3292</v>
      </c>
      <c r="K26" s="80" t="s">
        <v>3294</v>
      </c>
      <c r="L26" s="80" t="s">
        <v>3295</v>
      </c>
      <c r="M26" s="80" t="s">
        <v>3296</v>
      </c>
      <c r="N26" s="80" t="s">
        <v>3297</v>
      </c>
      <c r="O26" s="80" t="s">
        <v>3298</v>
      </c>
      <c r="P26" s="80" t="s">
        <v>3299</v>
      </c>
      <c r="Q26" s="80" t="s">
        <v>3300</v>
      </c>
      <c r="R26" s="80" t="s">
        <v>3301</v>
      </c>
      <c r="S26" s="80" t="s">
        <v>3302</v>
      </c>
      <c r="T26" s="80" t="s">
        <v>3303</v>
      </c>
    </row>
    <row r="27" spans="1:20" x14ac:dyDescent="0.35">
      <c r="A27" s="75" t="s">
        <v>3252</v>
      </c>
      <c r="B27" s="75" t="s">
        <v>3253</v>
      </c>
      <c r="C27" s="75" t="s">
        <v>3254</v>
      </c>
      <c r="D27" s="75" t="s">
        <v>3255</v>
      </c>
      <c r="E27" s="75" t="s">
        <v>3256</v>
      </c>
      <c r="H27" s="80" t="s">
        <v>64</v>
      </c>
      <c r="I27" s="80">
        <f t="shared" ref="I27:I29" si="6">SUM(J27:T27)</f>
        <v>107</v>
      </c>
      <c r="J27" s="80">
        <f>COUNTIF(September!$E$4:$AH$9,J$40)</f>
        <v>22</v>
      </c>
      <c r="K27" s="80">
        <f>COUNTIF(September!$E$4:$AH$9,K$40)</f>
        <v>3</v>
      </c>
      <c r="L27" s="80">
        <f>COUNTIF(September!$E$4:$AH$9,L$40)</f>
        <v>1</v>
      </c>
      <c r="M27" s="80">
        <f>COUNTIF(September!$E$4:$AH$9,M$40)</f>
        <v>68</v>
      </c>
      <c r="N27" s="80">
        <f>COUNTIF(September!$E$4:$AH$9,N$40)</f>
        <v>6</v>
      </c>
      <c r="O27" s="80">
        <f>COUNTIF(September!$E$4:$AH$9,O$40)</f>
        <v>0</v>
      </c>
      <c r="P27" s="80">
        <f>COUNTIF(September!$E$4:$AH$9,P$40)</f>
        <v>0</v>
      </c>
      <c r="Q27" s="80">
        <f>COUNTIF(September!$E$4:$AH$9,Q$40)</f>
        <v>5</v>
      </c>
      <c r="R27" s="80">
        <f>COUNTIF(September!$E$4:$AH$9,R$40)</f>
        <v>0</v>
      </c>
      <c r="S27" s="80">
        <f>COUNTIF(September!$E$4:$AH$9,S$40)</f>
        <v>1</v>
      </c>
      <c r="T27" s="80">
        <f>COUNTIF(September!$E$4:$AH$9,T$40)</f>
        <v>1</v>
      </c>
    </row>
    <row r="28" spans="1:20" x14ac:dyDescent="0.35">
      <c r="A28" s="75" t="s">
        <v>3257</v>
      </c>
      <c r="B28" s="75">
        <f>SUM(B29:B32)</f>
        <v>19</v>
      </c>
      <c r="C28" s="75">
        <f>COUNTIF(September!E4:AH23,"&lt;&gt;Lock")</f>
        <v>567</v>
      </c>
      <c r="D28" s="75">
        <f>COUNTIFS(September!E4:AH23, "&lt;&gt;", September!E4:AH23, "&lt;&gt;Lock")</f>
        <v>267</v>
      </c>
      <c r="E28" s="76">
        <f>(D28/C28)</f>
        <v>0.47089947089947087</v>
      </c>
      <c r="H28" s="80" t="s">
        <v>59</v>
      </c>
      <c r="I28" s="80">
        <f t="shared" si="6"/>
        <v>50</v>
      </c>
      <c r="J28" s="80">
        <f>COUNTIF(September!$E$10:$AH$13,J$40)</f>
        <v>7</v>
      </c>
      <c r="K28" s="80">
        <f>COUNTIF(September!$E$10:$AH$13,K$40)</f>
        <v>1</v>
      </c>
      <c r="L28" s="80">
        <f>COUNTIF(September!$E$10:$AH$13,L$40)</f>
        <v>0</v>
      </c>
      <c r="M28" s="80">
        <f>COUNTIF(September!$E$10:$AH$13,M$40)</f>
        <v>37</v>
      </c>
      <c r="N28" s="80">
        <f>COUNTIF(September!$E$10:$AH$13,N$40)</f>
        <v>0</v>
      </c>
      <c r="O28" s="80">
        <f>COUNTIF(September!$E$10:$AH$13,O$40)</f>
        <v>0</v>
      </c>
      <c r="P28" s="80">
        <f>COUNTIF(September!$E$10:$AH$13,P$40)</f>
        <v>0</v>
      </c>
      <c r="Q28" s="80">
        <f>COUNTIF(September!$E$10:$AH$13,Q$40)</f>
        <v>5</v>
      </c>
      <c r="R28" s="80">
        <f>COUNTIF(September!$E$10:$AH$13,R$40)</f>
        <v>0</v>
      </c>
      <c r="S28" s="80">
        <f>COUNTIF(September!$E$10:$AH$13,S$40)</f>
        <v>0</v>
      </c>
      <c r="T28" s="80">
        <f>COUNTIF(September!$E$10:$AH$13,T$40)</f>
        <v>0</v>
      </c>
    </row>
    <row r="29" spans="1:20" x14ac:dyDescent="0.35">
      <c r="A29" s="75" t="s">
        <v>64</v>
      </c>
      <c r="B29" s="75">
        <v>6</v>
      </c>
      <c r="C29" s="75">
        <f>COUNTIF(September!E4:AH9,"&lt;&gt;Lock")</f>
        <v>180</v>
      </c>
      <c r="D29" s="75">
        <f>COUNTIFS(September!E4:AH9, "&lt;&gt;", September!E4:AH9, "&lt;&gt;Lock")</f>
        <v>107</v>
      </c>
      <c r="E29" s="76">
        <f t="shared" ref="E29:E32" si="7">(D29/C29)</f>
        <v>0.59444444444444444</v>
      </c>
      <c r="H29" s="80" t="s">
        <v>71</v>
      </c>
      <c r="I29" s="80">
        <f t="shared" si="6"/>
        <v>29</v>
      </c>
      <c r="J29" s="80">
        <f>COUNTIF(September!$E$14:$AH$16,J$40)</f>
        <v>4</v>
      </c>
      <c r="K29" s="80">
        <f>COUNTIF(September!$E$14:$AH$16,K$40)</f>
        <v>1</v>
      </c>
      <c r="L29" s="80">
        <f>COUNTIF(September!$E$14:$AH$16,L$40)</f>
        <v>1</v>
      </c>
      <c r="M29" s="80">
        <f>COUNTIF(September!$E$14:$AH$16,M$40)</f>
        <v>19</v>
      </c>
      <c r="N29" s="80">
        <f>COUNTIF(September!$E$14:$AH$16,N$40)</f>
        <v>0</v>
      </c>
      <c r="O29" s="80">
        <f>COUNTIF(September!$E$14:$AH$16,O$40)</f>
        <v>0</v>
      </c>
      <c r="P29" s="80">
        <f>COUNTIF(September!$E$14:$AH$16,P$40)</f>
        <v>0</v>
      </c>
      <c r="Q29" s="80">
        <f>COUNTIF(September!$E$14:$AH$16,Q$40)</f>
        <v>4</v>
      </c>
      <c r="R29" s="80">
        <f>COUNTIF(September!$E$14:$AH$16,R$40)</f>
        <v>0</v>
      </c>
      <c r="S29" s="80">
        <f>COUNTIF(September!$E$14:$AH$16,S$40)</f>
        <v>0</v>
      </c>
      <c r="T29" s="80">
        <f>COUNTIF(September!$E$14:$AH$16,T$40)</f>
        <v>0</v>
      </c>
    </row>
    <row r="30" spans="1:20" x14ac:dyDescent="0.35">
      <c r="A30" s="75" t="s">
        <v>59</v>
      </c>
      <c r="B30" s="75">
        <v>4</v>
      </c>
      <c r="C30" s="75">
        <f>COUNTIF(September!E10:AH13,"&lt;&gt;Lock")</f>
        <v>120</v>
      </c>
      <c r="D30" s="75">
        <f>COUNTIFS(September!E10:AH13, "&lt;&gt;",September!E10:AH13, "&lt;&gt;Lock")</f>
        <v>50</v>
      </c>
      <c r="E30" s="76">
        <f t="shared" si="7"/>
        <v>0.41666666666666669</v>
      </c>
      <c r="H30" s="80" t="s">
        <v>3286</v>
      </c>
      <c r="I30" s="80">
        <f>SUM(J30:T30)</f>
        <v>81</v>
      </c>
      <c r="J30" s="80">
        <f>COUNTIF(September!$E$17:$AH$23,J$40)</f>
        <v>9</v>
      </c>
      <c r="K30" s="80">
        <f>COUNTIF(September!$E$17:$AH$23,K$40)</f>
        <v>0</v>
      </c>
      <c r="L30" s="80">
        <f>COUNTIF(September!$E$17:$AH$23,L$40)</f>
        <v>13</v>
      </c>
      <c r="M30" s="80">
        <f>COUNTIF(September!$E$17:$AH$23,M$40)</f>
        <v>53</v>
      </c>
      <c r="N30" s="80">
        <f>COUNTIF(September!$E$17:$AH$23,N$40)</f>
        <v>0</v>
      </c>
      <c r="O30" s="80">
        <f>COUNTIF(September!$E$17:$AH$23,O$40)</f>
        <v>0</v>
      </c>
      <c r="P30" s="80">
        <f>COUNTIF(September!$E$17:$AH$23,P$40)</f>
        <v>0</v>
      </c>
      <c r="Q30" s="80">
        <f>COUNTIF(September!$E$17:$AH$23,Q$40)</f>
        <v>6</v>
      </c>
      <c r="R30" s="80">
        <f>COUNTIF(September!$E$17:$AH$23,R$40)</f>
        <v>0</v>
      </c>
      <c r="S30" s="80">
        <f>COUNTIF(September!$E$17:$AH$23,S$40)</f>
        <v>0</v>
      </c>
      <c r="T30" s="80">
        <f>COUNTIF(September!$E$17:$AH$23,T$40)</f>
        <v>0</v>
      </c>
    </row>
    <row r="31" spans="1:20" x14ac:dyDescent="0.35">
      <c r="A31" s="75" t="s">
        <v>71</v>
      </c>
      <c r="B31" s="75">
        <v>3</v>
      </c>
      <c r="C31" s="75">
        <f>COUNTIF(September!E14:AH16,"&lt;&gt;Lock")</f>
        <v>87</v>
      </c>
      <c r="D31" s="75">
        <f>COUNTIFS(September!E14:AH16, "&lt;&gt;",September!E14:AH16, "&lt;&gt;Lock")</f>
        <v>29</v>
      </c>
      <c r="E31" s="76">
        <f t="shared" si="7"/>
        <v>0.33333333333333331</v>
      </c>
    </row>
    <row r="32" spans="1:20" x14ac:dyDescent="0.35">
      <c r="A32" s="75" t="s">
        <v>29</v>
      </c>
      <c r="B32" s="75">
        <v>6</v>
      </c>
      <c r="C32" s="75">
        <f>COUNTIF(September!E17:AH23,"&lt;&gt;Lock")</f>
        <v>180</v>
      </c>
      <c r="D32" s="75">
        <f>COUNTIFS(September!E17:AH23, "&lt;&gt;",September!E17:AH23, "&lt;&gt;Lock")</f>
        <v>81</v>
      </c>
      <c r="E32" s="76">
        <f t="shared" si="7"/>
        <v>0.45</v>
      </c>
    </row>
    <row r="33" spans="1:20" x14ac:dyDescent="0.35">
      <c r="H33" s="120">
        <v>45566</v>
      </c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6"/>
    </row>
    <row r="34" spans="1:20" x14ac:dyDescent="0.35">
      <c r="A34" s="112" t="s">
        <v>3325</v>
      </c>
      <c r="B34" s="112"/>
      <c r="C34" s="112"/>
      <c r="D34" s="112"/>
      <c r="E34" s="112"/>
      <c r="H34" s="80" t="s">
        <v>3281</v>
      </c>
      <c r="I34" s="80" t="s">
        <v>3293</v>
      </c>
      <c r="J34" s="80" t="s">
        <v>3292</v>
      </c>
      <c r="K34" s="80" t="s">
        <v>3294</v>
      </c>
      <c r="L34" s="80" t="s">
        <v>3295</v>
      </c>
      <c r="M34" s="80" t="s">
        <v>3296</v>
      </c>
      <c r="N34" s="80" t="s">
        <v>3297</v>
      </c>
      <c r="O34" s="80" t="s">
        <v>3298</v>
      </c>
      <c r="P34" s="80" t="s">
        <v>3299</v>
      </c>
      <c r="Q34" s="80" t="s">
        <v>3300</v>
      </c>
      <c r="R34" s="80" t="s">
        <v>3301</v>
      </c>
      <c r="S34" s="80" t="s">
        <v>3302</v>
      </c>
      <c r="T34" s="80" t="s">
        <v>3303</v>
      </c>
    </row>
    <row r="35" spans="1:20" x14ac:dyDescent="0.35">
      <c r="A35" s="77" t="s">
        <v>3252</v>
      </c>
      <c r="B35" s="77" t="s">
        <v>3253</v>
      </c>
      <c r="C35" s="77" t="s">
        <v>3254</v>
      </c>
      <c r="D35" s="77" t="s">
        <v>3255</v>
      </c>
      <c r="E35" s="77" t="s">
        <v>3256</v>
      </c>
      <c r="H35" s="80" t="s">
        <v>64</v>
      </c>
      <c r="I35" s="80">
        <f t="shared" ref="I35:I36" si="8">SUM(J35:T35)</f>
        <v>49</v>
      </c>
      <c r="J35" s="80">
        <f>COUNTIF(October!$E$4:$AI$9,J$40)</f>
        <v>9</v>
      </c>
      <c r="K35" s="80">
        <f>COUNTIF(October!$E$4:$AI$9,K$40)</f>
        <v>1</v>
      </c>
      <c r="L35" s="80">
        <f>COUNTIF(October!$E$4:$AI$9,L$40)</f>
        <v>1</v>
      </c>
      <c r="M35" s="80">
        <f>COUNTIF(October!$E$4:$AI$9,M$40)</f>
        <v>29</v>
      </c>
      <c r="N35" s="80">
        <f>COUNTIF(October!$E$4:$AI$9,N$40)</f>
        <v>1</v>
      </c>
      <c r="O35" s="80">
        <f>COUNTIF(October!$E$4:$AI$9,O$40)</f>
        <v>0</v>
      </c>
      <c r="P35" s="80">
        <f>COUNTIF(October!$E$4:$AI$9,P$40)</f>
        <v>0</v>
      </c>
      <c r="Q35" s="80">
        <f>COUNTIF(October!$E$4:$AI$9,Q$40)</f>
        <v>8</v>
      </c>
      <c r="R35" s="80">
        <f>COUNTIF(October!$E$4:$AI$9,R$40)</f>
        <v>0</v>
      </c>
      <c r="S35" s="80">
        <f>COUNTIF(October!$E$4:$AI$9,S$40)</f>
        <v>0</v>
      </c>
      <c r="T35" s="80">
        <f>COUNTIF(October!$E$4:$AI$9,T$40)</f>
        <v>0</v>
      </c>
    </row>
    <row r="36" spans="1:20" x14ac:dyDescent="0.35">
      <c r="A36" s="77" t="s">
        <v>3257</v>
      </c>
      <c r="B36" s="77">
        <f>SUM(B37:B40)</f>
        <v>19</v>
      </c>
      <c r="C36" s="77">
        <f>COUNTIF(October!E4:AI23,"&lt;&gt;Lock")</f>
        <v>558</v>
      </c>
      <c r="D36" s="77">
        <f>COUNTIFS(October!E4:AI23, "&lt;&gt;",October!E4:AI23, "&lt;&gt;Lock")</f>
        <v>105</v>
      </c>
      <c r="E36" s="78">
        <f>(D36/C36)</f>
        <v>0.18817204301075269</v>
      </c>
      <c r="H36" s="80" t="s">
        <v>59</v>
      </c>
      <c r="I36" s="80">
        <f t="shared" si="8"/>
        <v>21</v>
      </c>
      <c r="J36" s="80">
        <f>COUNTIF(October!$E$10:$AI$13,J$40)</f>
        <v>9</v>
      </c>
      <c r="K36" s="80">
        <f>COUNTIF(October!$E$10:$AI$13,K$40)</f>
        <v>1</v>
      </c>
      <c r="L36" s="80">
        <f>COUNTIF(October!$E$10:$AI$13,L$40)</f>
        <v>0</v>
      </c>
      <c r="M36" s="80">
        <f>COUNTIF(October!$E$10:$AI$13,M$40)</f>
        <v>11</v>
      </c>
      <c r="N36" s="80">
        <f>COUNTIF(October!$E$10:$AI$13,N$40)</f>
        <v>0</v>
      </c>
      <c r="O36" s="80">
        <f>COUNTIF(October!$E$10:$AI$13,O$40)</f>
        <v>0</v>
      </c>
      <c r="P36" s="80">
        <f>COUNTIF(October!$E$10:$AI$13,P$40)</f>
        <v>0</v>
      </c>
      <c r="Q36" s="80">
        <f>COUNTIF(October!$E$10:$AI$13,Q$40)</f>
        <v>0</v>
      </c>
      <c r="R36" s="80">
        <f>COUNTIF(October!$E$10:$AI$13,R$40)</f>
        <v>0</v>
      </c>
      <c r="S36" s="80">
        <f>COUNTIF(October!$E$10:$AI$13,S$40)</f>
        <v>0</v>
      </c>
      <c r="T36" s="80">
        <f>COUNTIF(October!$E$10:$AI$13,T$40)</f>
        <v>0</v>
      </c>
    </row>
    <row r="37" spans="1:20" x14ac:dyDescent="0.35">
      <c r="A37" s="77" t="s">
        <v>64</v>
      </c>
      <c r="B37" s="77">
        <v>6</v>
      </c>
      <c r="C37" s="77">
        <f>COUNTIF(October!E4:AI9,"&lt;&gt;Lock")</f>
        <v>186</v>
      </c>
      <c r="D37" s="77">
        <f>COUNTIFS(October!E4:AI9, "&lt;&gt;",October!E4:AI9, "&lt;&gt;Lock")</f>
        <v>49</v>
      </c>
      <c r="E37" s="78">
        <f t="shared" ref="E37:E40" si="9">(D37/C37)</f>
        <v>0.26344086021505375</v>
      </c>
      <c r="H37" s="80" t="s">
        <v>71</v>
      </c>
      <c r="I37" s="80">
        <f>SUM(J37:T37)</f>
        <v>8</v>
      </c>
      <c r="J37" s="80">
        <f>COUNTIF(October!$E$14:$AI$16,J$40)</f>
        <v>0</v>
      </c>
      <c r="K37" s="80">
        <f>COUNTIF(October!$E$14:$AI$16,K$40)</f>
        <v>0</v>
      </c>
      <c r="L37" s="80">
        <f>COUNTIF(October!$E$14:$AI$16,L$40)</f>
        <v>3</v>
      </c>
      <c r="M37" s="80">
        <f>COUNTIF(October!$E$14:$AI$16,M$40)</f>
        <v>3</v>
      </c>
      <c r="N37" s="80">
        <f>COUNTIF(October!$E$14:$AI$16,N$40)</f>
        <v>0</v>
      </c>
      <c r="O37" s="80">
        <f>COUNTIF(October!$E$14:$AI$16,O$40)</f>
        <v>0</v>
      </c>
      <c r="P37" s="80">
        <f>COUNTIF(October!$E$14:$AI$16,P$40)</f>
        <v>0</v>
      </c>
      <c r="Q37" s="80">
        <f>COUNTIF(October!$E$14:$AI$16,Q$40)</f>
        <v>2</v>
      </c>
      <c r="R37" s="80">
        <f>COUNTIF(October!$E$14:$AI$16,R$40)</f>
        <v>0</v>
      </c>
      <c r="S37" s="80">
        <f>COUNTIF(October!$E$14:$AI$16,S$40)</f>
        <v>0</v>
      </c>
      <c r="T37" s="80">
        <f>COUNTIF(October!$E$14:$AI$16,T$40)</f>
        <v>0</v>
      </c>
    </row>
    <row r="38" spans="1:20" x14ac:dyDescent="0.35">
      <c r="A38" s="77" t="s">
        <v>59</v>
      </c>
      <c r="B38" s="77">
        <v>4</v>
      </c>
      <c r="C38" s="77">
        <f>COUNTIF(October!E10:AI13,"&lt;&gt;Lock")</f>
        <v>124</v>
      </c>
      <c r="D38" s="77">
        <f>COUNTIFS(October!E10:AI13, "&lt;&gt;",October!E10:AI13, "&lt;&gt;Lock")</f>
        <v>21</v>
      </c>
      <c r="E38" s="78">
        <f t="shared" si="9"/>
        <v>0.16935483870967741</v>
      </c>
      <c r="H38" s="80" t="s">
        <v>3286</v>
      </c>
      <c r="I38" s="80">
        <f>SUM(J38:T38)</f>
        <v>27</v>
      </c>
      <c r="J38" s="80">
        <f>COUNTIF(October!$E$17:$AI$23,J$40)</f>
        <v>9</v>
      </c>
      <c r="K38" s="80">
        <f>COUNTIF(October!$E$17:$AI$23,K$40)</f>
        <v>0</v>
      </c>
      <c r="L38" s="80">
        <f>COUNTIF(October!$E$17:$AI$23,L$40)</f>
        <v>3</v>
      </c>
      <c r="M38" s="80">
        <f>COUNTIF(October!$E$17:$AI$23,M$40)</f>
        <v>15</v>
      </c>
      <c r="N38" s="80">
        <f>COUNTIF(October!$E$17:$AI$23,N$40)</f>
        <v>0</v>
      </c>
      <c r="O38" s="80">
        <f>COUNTIF(October!$E$17:$AI$23,O$40)</f>
        <v>0</v>
      </c>
      <c r="P38" s="80">
        <f>COUNTIF(October!$E$17:$AI$23,P$40)</f>
        <v>0</v>
      </c>
      <c r="Q38" s="80">
        <f>COUNTIF(October!$E$17:$AI$23,Q$40)</f>
        <v>0</v>
      </c>
      <c r="R38" s="80">
        <f>COUNTIF(October!$E$17:$AI$23,R$40)</f>
        <v>0</v>
      </c>
      <c r="S38" s="80">
        <f>COUNTIF(October!$E$17:$AI$23,S$40)</f>
        <v>0</v>
      </c>
      <c r="T38" s="80">
        <f>COUNTIF(October!$E$17:$AI$23,T$40)</f>
        <v>0</v>
      </c>
    </row>
    <row r="39" spans="1:20" x14ac:dyDescent="0.35">
      <c r="A39" s="77" t="s">
        <v>71</v>
      </c>
      <c r="B39" s="77">
        <v>3</v>
      </c>
      <c r="C39" s="77">
        <f>COUNTIF(October!E14:AI16,"&lt;&gt;Lock")</f>
        <v>62</v>
      </c>
      <c r="D39" s="77">
        <f>COUNTIFS(October!E14:AI16, "&lt;&gt;",October!E14:AI16, "&lt;&gt;Lock")</f>
        <v>8</v>
      </c>
      <c r="E39" s="78">
        <f t="shared" si="9"/>
        <v>0.12903225806451613</v>
      </c>
    </row>
    <row r="40" spans="1:20" x14ac:dyDescent="0.35">
      <c r="A40" s="77" t="s">
        <v>29</v>
      </c>
      <c r="B40" s="77">
        <v>6</v>
      </c>
      <c r="C40" s="77">
        <f>COUNTIF(October!E17:AI23,"&lt;&gt;Lock")</f>
        <v>186</v>
      </c>
      <c r="D40" s="77">
        <f>COUNTIFS(October!E17:AI23, "&lt;&gt;",October!E17:AI23, "&lt;&gt;Lock")</f>
        <v>27</v>
      </c>
      <c r="E40" s="78">
        <f t="shared" si="9"/>
        <v>0.14516129032258066</v>
      </c>
      <c r="J40" s="80" t="s">
        <v>3272</v>
      </c>
      <c r="K40" s="80" t="s">
        <v>3273</v>
      </c>
      <c r="L40" s="80" t="s">
        <v>3275</v>
      </c>
      <c r="M40" s="80" t="s">
        <v>41</v>
      </c>
      <c r="N40" s="80" t="s">
        <v>3274</v>
      </c>
      <c r="O40" s="80" t="s">
        <v>3304</v>
      </c>
      <c r="P40" s="80" t="s">
        <v>3305</v>
      </c>
      <c r="Q40" s="80" t="s">
        <v>3271</v>
      </c>
      <c r="R40" s="80" t="s">
        <v>3306</v>
      </c>
      <c r="S40" s="80" t="s">
        <v>53</v>
      </c>
      <c r="T40" s="80" t="s">
        <v>3307</v>
      </c>
    </row>
    <row r="45" spans="1:20" x14ac:dyDescent="0.35">
      <c r="A45" s="79" t="s">
        <v>3289</v>
      </c>
      <c r="B45" s="79" t="s">
        <v>3290</v>
      </c>
      <c r="J45" s="81" t="s">
        <v>3327</v>
      </c>
      <c r="K45" s="81" t="s">
        <v>3328</v>
      </c>
    </row>
    <row r="46" spans="1:20" x14ac:dyDescent="0.35">
      <c r="A46" s="80" t="s">
        <v>3272</v>
      </c>
      <c r="B46" s="80" t="s">
        <v>3292</v>
      </c>
      <c r="J46" s="82" t="s">
        <v>3329</v>
      </c>
      <c r="K46" s="83">
        <v>0.51670000000000005</v>
      </c>
    </row>
    <row r="47" spans="1:20" x14ac:dyDescent="0.35">
      <c r="A47" s="80" t="s">
        <v>3273</v>
      </c>
      <c r="B47" s="80" t="s">
        <v>3294</v>
      </c>
      <c r="J47" s="82" t="s">
        <v>3330</v>
      </c>
      <c r="K47" s="83">
        <v>0.7097</v>
      </c>
    </row>
    <row r="48" spans="1:20" x14ac:dyDescent="0.35">
      <c r="A48" s="80" t="s">
        <v>3275</v>
      </c>
      <c r="B48" s="80" t="s">
        <v>3295</v>
      </c>
      <c r="J48" s="82" t="s">
        <v>3331</v>
      </c>
      <c r="K48" s="83">
        <v>0.46710000000000002</v>
      </c>
    </row>
    <row r="49" spans="1:25" x14ac:dyDescent="0.35">
      <c r="A49" s="80" t="s">
        <v>41</v>
      </c>
      <c r="B49" s="80" t="s">
        <v>3296</v>
      </c>
      <c r="J49" s="82" t="s">
        <v>3332</v>
      </c>
      <c r="K49" s="83">
        <v>0.47089999999999999</v>
      </c>
      <c r="N49" s="81" t="s">
        <v>3268</v>
      </c>
      <c r="O49" s="100" t="s">
        <v>3285</v>
      </c>
      <c r="P49" s="101"/>
      <c r="Q49" s="101"/>
    </row>
    <row r="50" spans="1:25" x14ac:dyDescent="0.35">
      <c r="A50" s="80" t="s">
        <v>3274</v>
      </c>
      <c r="B50" s="80" t="s">
        <v>3297</v>
      </c>
      <c r="J50" s="82" t="s">
        <v>3333</v>
      </c>
      <c r="K50" s="83">
        <v>0.18820000000000001</v>
      </c>
      <c r="N50" s="77" t="s">
        <v>64</v>
      </c>
      <c r="O50" s="103">
        <f>SUM(D5,D13,D21,D29,D37)</f>
        <v>548</v>
      </c>
      <c r="P50" s="102"/>
      <c r="Q50" s="102"/>
    </row>
    <row r="51" spans="1:25" x14ac:dyDescent="0.35">
      <c r="A51" s="80" t="s">
        <v>3304</v>
      </c>
      <c r="B51" s="80" t="s">
        <v>3298</v>
      </c>
      <c r="N51" s="77" t="s">
        <v>59</v>
      </c>
      <c r="O51" s="103">
        <f>SUM(D6,D14,D22,D30,D38)</f>
        <v>282</v>
      </c>
      <c r="P51" s="102"/>
      <c r="Q51" s="102"/>
    </row>
    <row r="52" spans="1:25" x14ac:dyDescent="0.35">
      <c r="A52" s="80" t="s">
        <v>3305</v>
      </c>
      <c r="B52" s="80" t="s">
        <v>3299</v>
      </c>
      <c r="N52" s="77" t="s">
        <v>71</v>
      </c>
      <c r="O52" s="103">
        <f>SUM(D7,D15,D23,D31,D39)</f>
        <v>169</v>
      </c>
      <c r="P52" s="102"/>
      <c r="Q52" s="102"/>
    </row>
    <row r="53" spans="1:25" x14ac:dyDescent="0.35">
      <c r="A53" s="80" t="s">
        <v>3271</v>
      </c>
      <c r="B53" s="80" t="s">
        <v>3300</v>
      </c>
      <c r="N53" s="77" t="s">
        <v>29</v>
      </c>
      <c r="O53" s="103">
        <f>SUM(D8,D16,D24,D32,D40)</f>
        <v>407</v>
      </c>
      <c r="P53" s="102"/>
      <c r="Q53" s="102"/>
    </row>
    <row r="54" spans="1:25" x14ac:dyDescent="0.35">
      <c r="A54" s="80" t="s">
        <v>3306</v>
      </c>
      <c r="B54" s="80" t="s">
        <v>3301</v>
      </c>
      <c r="N54" s="99" t="s">
        <v>3339</v>
      </c>
      <c r="O54" s="103">
        <f>SUM(O50:O53)</f>
        <v>1406</v>
      </c>
      <c r="P54" s="102"/>
      <c r="Q54" s="102"/>
    </row>
    <row r="55" spans="1:25" x14ac:dyDescent="0.35">
      <c r="A55" s="80" t="s">
        <v>53</v>
      </c>
      <c r="B55" s="80" t="s">
        <v>3302</v>
      </c>
    </row>
    <row r="56" spans="1:25" x14ac:dyDescent="0.35">
      <c r="A56" s="80" t="s">
        <v>3307</v>
      </c>
      <c r="B56" s="80" t="s">
        <v>3303</v>
      </c>
    </row>
    <row r="60" spans="1:25" ht="23.5" customHeight="1" x14ac:dyDescent="0.35"/>
    <row r="61" spans="1:25" ht="21" x14ac:dyDescent="0.35">
      <c r="J61" s="81" t="s">
        <v>3327</v>
      </c>
      <c r="K61" s="81" t="s">
        <v>3334</v>
      </c>
      <c r="L61" s="81" t="s">
        <v>3335</v>
      </c>
      <c r="N61" s="90" t="s">
        <v>3290</v>
      </c>
      <c r="O61" s="95" t="s">
        <v>3285</v>
      </c>
      <c r="P61" s="98" t="s">
        <v>3341</v>
      </c>
      <c r="Q61" s="88"/>
      <c r="R61" s="88"/>
      <c r="S61" s="88"/>
      <c r="T61" s="88"/>
      <c r="U61" s="88"/>
      <c r="V61" s="88"/>
      <c r="W61" s="88"/>
      <c r="X61" s="88"/>
      <c r="Y61" s="88"/>
    </row>
    <row r="62" spans="1:25" x14ac:dyDescent="0.35">
      <c r="J62" s="82" t="s">
        <v>3329</v>
      </c>
      <c r="K62" s="84">
        <f>SUM(M4:P7)</f>
        <v>225</v>
      </c>
      <c r="L62" s="84">
        <f>SUM(J4:L7,Q4:T7)</f>
        <v>85</v>
      </c>
      <c r="N62" s="89" t="s">
        <v>3292</v>
      </c>
      <c r="O62" s="96">
        <f>SUM(J4:J7,J11:J14,J19:J22,J27:J30,J35:J38)</f>
        <v>101</v>
      </c>
      <c r="P62" s="94">
        <f>O62/$O$68</f>
        <v>7.183499288762446E-2</v>
      </c>
    </row>
    <row r="63" spans="1:25" x14ac:dyDescent="0.35">
      <c r="J63" s="82" t="s">
        <v>3330</v>
      </c>
      <c r="K63" s="84">
        <f>SUM(M11:P14)</f>
        <v>339</v>
      </c>
      <c r="L63" s="84">
        <f>SUM(J11:L14,Q11:T14)</f>
        <v>101</v>
      </c>
      <c r="N63" s="89" t="s">
        <v>3294</v>
      </c>
      <c r="O63" s="96">
        <f>SUM(K4:K7,K11:K14,K19:K22,K27:K30,K35:K38)</f>
        <v>143</v>
      </c>
      <c r="P63" s="94">
        <f t="shared" ref="P63:P67" si="10">O63/$O$68</f>
        <v>0.10170697012802275</v>
      </c>
    </row>
    <row r="64" spans="1:25" x14ac:dyDescent="0.35">
      <c r="J64" s="82" t="s">
        <v>3331</v>
      </c>
      <c r="K64" s="84">
        <f>SUM(M19:P22)</f>
        <v>219</v>
      </c>
      <c r="L64" s="84">
        <f>SUM(J19:L22,Q19:T22)</f>
        <v>65</v>
      </c>
      <c r="N64" s="89" t="s">
        <v>3295</v>
      </c>
      <c r="O64" s="96">
        <f>SUM(L4:L7,L11:L14,L19:L22,L27:L30,L35:L38)</f>
        <v>85</v>
      </c>
      <c r="P64" s="94">
        <f t="shared" si="10"/>
        <v>6.0455192034139404E-2</v>
      </c>
    </row>
    <row r="65" spans="8:16" x14ac:dyDescent="0.35">
      <c r="J65" s="82" t="s">
        <v>3332</v>
      </c>
      <c r="K65" s="84">
        <v>183</v>
      </c>
      <c r="L65" s="84">
        <f>SUM(J27:L30,Q27:T30)</f>
        <v>84</v>
      </c>
      <c r="N65" s="91" t="s">
        <v>3296</v>
      </c>
      <c r="O65" s="97">
        <f>SUM(M4:M7,M11:M14,M19:M22,M27:M30,M35:M38)</f>
        <v>983</v>
      </c>
      <c r="P65" s="94">
        <f t="shared" si="10"/>
        <v>0.69914651493598867</v>
      </c>
    </row>
    <row r="66" spans="8:16" x14ac:dyDescent="0.35">
      <c r="J66" s="82" t="s">
        <v>3333</v>
      </c>
      <c r="K66" s="84">
        <f>SUM(M35:P38)</f>
        <v>59</v>
      </c>
      <c r="L66" s="84">
        <f>SUM(J35:L38,Q35:T38)</f>
        <v>46</v>
      </c>
      <c r="N66" s="92" t="s">
        <v>3297</v>
      </c>
      <c r="O66" s="96">
        <f>SUM(N4:N7,N11:N14,N19:N22,N27:N30,N35:N38)</f>
        <v>41</v>
      </c>
      <c r="P66" s="94">
        <f t="shared" si="10"/>
        <v>2.9160739687055477E-2</v>
      </c>
    </row>
    <row r="67" spans="8:16" x14ac:dyDescent="0.35">
      <c r="J67" s="82" t="s">
        <v>3336</v>
      </c>
      <c r="K67" s="85">
        <f>SUM(K62:K66)</f>
        <v>1025</v>
      </c>
      <c r="L67" s="85">
        <f>SUM(L62:L66)</f>
        <v>381</v>
      </c>
      <c r="N67" s="92" t="s">
        <v>3337</v>
      </c>
      <c r="O67" s="96">
        <f>SUM(O4:T7,O11:T14,O19:T22,O27:T30,O35:T38)</f>
        <v>53</v>
      </c>
      <c r="P67" s="94">
        <f t="shared" si="10"/>
        <v>3.7695590327169272E-2</v>
      </c>
    </row>
    <row r="68" spans="8:16" x14ac:dyDescent="0.35">
      <c r="N68" s="92" t="s">
        <v>3339</v>
      </c>
      <c r="O68" s="87">
        <f>SUM(O62:O67)</f>
        <v>1406</v>
      </c>
      <c r="P68" s="94">
        <f>SUM(P62:P67)</f>
        <v>1</v>
      </c>
    </row>
    <row r="69" spans="8:16" x14ac:dyDescent="0.35">
      <c r="N69" s="88"/>
    </row>
    <row r="70" spans="8:16" x14ac:dyDescent="0.35">
      <c r="N70" s="88"/>
    </row>
    <row r="71" spans="8:16" x14ac:dyDescent="0.35">
      <c r="N71" s="88"/>
    </row>
    <row r="72" spans="8:16" x14ac:dyDescent="0.35">
      <c r="N72" s="88"/>
    </row>
    <row r="75" spans="8:16" x14ac:dyDescent="0.35">
      <c r="H75" s="92" t="s">
        <v>3281</v>
      </c>
      <c r="I75" s="93" t="s">
        <v>3338</v>
      </c>
      <c r="J75" s="93" t="s">
        <v>3340</v>
      </c>
    </row>
    <row r="76" spans="8:16" x14ac:dyDescent="0.35">
      <c r="H76" s="92" t="s">
        <v>64</v>
      </c>
      <c r="I76" s="87">
        <f>SUMIF('A26 Pham Ngu Lao'!$C:$C, H76, 'A26 Pham Ngu Lao'!$H:$H)</f>
        <v>289741396</v>
      </c>
      <c r="J76" s="94">
        <f>I76/$I$80</f>
        <v>0.35750609985520232</v>
      </c>
    </row>
    <row r="77" spans="8:16" x14ac:dyDescent="0.35">
      <c r="H77" s="92" t="s">
        <v>59</v>
      </c>
      <c r="I77" s="87">
        <f>SUMIF('A26 Pham Ngu Lao'!$C:$C, H77, 'A26 Pham Ngu Lao'!$H:$H)</f>
        <v>162262419</v>
      </c>
      <c r="J77" s="94">
        <f t="shared" ref="J77:J79" si="11">I77/$I$80</f>
        <v>0.20021234580425878</v>
      </c>
    </row>
    <row r="78" spans="8:16" x14ac:dyDescent="0.35">
      <c r="H78" s="92" t="s">
        <v>71</v>
      </c>
      <c r="I78" s="87">
        <f>SUMIF('A26 Pham Ngu Lao'!$C:$C, H78, 'A26 Pham Ngu Lao'!$H:$H)</f>
        <v>106069937</v>
      </c>
      <c r="J78" s="94">
        <f t="shared" si="11"/>
        <v>0.13087756879847787</v>
      </c>
    </row>
    <row r="79" spans="8:16" x14ac:dyDescent="0.35">
      <c r="H79" s="92" t="s">
        <v>29</v>
      </c>
      <c r="I79" s="87">
        <f>SUMIF('A26 Pham Ngu Lao'!$C:$C, H79, 'A26 Pham Ngu Lao'!$H:$H)</f>
        <v>252377863</v>
      </c>
      <c r="J79" s="94">
        <f t="shared" si="11"/>
        <v>0.311403985542061</v>
      </c>
    </row>
    <row r="80" spans="8:16" x14ac:dyDescent="0.35">
      <c r="H80" s="92" t="s">
        <v>3339</v>
      </c>
      <c r="I80" s="87">
        <f>SUM(I76:I79)</f>
        <v>810451615</v>
      </c>
      <c r="J80" s="94">
        <f>SUM(J76:J79)</f>
        <v>1</v>
      </c>
      <c r="N80" s="104" t="s">
        <v>3342</v>
      </c>
      <c r="O80" t="s">
        <v>3345</v>
      </c>
    </row>
    <row r="81" spans="14:15" x14ac:dyDescent="0.35">
      <c r="N81" s="105" t="s">
        <v>41</v>
      </c>
      <c r="O81" s="7">
        <v>582657.1670975805</v>
      </c>
    </row>
    <row r="82" spans="14:15" x14ac:dyDescent="0.35">
      <c r="N82" s="105" t="s">
        <v>53</v>
      </c>
      <c r="O82" s="7">
        <v>507861.11110833334</v>
      </c>
    </row>
    <row r="83" spans="14:15" x14ac:dyDescent="0.35">
      <c r="N83" s="105" t="s">
        <v>48</v>
      </c>
      <c r="O83" s="7">
        <v>612963.77530368103</v>
      </c>
    </row>
    <row r="84" spans="14:15" x14ac:dyDescent="0.35">
      <c r="N84" s="105" t="s">
        <v>245</v>
      </c>
      <c r="O84" s="7">
        <v>569024.05796956527</v>
      </c>
    </row>
    <row r="85" spans="14:15" x14ac:dyDescent="0.35">
      <c r="N85" s="105" t="s">
        <v>3343</v>
      </c>
      <c r="O85" s="7">
        <v>588030.16847478354</v>
      </c>
    </row>
    <row r="212" spans="10:12" x14ac:dyDescent="0.35">
      <c r="J212" s="81"/>
      <c r="K212" s="81"/>
      <c r="L212" s="81"/>
    </row>
    <row r="213" spans="10:12" x14ac:dyDescent="0.35">
      <c r="J213" s="84"/>
      <c r="K213" s="83"/>
      <c r="L213" s="83"/>
    </row>
    <row r="214" spans="10:12" x14ac:dyDescent="0.35">
      <c r="J214" s="84"/>
      <c r="K214" s="83"/>
      <c r="L214" s="83"/>
    </row>
    <row r="215" spans="10:12" x14ac:dyDescent="0.35">
      <c r="J215" s="84"/>
      <c r="K215" s="83"/>
      <c r="L215" s="83"/>
    </row>
    <row r="216" spans="10:12" x14ac:dyDescent="0.35">
      <c r="J216" s="84"/>
      <c r="K216" s="83"/>
      <c r="L216" s="83"/>
    </row>
    <row r="217" spans="10:12" x14ac:dyDescent="0.35">
      <c r="J217" s="84"/>
      <c r="K217" s="83"/>
      <c r="L217" s="83"/>
    </row>
    <row r="218" spans="10:12" x14ac:dyDescent="0.35">
      <c r="J218" s="85"/>
      <c r="K218" s="86"/>
      <c r="L218" s="86"/>
    </row>
  </sheetData>
  <mergeCells count="12">
    <mergeCell ref="A34:E34"/>
    <mergeCell ref="H1:T1"/>
    <mergeCell ref="H2:T2"/>
    <mergeCell ref="H9:T9"/>
    <mergeCell ref="H17:T17"/>
    <mergeCell ref="H25:T25"/>
    <mergeCell ref="H33:T33"/>
    <mergeCell ref="A1:E1"/>
    <mergeCell ref="A2:E2"/>
    <mergeCell ref="A10:E10"/>
    <mergeCell ref="A18:E18"/>
    <mergeCell ref="A26:E26"/>
  </mergeCell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B9020-87CB-433D-9DC0-164B01B24C1E}">
  <sheetPr>
    <outlinePr summaryBelow="0" summaryRight="0"/>
  </sheetPr>
  <dimension ref="A1:AI1000"/>
  <sheetViews>
    <sheetView zoomScale="46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U44" sqref="U44"/>
    </sheetView>
  </sheetViews>
  <sheetFormatPr defaultColWidth="14.453125" defaultRowHeight="15" customHeight="1" x14ac:dyDescent="0.35"/>
  <cols>
    <col min="1" max="1" width="3.7265625" customWidth="1"/>
    <col min="2" max="2" width="15.453125" customWidth="1"/>
    <col min="3" max="3" width="11.54296875" customWidth="1"/>
    <col min="4" max="4" width="13.453125" customWidth="1"/>
    <col min="5" max="6" width="11.81640625" customWidth="1"/>
    <col min="7" max="7" width="13.81640625" customWidth="1"/>
    <col min="8" max="8" width="11.81640625" customWidth="1"/>
    <col min="9" max="10" width="12.453125" customWidth="1"/>
    <col min="11" max="11" width="13.81640625" customWidth="1"/>
    <col min="12" max="12" width="12.453125" customWidth="1"/>
    <col min="13" max="14" width="11.81640625" customWidth="1"/>
    <col min="15" max="15" width="12" customWidth="1"/>
    <col min="16" max="16" width="10.81640625" customWidth="1"/>
    <col min="17" max="17" width="15" customWidth="1"/>
    <col min="18" max="20" width="10.7265625" customWidth="1"/>
    <col min="21" max="21" width="10.54296875" customWidth="1"/>
    <col min="22" max="25" width="11.54296875" customWidth="1"/>
    <col min="26" max="28" width="12.08984375" customWidth="1"/>
    <col min="29" max="34" width="11.81640625" customWidth="1"/>
  </cols>
  <sheetData>
    <row r="1" spans="1:35" ht="14.5" x14ac:dyDescent="0.35">
      <c r="A1" s="8"/>
      <c r="B1" s="9" t="s">
        <v>3258</v>
      </c>
      <c r="E1" s="132" t="s">
        <v>3314</v>
      </c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</row>
    <row r="2" spans="1:35" ht="14.5" x14ac:dyDescent="0.35">
      <c r="A2" s="9"/>
      <c r="C2" s="10"/>
      <c r="D2" s="10"/>
      <c r="E2" s="8" t="s">
        <v>3262</v>
      </c>
      <c r="F2" s="8" t="s">
        <v>3263</v>
      </c>
      <c r="G2" s="9" t="s">
        <v>3264</v>
      </c>
      <c r="H2" s="9" t="s">
        <v>3265</v>
      </c>
      <c r="I2" s="8" t="s">
        <v>3266</v>
      </c>
      <c r="J2" s="8" t="s">
        <v>3260</v>
      </c>
      <c r="K2" s="8" t="s">
        <v>3261</v>
      </c>
      <c r="L2" s="8" t="s">
        <v>3262</v>
      </c>
      <c r="M2" s="8" t="s">
        <v>3263</v>
      </c>
      <c r="N2" s="9" t="s">
        <v>3264</v>
      </c>
      <c r="O2" s="9" t="s">
        <v>3265</v>
      </c>
      <c r="P2" s="8" t="s">
        <v>3266</v>
      </c>
      <c r="Q2" s="8" t="s">
        <v>3260</v>
      </c>
      <c r="R2" s="8" t="s">
        <v>3261</v>
      </c>
      <c r="S2" s="8" t="s">
        <v>3262</v>
      </c>
      <c r="T2" s="8" t="s">
        <v>3263</v>
      </c>
      <c r="U2" s="9" t="s">
        <v>3264</v>
      </c>
      <c r="V2" s="9" t="s">
        <v>3265</v>
      </c>
      <c r="W2" s="8" t="s">
        <v>3266</v>
      </c>
      <c r="X2" s="8" t="s">
        <v>3260</v>
      </c>
      <c r="Y2" s="8" t="s">
        <v>3261</v>
      </c>
      <c r="Z2" s="8" t="s">
        <v>3262</v>
      </c>
      <c r="AA2" s="8" t="s">
        <v>3263</v>
      </c>
      <c r="AB2" s="9" t="s">
        <v>3264</v>
      </c>
      <c r="AC2" s="9" t="s">
        <v>3265</v>
      </c>
      <c r="AD2" s="8" t="s">
        <v>3266</v>
      </c>
      <c r="AE2" s="8" t="s">
        <v>3260</v>
      </c>
      <c r="AF2" s="8" t="s">
        <v>3261</v>
      </c>
      <c r="AG2" s="8" t="s">
        <v>3262</v>
      </c>
      <c r="AH2" s="8" t="s">
        <v>3263</v>
      </c>
      <c r="AI2" s="9" t="s">
        <v>3264</v>
      </c>
    </row>
    <row r="3" spans="1:35" ht="14.5" x14ac:dyDescent="0.35">
      <c r="A3" s="9" t="s">
        <v>3267</v>
      </c>
      <c r="B3" s="8" t="s">
        <v>3268</v>
      </c>
      <c r="C3" s="8" t="s">
        <v>3269</v>
      </c>
      <c r="D3" s="8" t="s">
        <v>3270</v>
      </c>
      <c r="E3" s="11">
        <v>45505</v>
      </c>
      <c r="F3" s="11">
        <v>45506</v>
      </c>
      <c r="G3" s="11">
        <v>45507</v>
      </c>
      <c r="H3" s="11">
        <v>45508</v>
      </c>
      <c r="I3" s="11">
        <v>45509</v>
      </c>
      <c r="J3" s="11">
        <v>45510</v>
      </c>
      <c r="K3" s="11">
        <v>45511</v>
      </c>
      <c r="L3" s="11">
        <v>45512</v>
      </c>
      <c r="M3" s="11">
        <v>45513</v>
      </c>
      <c r="N3" s="11">
        <v>45514</v>
      </c>
      <c r="O3" s="11">
        <v>45515</v>
      </c>
      <c r="P3" s="11">
        <v>45516</v>
      </c>
      <c r="Q3" s="11">
        <v>45517</v>
      </c>
      <c r="R3" s="11">
        <v>45518</v>
      </c>
      <c r="S3" s="11">
        <v>45519</v>
      </c>
      <c r="T3" s="11">
        <v>45520</v>
      </c>
      <c r="U3" s="11">
        <v>45521</v>
      </c>
      <c r="V3" s="11">
        <v>45522</v>
      </c>
      <c r="W3" s="11">
        <v>45523</v>
      </c>
      <c r="X3" s="11">
        <v>45524</v>
      </c>
      <c r="Y3" s="11">
        <v>45525</v>
      </c>
      <c r="Z3" s="11">
        <v>45526</v>
      </c>
      <c r="AA3" s="11">
        <v>45527</v>
      </c>
      <c r="AB3" s="11">
        <v>45528</v>
      </c>
      <c r="AC3" s="11">
        <v>45529</v>
      </c>
      <c r="AD3" s="11">
        <v>45530</v>
      </c>
      <c r="AE3" s="11">
        <v>45531</v>
      </c>
      <c r="AF3" s="11">
        <v>45532</v>
      </c>
      <c r="AG3" s="11">
        <v>45533</v>
      </c>
      <c r="AH3" s="11">
        <v>45534</v>
      </c>
      <c r="AI3" s="11">
        <v>45535</v>
      </c>
    </row>
    <row r="4" spans="1:35" ht="14.5" x14ac:dyDescent="0.35">
      <c r="A4" s="12">
        <v>1</v>
      </c>
      <c r="B4" s="13" t="s">
        <v>64</v>
      </c>
      <c r="C4" s="14">
        <v>101</v>
      </c>
      <c r="D4" s="15">
        <v>2</v>
      </c>
      <c r="E4" s="16"/>
      <c r="F4" s="16"/>
      <c r="G4" s="16"/>
      <c r="H4" s="16"/>
      <c r="I4" s="16"/>
      <c r="J4" s="16"/>
      <c r="K4" s="16"/>
      <c r="L4" s="16"/>
      <c r="M4" s="16" t="s">
        <v>41</v>
      </c>
      <c r="N4" s="16" t="s">
        <v>41</v>
      </c>
      <c r="O4" s="16" t="s">
        <v>3272</v>
      </c>
      <c r="P4" s="16"/>
      <c r="Q4" s="16"/>
      <c r="R4" s="16"/>
      <c r="S4" s="16" t="s">
        <v>3273</v>
      </c>
      <c r="T4" s="16" t="s">
        <v>41</v>
      </c>
      <c r="U4" s="16"/>
      <c r="V4" s="16"/>
      <c r="W4" s="16"/>
      <c r="X4" s="16" t="s">
        <v>41</v>
      </c>
      <c r="Y4" s="16"/>
      <c r="Z4" s="16"/>
      <c r="AA4" s="16" t="s">
        <v>41</v>
      </c>
      <c r="AB4" s="16" t="s">
        <v>41</v>
      </c>
      <c r="AC4" s="16" t="s">
        <v>41</v>
      </c>
      <c r="AD4" s="16"/>
      <c r="AE4" s="16"/>
      <c r="AF4" s="16" t="s">
        <v>41</v>
      </c>
      <c r="AG4" s="16"/>
      <c r="AH4" s="16"/>
      <c r="AI4" s="16"/>
    </row>
    <row r="5" spans="1:35" ht="14.5" x14ac:dyDescent="0.35">
      <c r="A5" s="12">
        <v>2</v>
      </c>
      <c r="B5" s="13" t="s">
        <v>64</v>
      </c>
      <c r="C5" s="14">
        <v>201</v>
      </c>
      <c r="D5" s="15">
        <v>2</v>
      </c>
      <c r="E5" s="16" t="s">
        <v>3273</v>
      </c>
      <c r="F5" s="16" t="s">
        <v>3273</v>
      </c>
      <c r="G5" s="16" t="s">
        <v>3273</v>
      </c>
      <c r="H5" s="16" t="s">
        <v>41</v>
      </c>
      <c r="I5" s="16" t="s">
        <v>41</v>
      </c>
      <c r="J5" s="16"/>
      <c r="K5" s="16"/>
      <c r="L5" s="16"/>
      <c r="M5" s="16" t="s">
        <v>41</v>
      </c>
      <c r="N5" s="16" t="s">
        <v>41</v>
      </c>
      <c r="O5" s="16" t="s">
        <v>3272</v>
      </c>
      <c r="P5" s="16" t="s">
        <v>3272</v>
      </c>
      <c r="Q5" s="16" t="s">
        <v>3272</v>
      </c>
      <c r="R5" s="16" t="s">
        <v>3272</v>
      </c>
      <c r="S5" s="16" t="s">
        <v>41</v>
      </c>
      <c r="T5" s="16" t="s">
        <v>41</v>
      </c>
      <c r="U5" s="16" t="s">
        <v>41</v>
      </c>
      <c r="V5" s="16" t="s">
        <v>41</v>
      </c>
      <c r="W5" s="16" t="s">
        <v>41</v>
      </c>
      <c r="X5" s="16"/>
      <c r="Y5" s="16"/>
      <c r="Z5" s="16"/>
      <c r="AA5" s="16"/>
      <c r="AB5" s="16" t="s">
        <v>41</v>
      </c>
      <c r="AC5" s="12" t="s">
        <v>41</v>
      </c>
      <c r="AD5" s="12" t="s">
        <v>41</v>
      </c>
      <c r="AE5" s="12" t="s">
        <v>41</v>
      </c>
      <c r="AF5" s="12" t="s">
        <v>41</v>
      </c>
      <c r="AG5" s="12" t="s">
        <v>41</v>
      </c>
      <c r="AH5" s="16"/>
      <c r="AI5" s="16" t="s">
        <v>41</v>
      </c>
    </row>
    <row r="6" spans="1:35" ht="14.5" x14ac:dyDescent="0.35">
      <c r="A6" s="12">
        <v>3</v>
      </c>
      <c r="B6" s="13" t="s">
        <v>64</v>
      </c>
      <c r="C6" s="14">
        <v>301</v>
      </c>
      <c r="D6" s="15">
        <v>2</v>
      </c>
      <c r="E6" s="16" t="s">
        <v>41</v>
      </c>
      <c r="F6" s="16" t="s">
        <v>41</v>
      </c>
      <c r="G6" s="16" t="s">
        <v>41</v>
      </c>
      <c r="H6" s="16" t="s">
        <v>41</v>
      </c>
      <c r="I6" s="16"/>
      <c r="J6" s="16" t="s">
        <v>41</v>
      </c>
      <c r="K6" s="16" t="s">
        <v>41</v>
      </c>
      <c r="L6" s="16"/>
      <c r="M6" s="16"/>
      <c r="N6" s="16" t="s">
        <v>3273</v>
      </c>
      <c r="O6" s="16" t="s">
        <v>3273</v>
      </c>
      <c r="P6" s="16" t="s">
        <v>41</v>
      </c>
      <c r="Q6" s="16"/>
      <c r="R6" s="16"/>
      <c r="S6" s="16" t="s">
        <v>3272</v>
      </c>
      <c r="T6" s="16" t="s">
        <v>41</v>
      </c>
      <c r="U6" s="16" t="s">
        <v>41</v>
      </c>
      <c r="V6" s="16"/>
      <c r="W6" s="17" t="s">
        <v>41</v>
      </c>
      <c r="X6" s="16"/>
      <c r="Y6" s="16"/>
      <c r="Z6" s="16"/>
      <c r="AA6" s="16"/>
      <c r="AB6" s="52" t="s">
        <v>41</v>
      </c>
      <c r="AC6" s="12" t="s">
        <v>41</v>
      </c>
      <c r="AD6" s="12" t="s">
        <v>41</v>
      </c>
      <c r="AE6" s="12" t="s">
        <v>41</v>
      </c>
      <c r="AF6" s="12" t="s">
        <v>41</v>
      </c>
      <c r="AG6" s="16" t="s">
        <v>41</v>
      </c>
      <c r="AH6" s="16" t="s">
        <v>3273</v>
      </c>
      <c r="AI6" s="16" t="s">
        <v>3273</v>
      </c>
    </row>
    <row r="7" spans="1:35" ht="14.5" x14ac:dyDescent="0.35">
      <c r="A7" s="12">
        <v>4</v>
      </c>
      <c r="B7" s="13" t="s">
        <v>64</v>
      </c>
      <c r="C7" s="14">
        <v>401</v>
      </c>
      <c r="D7" s="15">
        <v>2</v>
      </c>
      <c r="E7" s="53" t="s">
        <v>41</v>
      </c>
      <c r="F7" s="53" t="s">
        <v>41</v>
      </c>
      <c r="G7" s="53" t="s">
        <v>41</v>
      </c>
      <c r="H7" s="16"/>
      <c r="I7" s="16"/>
      <c r="J7" s="16"/>
      <c r="K7" s="16" t="s">
        <v>3272</v>
      </c>
      <c r="L7" s="16"/>
      <c r="M7" s="16"/>
      <c r="N7" s="16"/>
      <c r="O7" s="16" t="s">
        <v>3273</v>
      </c>
      <c r="P7" s="16" t="s">
        <v>3273</v>
      </c>
      <c r="Q7" s="16" t="s">
        <v>3273</v>
      </c>
      <c r="R7" s="16" t="s">
        <v>3273</v>
      </c>
      <c r="S7" s="16" t="s">
        <v>41</v>
      </c>
      <c r="T7" s="16" t="s">
        <v>41</v>
      </c>
      <c r="U7" s="16" t="s">
        <v>41</v>
      </c>
      <c r="V7" s="16" t="s">
        <v>41</v>
      </c>
      <c r="W7" s="16"/>
      <c r="X7" s="16"/>
      <c r="Y7" s="16" t="s">
        <v>41</v>
      </c>
      <c r="Z7" s="16" t="s">
        <v>41</v>
      </c>
      <c r="AA7" s="16" t="s">
        <v>41</v>
      </c>
      <c r="AB7" s="16" t="s">
        <v>41</v>
      </c>
      <c r="AC7" s="16" t="s">
        <v>41</v>
      </c>
      <c r="AD7" s="16"/>
      <c r="AE7" s="16" t="s">
        <v>41</v>
      </c>
      <c r="AF7" s="16"/>
      <c r="AG7" s="16" t="s">
        <v>3273</v>
      </c>
      <c r="AH7" s="16"/>
      <c r="AI7" s="16" t="s">
        <v>41</v>
      </c>
    </row>
    <row r="8" spans="1:35" ht="14.5" x14ac:dyDescent="0.35">
      <c r="A8" s="12">
        <v>5</v>
      </c>
      <c r="B8" s="13" t="s">
        <v>64</v>
      </c>
      <c r="C8" s="14">
        <v>501</v>
      </c>
      <c r="D8" s="15">
        <v>2</v>
      </c>
      <c r="E8" s="16"/>
      <c r="F8" s="16" t="s">
        <v>41</v>
      </c>
      <c r="G8" s="16"/>
      <c r="H8" s="16"/>
      <c r="I8" s="16" t="s">
        <v>41</v>
      </c>
      <c r="J8" s="16" t="s">
        <v>41</v>
      </c>
      <c r="K8" s="16" t="s">
        <v>41</v>
      </c>
      <c r="L8" s="16" t="s">
        <v>41</v>
      </c>
      <c r="M8" s="16"/>
      <c r="N8" s="16"/>
      <c r="O8" s="16" t="s">
        <v>41</v>
      </c>
      <c r="P8" s="16" t="s">
        <v>3273</v>
      </c>
      <c r="Q8" s="16"/>
      <c r="R8" s="16"/>
      <c r="S8" s="16"/>
      <c r="T8" s="16" t="s">
        <v>41</v>
      </c>
      <c r="U8" s="16" t="s">
        <v>41</v>
      </c>
      <c r="V8" s="16"/>
      <c r="W8" s="16" t="s">
        <v>41</v>
      </c>
      <c r="X8" s="16"/>
      <c r="Y8" s="16"/>
      <c r="Z8" s="16" t="s">
        <v>41</v>
      </c>
      <c r="AA8" s="16"/>
      <c r="AB8" s="16" t="s">
        <v>41</v>
      </c>
      <c r="AC8" s="12" t="s">
        <v>41</v>
      </c>
      <c r="AD8" s="12" t="s">
        <v>41</v>
      </c>
      <c r="AE8" s="12" t="s">
        <v>41</v>
      </c>
      <c r="AF8" s="12" t="s">
        <v>41</v>
      </c>
      <c r="AG8" s="16"/>
      <c r="AH8" s="16" t="s">
        <v>41</v>
      </c>
      <c r="AI8" s="16" t="s">
        <v>41</v>
      </c>
    </row>
    <row r="9" spans="1:35" ht="14.5" x14ac:dyDescent="0.35">
      <c r="A9" s="12">
        <v>6</v>
      </c>
      <c r="B9" s="13" t="s">
        <v>64</v>
      </c>
      <c r="C9" s="14">
        <v>601</v>
      </c>
      <c r="D9" s="15">
        <v>2</v>
      </c>
      <c r="E9" s="16" t="s">
        <v>41</v>
      </c>
      <c r="F9" s="16" t="s">
        <v>41</v>
      </c>
      <c r="G9" s="50" t="s">
        <v>3275</v>
      </c>
      <c r="H9" s="50" t="s">
        <v>3275</v>
      </c>
      <c r="I9" s="50" t="s">
        <v>3275</v>
      </c>
      <c r="J9" s="16"/>
      <c r="K9" s="16" t="s">
        <v>41</v>
      </c>
      <c r="L9" s="16"/>
      <c r="M9" s="16" t="s">
        <v>41</v>
      </c>
      <c r="N9" s="16" t="s">
        <v>41</v>
      </c>
      <c r="O9" s="16" t="s">
        <v>41</v>
      </c>
      <c r="P9" s="16"/>
      <c r="Q9" s="16"/>
      <c r="R9" s="16"/>
      <c r="S9" s="16"/>
      <c r="T9" s="16"/>
      <c r="U9" s="16"/>
      <c r="V9" s="16"/>
      <c r="W9" s="16"/>
      <c r="X9" s="16" t="s">
        <v>41</v>
      </c>
      <c r="Y9" s="16" t="s">
        <v>41</v>
      </c>
      <c r="Z9" s="16" t="s">
        <v>41</v>
      </c>
      <c r="AA9" s="16"/>
      <c r="AB9" s="16" t="s">
        <v>41</v>
      </c>
      <c r="AC9" s="16" t="s">
        <v>41</v>
      </c>
      <c r="AD9" s="16" t="s">
        <v>41</v>
      </c>
      <c r="AE9" s="46" t="s">
        <v>41</v>
      </c>
      <c r="AF9" s="46" t="s">
        <v>41</v>
      </c>
      <c r="AG9" s="16" t="s">
        <v>41</v>
      </c>
      <c r="AH9" s="46" t="s">
        <v>41</v>
      </c>
      <c r="AI9" s="16" t="s">
        <v>41</v>
      </c>
    </row>
    <row r="10" spans="1:35" ht="14.5" x14ac:dyDescent="0.35">
      <c r="A10" s="18">
        <v>7</v>
      </c>
      <c r="B10" s="19" t="s">
        <v>59</v>
      </c>
      <c r="C10" s="20">
        <v>102</v>
      </c>
      <c r="D10" s="15">
        <v>2</v>
      </c>
      <c r="E10" s="16" t="s">
        <v>41</v>
      </c>
      <c r="F10" s="16" t="s">
        <v>41</v>
      </c>
      <c r="G10" s="16" t="s">
        <v>41</v>
      </c>
      <c r="H10" s="16"/>
      <c r="I10" s="16"/>
      <c r="J10" s="16"/>
      <c r="K10" s="16"/>
      <c r="L10" s="16"/>
      <c r="M10" s="16"/>
      <c r="N10" s="16"/>
      <c r="O10" s="16"/>
      <c r="P10" s="16" t="s">
        <v>3273</v>
      </c>
      <c r="Q10" s="16" t="s">
        <v>3273</v>
      </c>
      <c r="R10" s="16"/>
      <c r="S10" s="16"/>
      <c r="T10" s="16"/>
      <c r="U10" s="16"/>
      <c r="V10" s="16"/>
      <c r="W10" s="16"/>
      <c r="X10" s="16"/>
      <c r="Y10" s="16"/>
      <c r="Z10" s="16" t="s">
        <v>41</v>
      </c>
      <c r="AA10" s="16"/>
      <c r="AB10" s="16"/>
      <c r="AC10" s="16"/>
      <c r="AD10" s="16"/>
      <c r="AE10" s="16"/>
      <c r="AF10" s="16"/>
      <c r="AG10" s="16"/>
      <c r="AH10" s="16"/>
      <c r="AI10" s="16" t="s">
        <v>41</v>
      </c>
    </row>
    <row r="11" spans="1:35" ht="14.5" x14ac:dyDescent="0.35">
      <c r="A11" s="18">
        <v>8</v>
      </c>
      <c r="B11" s="19" t="s">
        <v>59</v>
      </c>
      <c r="C11" s="20">
        <v>202</v>
      </c>
      <c r="D11" s="15">
        <v>2</v>
      </c>
      <c r="E11" s="16"/>
      <c r="F11" s="16" t="s">
        <v>41</v>
      </c>
      <c r="G11" s="16" t="s">
        <v>41</v>
      </c>
      <c r="H11" s="16"/>
      <c r="I11" s="16"/>
      <c r="J11" s="54" t="s">
        <v>41</v>
      </c>
      <c r="K11" s="16"/>
      <c r="L11" s="16"/>
      <c r="M11" s="16"/>
      <c r="N11" s="16"/>
      <c r="O11" s="16"/>
      <c r="P11" s="16"/>
      <c r="Q11" s="16"/>
      <c r="S11" s="16" t="s">
        <v>41</v>
      </c>
      <c r="T11" s="16" t="s">
        <v>41</v>
      </c>
      <c r="U11" s="16" t="s">
        <v>41</v>
      </c>
      <c r="V11" s="16" t="s">
        <v>41</v>
      </c>
      <c r="W11" s="16" t="s">
        <v>41</v>
      </c>
      <c r="X11" s="16" t="s">
        <v>41</v>
      </c>
      <c r="Y11" s="16"/>
      <c r="Z11" s="16" t="s">
        <v>41</v>
      </c>
      <c r="AA11" s="16" t="s">
        <v>41</v>
      </c>
      <c r="AB11" s="16" t="s">
        <v>41</v>
      </c>
      <c r="AC11" s="12" t="s">
        <v>41</v>
      </c>
      <c r="AD11" s="12" t="s">
        <v>41</v>
      </c>
      <c r="AE11" s="12" t="s">
        <v>41</v>
      </c>
      <c r="AF11" s="12" t="s">
        <v>41</v>
      </c>
      <c r="AG11" s="16"/>
      <c r="AH11" s="16"/>
      <c r="AI11" s="16" t="s">
        <v>41</v>
      </c>
    </row>
    <row r="12" spans="1:35" ht="14.5" x14ac:dyDescent="0.35">
      <c r="A12" s="18">
        <v>9</v>
      </c>
      <c r="B12" s="19" t="s">
        <v>59</v>
      </c>
      <c r="C12" s="20">
        <v>302</v>
      </c>
      <c r="D12" s="15">
        <v>2</v>
      </c>
      <c r="E12" s="16" t="s">
        <v>3275</v>
      </c>
      <c r="F12" s="16" t="s">
        <v>3275</v>
      </c>
      <c r="G12" s="16" t="s">
        <v>3275</v>
      </c>
      <c r="H12" s="16"/>
      <c r="I12" s="16"/>
      <c r="J12" s="54" t="s">
        <v>41</v>
      </c>
      <c r="K12" s="54" t="s">
        <v>41</v>
      </c>
      <c r="L12" s="16"/>
      <c r="M12" s="16"/>
      <c r="N12" s="16" t="s">
        <v>41</v>
      </c>
      <c r="O12" s="16"/>
      <c r="P12" s="16"/>
      <c r="Q12" s="16"/>
      <c r="R12" s="16"/>
      <c r="S12" s="16"/>
      <c r="T12" s="16"/>
      <c r="U12" s="16" t="s">
        <v>41</v>
      </c>
      <c r="V12" s="16"/>
      <c r="W12" s="17" t="s">
        <v>41</v>
      </c>
      <c r="X12" s="16"/>
      <c r="Y12" s="16" t="s">
        <v>41</v>
      </c>
      <c r="Z12" s="16" t="s">
        <v>3275</v>
      </c>
      <c r="AA12" s="16" t="s">
        <v>3275</v>
      </c>
      <c r="AB12" s="16" t="s">
        <v>3275</v>
      </c>
      <c r="AC12" s="16" t="s">
        <v>3275</v>
      </c>
      <c r="AD12" s="16"/>
      <c r="AE12" s="16"/>
      <c r="AF12" s="16"/>
      <c r="AG12" s="16"/>
      <c r="AH12" s="16"/>
      <c r="AI12" s="16" t="s">
        <v>41</v>
      </c>
    </row>
    <row r="13" spans="1:35" ht="14.5" x14ac:dyDescent="0.35">
      <c r="A13" s="18">
        <v>10</v>
      </c>
      <c r="B13" s="19" t="s">
        <v>59</v>
      </c>
      <c r="C13" s="20">
        <v>402</v>
      </c>
      <c r="D13" s="15">
        <v>2</v>
      </c>
      <c r="E13" s="53" t="s">
        <v>41</v>
      </c>
      <c r="F13" s="16" t="s">
        <v>3272</v>
      </c>
      <c r="G13" s="50" t="s">
        <v>41</v>
      </c>
      <c r="H13" s="50" t="s">
        <v>41</v>
      </c>
      <c r="I13" s="50" t="s">
        <v>41</v>
      </c>
      <c r="J13" s="16"/>
      <c r="K13" s="16"/>
      <c r="L13" s="16"/>
      <c r="M13" s="16" t="s">
        <v>41</v>
      </c>
      <c r="N13" s="16" t="s">
        <v>41</v>
      </c>
      <c r="O13" s="16"/>
      <c r="P13" s="16"/>
      <c r="Q13" s="16"/>
      <c r="R13" s="16" t="s">
        <v>41</v>
      </c>
      <c r="S13" s="16"/>
      <c r="T13" s="16"/>
      <c r="U13" s="16"/>
      <c r="V13" s="16"/>
      <c r="W13" s="16"/>
      <c r="X13" s="16"/>
      <c r="Y13" s="16" t="s">
        <v>41</v>
      </c>
      <c r="Z13" s="16" t="s">
        <v>41</v>
      </c>
      <c r="AA13" s="16" t="s">
        <v>41</v>
      </c>
      <c r="AB13" s="52" t="s">
        <v>41</v>
      </c>
      <c r="AC13" s="12" t="s">
        <v>41</v>
      </c>
      <c r="AD13" s="12" t="s">
        <v>41</v>
      </c>
      <c r="AE13" s="12" t="s">
        <v>41</v>
      </c>
      <c r="AF13" s="12" t="s">
        <v>41</v>
      </c>
      <c r="AG13" s="16"/>
      <c r="AH13" s="16"/>
      <c r="AI13" s="16"/>
    </row>
    <row r="14" spans="1:35" ht="14.5" x14ac:dyDescent="0.35">
      <c r="A14" s="21">
        <v>11</v>
      </c>
      <c r="B14" s="22" t="s">
        <v>71</v>
      </c>
      <c r="C14" s="23">
        <v>502</v>
      </c>
      <c r="D14" s="15">
        <v>2</v>
      </c>
      <c r="E14" s="16" t="s">
        <v>41</v>
      </c>
      <c r="F14" s="16" t="s">
        <v>3273</v>
      </c>
      <c r="G14" s="16" t="s">
        <v>3273</v>
      </c>
      <c r="H14" s="16" t="s">
        <v>3273</v>
      </c>
      <c r="I14" s="16" t="s">
        <v>3273</v>
      </c>
      <c r="J14" s="16"/>
      <c r="K14" s="16"/>
      <c r="L14" s="16" t="s">
        <v>41</v>
      </c>
      <c r="M14" s="16" t="s">
        <v>41</v>
      </c>
      <c r="N14" s="16"/>
      <c r="O14" s="16"/>
      <c r="P14" s="16"/>
      <c r="Q14" s="16" t="s">
        <v>41</v>
      </c>
      <c r="R14" s="16" t="s">
        <v>41</v>
      </c>
      <c r="S14" s="16" t="s">
        <v>41</v>
      </c>
      <c r="T14" s="16" t="s">
        <v>41</v>
      </c>
      <c r="U14" s="16" t="s">
        <v>41</v>
      </c>
      <c r="V14" s="16" t="s">
        <v>41</v>
      </c>
      <c r="W14" s="16" t="s">
        <v>41</v>
      </c>
      <c r="X14" s="16" t="s">
        <v>41</v>
      </c>
      <c r="Y14" s="16" t="s">
        <v>41</v>
      </c>
      <c r="Z14" s="16" t="s">
        <v>41</v>
      </c>
      <c r="AA14" s="16" t="s">
        <v>41</v>
      </c>
      <c r="AB14" s="16" t="s">
        <v>41</v>
      </c>
      <c r="AC14" s="16" t="s">
        <v>41</v>
      </c>
      <c r="AD14" s="16" t="s">
        <v>41</v>
      </c>
      <c r="AE14" s="16" t="s">
        <v>41</v>
      </c>
      <c r="AF14" s="16"/>
      <c r="AG14" s="16"/>
      <c r="AH14" s="16"/>
      <c r="AI14" s="16"/>
    </row>
    <row r="15" spans="1:35" ht="14.5" x14ac:dyDescent="0.35">
      <c r="A15" s="21">
        <v>12</v>
      </c>
      <c r="B15" s="22" t="s">
        <v>71</v>
      </c>
      <c r="C15" s="23">
        <v>602</v>
      </c>
      <c r="D15" s="15">
        <v>2</v>
      </c>
      <c r="E15" s="16" t="s">
        <v>41</v>
      </c>
      <c r="F15" s="27" t="s">
        <v>3307</v>
      </c>
      <c r="G15" s="27" t="s">
        <v>3307</v>
      </c>
      <c r="H15" s="27" t="s">
        <v>3307</v>
      </c>
      <c r="I15" s="16"/>
      <c r="J15" s="16"/>
      <c r="K15" s="16"/>
      <c r="L15" s="16"/>
      <c r="M15" s="16"/>
      <c r="N15" s="16"/>
      <c r="O15" s="16"/>
      <c r="P15" s="16"/>
      <c r="Q15" s="16"/>
      <c r="R15" s="16" t="s">
        <v>41</v>
      </c>
      <c r="S15" s="16" t="s">
        <v>41</v>
      </c>
      <c r="T15" s="16" t="s">
        <v>41</v>
      </c>
      <c r="U15" s="16"/>
      <c r="V15" s="16" t="s">
        <v>41</v>
      </c>
      <c r="W15" s="16" t="s">
        <v>41</v>
      </c>
      <c r="X15" s="16" t="s">
        <v>41</v>
      </c>
      <c r="Y15" s="16"/>
      <c r="Z15" s="16"/>
      <c r="AA15" s="16"/>
      <c r="AB15" s="16"/>
      <c r="AC15" s="16" t="s">
        <v>41</v>
      </c>
      <c r="AD15" s="16" t="s">
        <v>3271</v>
      </c>
      <c r="AE15" s="16" t="s">
        <v>3271</v>
      </c>
      <c r="AF15" s="16"/>
      <c r="AG15" s="16" t="s">
        <v>41</v>
      </c>
      <c r="AH15" s="16" t="s">
        <v>41</v>
      </c>
      <c r="AI15" s="16" t="s">
        <v>41</v>
      </c>
    </row>
    <row r="16" spans="1:35" ht="14.5" x14ac:dyDescent="0.35">
      <c r="A16" s="21">
        <v>13</v>
      </c>
      <c r="B16" s="22" t="s">
        <v>71</v>
      </c>
      <c r="C16" s="23">
        <v>702</v>
      </c>
      <c r="D16" s="15">
        <v>2</v>
      </c>
      <c r="E16" s="16"/>
      <c r="F16" s="16"/>
      <c r="G16" s="16" t="s">
        <v>41</v>
      </c>
      <c r="H16" s="16" t="s">
        <v>41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2" t="s">
        <v>41</v>
      </c>
      <c r="AD16" s="12" t="s">
        <v>41</v>
      </c>
      <c r="AE16" s="12" t="s">
        <v>41</v>
      </c>
      <c r="AF16" s="12" t="s">
        <v>41</v>
      </c>
      <c r="AG16" s="16"/>
      <c r="AH16" s="16"/>
      <c r="AI16" s="16"/>
    </row>
    <row r="17" spans="1:35" ht="14.5" x14ac:dyDescent="0.35">
      <c r="A17" s="24">
        <v>14</v>
      </c>
      <c r="B17" s="25" t="s">
        <v>29</v>
      </c>
      <c r="C17" s="26">
        <v>103</v>
      </c>
      <c r="D17" s="15">
        <v>2</v>
      </c>
      <c r="E17" s="16"/>
      <c r="F17" s="16"/>
      <c r="G17" s="16"/>
      <c r="H17" s="16"/>
      <c r="I17" s="51" t="s">
        <v>41</v>
      </c>
      <c r="J17" s="51" t="s">
        <v>41</v>
      </c>
      <c r="K17" s="51" t="s">
        <v>41</v>
      </c>
      <c r="L17" s="16"/>
      <c r="M17" s="16"/>
      <c r="N17" s="16"/>
      <c r="O17" s="16"/>
      <c r="P17" s="16"/>
      <c r="Q17" s="16"/>
      <c r="R17" s="16" t="s">
        <v>41</v>
      </c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</row>
    <row r="18" spans="1:35" ht="14.5" x14ac:dyDescent="0.35">
      <c r="A18" s="24">
        <v>15</v>
      </c>
      <c r="B18" s="25" t="s">
        <v>29</v>
      </c>
      <c r="C18" s="26">
        <v>203</v>
      </c>
      <c r="D18" s="15">
        <v>2</v>
      </c>
      <c r="E18" s="16"/>
      <c r="F18" s="16"/>
      <c r="G18" s="16"/>
      <c r="H18" s="16"/>
      <c r="I18" s="51" t="s">
        <v>41</v>
      </c>
      <c r="J18" s="51" t="s">
        <v>41</v>
      </c>
      <c r="K18" s="51" t="s">
        <v>41</v>
      </c>
      <c r="L18" s="16"/>
      <c r="M18" s="16"/>
      <c r="N18" s="16" t="s">
        <v>41</v>
      </c>
      <c r="O18" s="16"/>
      <c r="P18" s="16"/>
      <c r="Q18" s="16"/>
      <c r="R18" s="16" t="s">
        <v>3271</v>
      </c>
      <c r="S18" s="16" t="s">
        <v>3271</v>
      </c>
      <c r="T18" s="16" t="s">
        <v>3271</v>
      </c>
      <c r="U18" s="16" t="s">
        <v>3271</v>
      </c>
      <c r="V18" s="16" t="s">
        <v>3271</v>
      </c>
      <c r="W18" s="16" t="s">
        <v>3271</v>
      </c>
      <c r="X18" s="16" t="s">
        <v>3271</v>
      </c>
      <c r="Y18" s="16"/>
      <c r="Z18" s="16"/>
      <c r="AA18" s="16"/>
      <c r="AB18" s="16"/>
      <c r="AC18" s="16"/>
      <c r="AD18" s="16"/>
      <c r="AE18" s="16" t="s">
        <v>3275</v>
      </c>
      <c r="AF18" s="16" t="s">
        <v>3275</v>
      </c>
      <c r="AG18" s="16"/>
      <c r="AH18" s="16"/>
      <c r="AI18" s="16"/>
    </row>
    <row r="19" spans="1:35" ht="14.5" x14ac:dyDescent="0.35">
      <c r="A19" s="24">
        <v>16</v>
      </c>
      <c r="B19" s="25" t="s">
        <v>29</v>
      </c>
      <c r="C19" s="26">
        <v>303</v>
      </c>
      <c r="D19" s="15">
        <v>2</v>
      </c>
      <c r="E19" s="16"/>
      <c r="F19" s="16"/>
      <c r="G19" s="16" t="s">
        <v>41</v>
      </c>
      <c r="H19" s="16"/>
      <c r="I19" s="51" t="s">
        <v>41</v>
      </c>
      <c r="J19" s="51" t="s">
        <v>41</v>
      </c>
      <c r="K19" s="51" t="s">
        <v>41</v>
      </c>
      <c r="L19" s="16"/>
      <c r="M19" s="16"/>
      <c r="N19" s="16"/>
      <c r="O19" s="16"/>
      <c r="P19" s="16"/>
      <c r="Q19" s="16"/>
      <c r="R19" s="16" t="s">
        <v>41</v>
      </c>
      <c r="S19" s="16" t="s">
        <v>3271</v>
      </c>
      <c r="T19" s="16" t="s">
        <v>3271</v>
      </c>
      <c r="U19" s="16" t="s">
        <v>3275</v>
      </c>
      <c r="V19" s="16" t="s">
        <v>3275</v>
      </c>
      <c r="W19" s="16" t="s">
        <v>3275</v>
      </c>
      <c r="X19" s="16" t="s">
        <v>3273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</row>
    <row r="20" spans="1:35" ht="14.5" x14ac:dyDescent="0.35">
      <c r="A20" s="24">
        <v>17</v>
      </c>
      <c r="B20" s="25" t="s">
        <v>29</v>
      </c>
      <c r="C20" s="26">
        <v>403</v>
      </c>
      <c r="D20" s="15">
        <v>2</v>
      </c>
      <c r="E20" s="16"/>
      <c r="F20" s="16"/>
      <c r="G20" s="50" t="s">
        <v>41</v>
      </c>
      <c r="H20" s="50" t="s">
        <v>41</v>
      </c>
      <c r="I20" s="50" t="s">
        <v>41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 t="s">
        <v>41</v>
      </c>
      <c r="U20" s="16" t="s">
        <v>41</v>
      </c>
      <c r="V20" s="16" t="s">
        <v>41</v>
      </c>
      <c r="W20" s="16" t="s">
        <v>41</v>
      </c>
      <c r="X20" s="16"/>
      <c r="Y20" s="16" t="s">
        <v>41</v>
      </c>
      <c r="Z20" s="16" t="s">
        <v>41</v>
      </c>
      <c r="AA20" s="16" t="s">
        <v>41</v>
      </c>
      <c r="AB20" s="16"/>
      <c r="AC20" s="16"/>
      <c r="AD20" s="16" t="s">
        <v>41</v>
      </c>
      <c r="AE20" s="16" t="s">
        <v>41</v>
      </c>
      <c r="AF20" s="16" t="s">
        <v>41</v>
      </c>
      <c r="AG20" s="16" t="s">
        <v>41</v>
      </c>
      <c r="AH20" s="16" t="s">
        <v>41</v>
      </c>
      <c r="AI20" s="16" t="s">
        <v>41</v>
      </c>
    </row>
    <row r="21" spans="1:35" ht="15.75" customHeight="1" x14ac:dyDescent="0.35">
      <c r="A21" s="24">
        <v>18</v>
      </c>
      <c r="B21" s="25" t="s">
        <v>29</v>
      </c>
      <c r="C21" s="26">
        <v>503</v>
      </c>
      <c r="D21" s="15">
        <v>2</v>
      </c>
      <c r="E21" s="16"/>
      <c r="F21" s="16"/>
      <c r="G21" s="50" t="s">
        <v>41</v>
      </c>
      <c r="H21" s="50" t="s">
        <v>41</v>
      </c>
      <c r="I21" s="50" t="s">
        <v>41</v>
      </c>
      <c r="J21" s="16"/>
      <c r="K21" s="16"/>
      <c r="L21" s="16"/>
      <c r="M21" s="16"/>
      <c r="N21" s="16" t="s">
        <v>41</v>
      </c>
      <c r="O21" s="16"/>
      <c r="P21" s="16"/>
      <c r="Q21" s="16"/>
      <c r="R21" s="16"/>
      <c r="S21" s="16"/>
      <c r="T21" s="16"/>
      <c r="U21" s="16"/>
      <c r="V21" s="16"/>
      <c r="W21" s="16" t="s">
        <v>3271</v>
      </c>
      <c r="X21" s="16"/>
      <c r="Y21" s="16" t="s">
        <v>41</v>
      </c>
      <c r="Z21" s="16" t="s">
        <v>41</v>
      </c>
      <c r="AA21" s="16" t="s">
        <v>41</v>
      </c>
      <c r="AB21" s="16" t="s">
        <v>41</v>
      </c>
      <c r="AC21" s="16"/>
      <c r="AD21" s="16" t="s">
        <v>41</v>
      </c>
      <c r="AE21" s="16" t="s">
        <v>41</v>
      </c>
      <c r="AF21" s="16" t="s">
        <v>41</v>
      </c>
      <c r="AG21" s="16"/>
      <c r="AH21" s="16" t="s">
        <v>41</v>
      </c>
      <c r="AI21" s="16"/>
    </row>
    <row r="22" spans="1:35" ht="15.75" customHeight="1" x14ac:dyDescent="0.35">
      <c r="A22" s="24">
        <v>19</v>
      </c>
      <c r="B22" s="25" t="s">
        <v>29</v>
      </c>
      <c r="C22" s="26">
        <v>603</v>
      </c>
      <c r="D22" s="15">
        <v>2</v>
      </c>
      <c r="E22" s="16" t="s">
        <v>41</v>
      </c>
      <c r="F22" s="16" t="s">
        <v>41</v>
      </c>
      <c r="G22" s="50" t="s">
        <v>41</v>
      </c>
      <c r="H22" s="50" t="s">
        <v>41</v>
      </c>
      <c r="I22" s="50" t="s">
        <v>41</v>
      </c>
      <c r="J22" s="16" t="s">
        <v>41</v>
      </c>
      <c r="K22" s="16"/>
      <c r="L22" s="16"/>
      <c r="M22" s="16" t="s">
        <v>3272</v>
      </c>
      <c r="N22" s="16" t="s">
        <v>3272</v>
      </c>
      <c r="O22" s="16" t="s">
        <v>3272</v>
      </c>
      <c r="P22" s="16"/>
      <c r="Q22" s="16"/>
      <c r="R22" s="16"/>
      <c r="S22" s="16"/>
      <c r="T22" s="16"/>
      <c r="U22" s="16" t="s">
        <v>41</v>
      </c>
      <c r="V22" s="16"/>
      <c r="W22" s="16"/>
      <c r="X22" s="16" t="s">
        <v>3273</v>
      </c>
      <c r="Y22" s="16" t="s">
        <v>3273</v>
      </c>
      <c r="Z22" s="16" t="s">
        <v>3273</v>
      </c>
      <c r="AA22" s="16" t="s">
        <v>41</v>
      </c>
      <c r="AB22" s="16" t="s">
        <v>41</v>
      </c>
      <c r="AC22" s="16"/>
      <c r="AD22" s="16" t="s">
        <v>41</v>
      </c>
      <c r="AE22" s="16"/>
      <c r="AF22" s="16"/>
      <c r="AG22" s="16"/>
      <c r="AH22" s="16"/>
      <c r="AI22" s="16" t="s">
        <v>41</v>
      </c>
    </row>
    <row r="23" spans="1:35" ht="15.75" customHeight="1" x14ac:dyDescent="0.35">
      <c r="A23" s="24">
        <v>20</v>
      </c>
      <c r="B23" s="25" t="s">
        <v>29</v>
      </c>
      <c r="C23" s="26">
        <v>703</v>
      </c>
      <c r="D23" s="15">
        <v>2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 t="s">
        <v>3276</v>
      </c>
      <c r="Y23" s="16" t="s">
        <v>3276</v>
      </c>
      <c r="Z23" s="16" t="s">
        <v>3276</v>
      </c>
      <c r="AA23" s="16" t="s">
        <v>3276</v>
      </c>
      <c r="AB23" s="16" t="s">
        <v>3276</v>
      </c>
      <c r="AC23" s="16" t="s">
        <v>3276</v>
      </c>
      <c r="AD23" s="16" t="s">
        <v>3276</v>
      </c>
      <c r="AE23" s="16" t="s">
        <v>3276</v>
      </c>
      <c r="AF23" s="16" t="s">
        <v>3276</v>
      </c>
      <c r="AG23" s="16" t="s">
        <v>3276</v>
      </c>
      <c r="AH23" s="16" t="s">
        <v>3276</v>
      </c>
      <c r="AI23" s="16" t="s">
        <v>3276</v>
      </c>
    </row>
    <row r="24" spans="1:35" ht="15.75" customHeight="1" x14ac:dyDescent="0.35">
      <c r="A24" s="27">
        <v>21</v>
      </c>
      <c r="B24" s="28" t="s">
        <v>232</v>
      </c>
      <c r="C24" s="28" t="s">
        <v>232</v>
      </c>
      <c r="D24" s="15">
        <v>1</v>
      </c>
      <c r="E24" s="16" t="s">
        <v>3276</v>
      </c>
      <c r="F24" s="16" t="s">
        <v>3276</v>
      </c>
      <c r="G24" s="16" t="s">
        <v>3276</v>
      </c>
      <c r="H24" s="16" t="s">
        <v>3276</v>
      </c>
      <c r="I24" s="16" t="s">
        <v>3276</v>
      </c>
      <c r="J24" s="16" t="s">
        <v>3276</v>
      </c>
      <c r="K24" s="16" t="s">
        <v>3276</v>
      </c>
      <c r="L24" s="16" t="s">
        <v>3276</v>
      </c>
      <c r="M24" s="16" t="s">
        <v>3276</v>
      </c>
      <c r="N24" s="16" t="s">
        <v>3276</v>
      </c>
      <c r="O24" s="16" t="s">
        <v>3276</v>
      </c>
      <c r="P24" s="16" t="s">
        <v>3276</v>
      </c>
      <c r="Q24" s="16" t="s">
        <v>3276</v>
      </c>
      <c r="R24" s="16" t="s">
        <v>3276</v>
      </c>
      <c r="S24" s="16" t="s">
        <v>3276</v>
      </c>
      <c r="T24" s="16" t="s">
        <v>3276</v>
      </c>
      <c r="U24" s="16" t="s">
        <v>3276</v>
      </c>
      <c r="V24" s="16" t="s">
        <v>3276</v>
      </c>
      <c r="W24" s="16" t="s">
        <v>3276</v>
      </c>
      <c r="X24" s="16" t="s">
        <v>3276</v>
      </c>
      <c r="Y24" s="16" t="s">
        <v>3276</v>
      </c>
      <c r="Z24" s="16" t="s">
        <v>3276</v>
      </c>
      <c r="AA24" s="16" t="s">
        <v>3276</v>
      </c>
      <c r="AB24" s="16" t="s">
        <v>3276</v>
      </c>
      <c r="AC24" s="16" t="s">
        <v>3276</v>
      </c>
      <c r="AD24" s="16" t="s">
        <v>3276</v>
      </c>
      <c r="AE24" s="16" t="s">
        <v>3276</v>
      </c>
      <c r="AF24" s="16" t="s">
        <v>3276</v>
      </c>
      <c r="AG24" s="16" t="s">
        <v>3276</v>
      </c>
      <c r="AH24" s="16" t="s">
        <v>3276</v>
      </c>
      <c r="AI24" s="16" t="s">
        <v>3276</v>
      </c>
    </row>
    <row r="25" spans="1:35" ht="15.75" customHeight="1" x14ac:dyDescent="0.35">
      <c r="D25" s="10"/>
    </row>
    <row r="26" spans="1:35" ht="15.75" customHeight="1" x14ac:dyDescent="0.35">
      <c r="D26" s="10"/>
    </row>
    <row r="27" spans="1:35" ht="15.75" customHeight="1" x14ac:dyDescent="0.35">
      <c r="D27" s="10"/>
      <c r="G27" s="133" t="s">
        <v>3277</v>
      </c>
      <c r="H27" s="127"/>
      <c r="I27" s="127"/>
      <c r="J27" s="128"/>
      <c r="K27" s="134" t="s">
        <v>3278</v>
      </c>
      <c r="L27" s="127"/>
      <c r="M27" s="127"/>
      <c r="N27" s="128"/>
      <c r="Q27" s="135" t="s">
        <v>3250</v>
      </c>
      <c r="R27" s="108"/>
      <c r="S27" s="108"/>
      <c r="T27" s="108"/>
      <c r="U27" s="108"/>
    </row>
    <row r="28" spans="1:35" ht="15.75" customHeight="1" x14ac:dyDescent="0.35">
      <c r="B28" s="29" t="s">
        <v>3279</v>
      </c>
      <c r="C28" s="16" t="s">
        <v>3253</v>
      </c>
      <c r="D28" s="30" t="s">
        <v>3280</v>
      </c>
      <c r="E28" s="16" t="s">
        <v>3254</v>
      </c>
      <c r="G28" s="136" t="s">
        <v>3281</v>
      </c>
      <c r="H28" s="30" t="s">
        <v>3253</v>
      </c>
      <c r="I28" s="30" t="s">
        <v>3280</v>
      </c>
      <c r="J28" s="30" t="s">
        <v>3254</v>
      </c>
      <c r="K28" s="136" t="s">
        <v>3281</v>
      </c>
      <c r="L28" s="30" t="s">
        <v>3253</v>
      </c>
      <c r="M28" s="30" t="s">
        <v>3280</v>
      </c>
      <c r="N28" s="30" t="s">
        <v>3254</v>
      </c>
      <c r="Q28" s="33" t="s">
        <v>3279</v>
      </c>
      <c r="R28" s="30" t="s">
        <v>3253</v>
      </c>
      <c r="S28" s="30" t="s">
        <v>3254</v>
      </c>
      <c r="T28" s="30" t="s">
        <v>3285</v>
      </c>
      <c r="U28" s="30" t="s">
        <v>3256</v>
      </c>
    </row>
    <row r="29" spans="1:35" ht="15.75" customHeight="1" x14ac:dyDescent="0.35">
      <c r="B29" s="16" t="s">
        <v>3282</v>
      </c>
      <c r="C29" s="16">
        <v>21</v>
      </c>
      <c r="D29" s="30">
        <f t="shared" ref="D29:D34" si="0">C29*7</f>
        <v>147</v>
      </c>
      <c r="E29" s="16">
        <f t="shared" ref="E29:E34" si="1">C29*31</f>
        <v>651</v>
      </c>
      <c r="G29" s="137"/>
      <c r="H29" s="32">
        <v>45505</v>
      </c>
      <c r="I29" s="30" t="s">
        <v>3313</v>
      </c>
      <c r="J29" s="30" t="s">
        <v>3312</v>
      </c>
      <c r="K29" s="137"/>
      <c r="L29" s="32">
        <v>45505</v>
      </c>
      <c r="M29" s="30" t="s">
        <v>3313</v>
      </c>
      <c r="N29" s="30" t="s">
        <v>3312</v>
      </c>
      <c r="Q29" s="36" t="s">
        <v>3282</v>
      </c>
      <c r="R29" s="16">
        <v>20</v>
      </c>
      <c r="S29" s="16">
        <v>651</v>
      </c>
      <c r="T29" s="28">
        <f>SUM(T30:T33)</f>
        <v>284</v>
      </c>
      <c r="U29" s="49">
        <f>T29/S29</f>
        <v>0.43625192012288788</v>
      </c>
    </row>
    <row r="30" spans="1:35" ht="15.75" customHeight="1" x14ac:dyDescent="0.35">
      <c r="B30" s="16" t="s">
        <v>64</v>
      </c>
      <c r="C30" s="16">
        <v>6</v>
      </c>
      <c r="D30" s="30">
        <f t="shared" si="0"/>
        <v>42</v>
      </c>
      <c r="E30" s="16">
        <f t="shared" si="1"/>
        <v>186</v>
      </c>
      <c r="G30" s="16" t="s">
        <v>64</v>
      </c>
      <c r="H30" s="16">
        <f>COUNTA(E4:E9)</f>
        <v>4</v>
      </c>
      <c r="I30" s="16">
        <f>COUNTA(J4:P9)</f>
        <v>24</v>
      </c>
      <c r="J30" s="16">
        <f>COUNTA(E4:AI9)</f>
        <v>112</v>
      </c>
      <c r="K30" s="16" t="s">
        <v>64</v>
      </c>
      <c r="L30" s="16">
        <f>COUNTBLANK(E4:E9)</f>
        <v>2</v>
      </c>
      <c r="M30" s="16">
        <f>COUNTBLANK(J4:P9)</f>
        <v>18</v>
      </c>
      <c r="N30" s="35">
        <f>COUNTBLANK(E4:AI9)</f>
        <v>74</v>
      </c>
      <c r="Q30" s="16" t="s">
        <v>64</v>
      </c>
      <c r="R30" s="16">
        <v>6</v>
      </c>
      <c r="S30" s="16">
        <v>186</v>
      </c>
      <c r="T30" s="16">
        <v>112</v>
      </c>
      <c r="U30" s="49">
        <f>T30/S30</f>
        <v>0.60215053763440862</v>
      </c>
    </row>
    <row r="31" spans="1:35" ht="15.75" customHeight="1" x14ac:dyDescent="0.35">
      <c r="B31" s="16" t="s">
        <v>59</v>
      </c>
      <c r="C31" s="16">
        <v>4</v>
      </c>
      <c r="D31" s="30">
        <f t="shared" si="0"/>
        <v>28</v>
      </c>
      <c r="E31" s="16">
        <f t="shared" si="1"/>
        <v>124</v>
      </c>
      <c r="G31" s="16" t="s">
        <v>59</v>
      </c>
      <c r="H31" s="35">
        <f>COUNTA(E10:E13)</f>
        <v>3</v>
      </c>
      <c r="I31" s="16"/>
      <c r="J31" s="16">
        <f>COUNTA(E10:AI13)</f>
        <v>54</v>
      </c>
      <c r="K31" s="16" t="s">
        <v>59</v>
      </c>
      <c r="L31" s="35">
        <f>COUNTBLANK(I10:I14)</f>
        <v>3</v>
      </c>
      <c r="M31" s="16"/>
      <c r="N31" s="16">
        <f>COUNTBLANK(E10:AI13)</f>
        <v>70</v>
      </c>
      <c r="Q31" s="16" t="s">
        <v>59</v>
      </c>
      <c r="R31" s="16">
        <v>4</v>
      </c>
      <c r="S31" s="16">
        <v>124</v>
      </c>
      <c r="T31" s="16">
        <v>54</v>
      </c>
      <c r="U31" s="49">
        <f>T31/S31</f>
        <v>0.43548387096774194</v>
      </c>
    </row>
    <row r="32" spans="1:35" ht="15.75" customHeight="1" x14ac:dyDescent="0.35">
      <c r="B32" s="16" t="s">
        <v>71</v>
      </c>
      <c r="C32" s="16">
        <v>3</v>
      </c>
      <c r="D32" s="30">
        <f t="shared" si="0"/>
        <v>21</v>
      </c>
      <c r="E32" s="16">
        <f t="shared" si="1"/>
        <v>93</v>
      </c>
      <c r="G32" s="16" t="s">
        <v>71</v>
      </c>
      <c r="H32" s="35">
        <f>COUNTA(E14:E16)</f>
        <v>2</v>
      </c>
      <c r="I32" s="16"/>
      <c r="J32" s="16">
        <f>COUNTA(E14:AI16)</f>
        <v>44</v>
      </c>
      <c r="K32" s="16" t="s">
        <v>71</v>
      </c>
      <c r="L32" s="35">
        <f>COUNTBLANK(I14:I16)</f>
        <v>2</v>
      </c>
      <c r="M32" s="16"/>
      <c r="N32" s="16">
        <f>COUNTBLANK(E14:AI16)</f>
        <v>49</v>
      </c>
      <c r="Q32" s="16" t="s">
        <v>71</v>
      </c>
      <c r="R32" s="16">
        <v>3</v>
      </c>
      <c r="S32" s="16">
        <v>93</v>
      </c>
      <c r="T32" s="16">
        <v>44</v>
      </c>
      <c r="U32" s="49">
        <f>T32/S32</f>
        <v>0.4731182795698925</v>
      </c>
    </row>
    <row r="33" spans="2:25" ht="15.75" customHeight="1" x14ac:dyDescent="0.35">
      <c r="B33" s="16" t="s">
        <v>3286</v>
      </c>
      <c r="C33" s="16">
        <v>7</v>
      </c>
      <c r="D33" s="30">
        <f t="shared" si="0"/>
        <v>49</v>
      </c>
      <c r="E33" s="16">
        <f t="shared" si="1"/>
        <v>217</v>
      </c>
      <c r="G33" s="16" t="s">
        <v>3286</v>
      </c>
      <c r="H33" s="35">
        <f>COUNTA(E17:E23)</f>
        <v>1</v>
      </c>
      <c r="I33" s="16"/>
      <c r="J33" s="16">
        <v>74</v>
      </c>
      <c r="K33" s="16" t="s">
        <v>3286</v>
      </c>
      <c r="L33" s="35">
        <f>COUNTBLANK(I17:I23)</f>
        <v>1</v>
      </c>
      <c r="M33" s="16"/>
      <c r="N33" s="16">
        <f>COUNTBLANK(E17:AI23)</f>
        <v>131</v>
      </c>
      <c r="Q33" s="16" t="s">
        <v>3286</v>
      </c>
      <c r="R33" s="16">
        <v>7</v>
      </c>
      <c r="S33" s="16">
        <v>217</v>
      </c>
      <c r="T33" s="16">
        <v>74</v>
      </c>
      <c r="U33" s="49">
        <f>T33/S33</f>
        <v>0.34101382488479265</v>
      </c>
    </row>
    <row r="34" spans="2:25" ht="15.75" customHeight="1" x14ac:dyDescent="0.35">
      <c r="B34" s="16" t="s">
        <v>3287</v>
      </c>
      <c r="C34" s="16">
        <v>1</v>
      </c>
      <c r="D34" s="30">
        <f t="shared" si="0"/>
        <v>7</v>
      </c>
      <c r="E34" s="16">
        <f t="shared" si="1"/>
        <v>31</v>
      </c>
      <c r="G34" s="16" t="s">
        <v>3287</v>
      </c>
      <c r="H34" s="16">
        <f>COUNTA(E24)</f>
        <v>1</v>
      </c>
      <c r="I34" s="16"/>
      <c r="J34" s="16"/>
      <c r="K34" s="16" t="s">
        <v>3287</v>
      </c>
      <c r="L34" s="16">
        <f>COUNTBLANK(I24)</f>
        <v>0</v>
      </c>
      <c r="M34" s="16"/>
      <c r="N34" s="16"/>
    </row>
    <row r="35" spans="2:25" ht="15.75" customHeight="1" x14ac:dyDescent="0.35">
      <c r="D35" s="10"/>
      <c r="H35" s="8"/>
      <c r="I35" s="8"/>
      <c r="J35" s="8"/>
    </row>
    <row r="36" spans="2:25" ht="15.75" customHeight="1" x14ac:dyDescent="0.35">
      <c r="D36" s="10"/>
      <c r="G36" s="8"/>
      <c r="H36" s="8"/>
      <c r="I36" s="8"/>
      <c r="J36" s="8"/>
    </row>
    <row r="37" spans="2:25" ht="15.75" customHeight="1" x14ac:dyDescent="0.35">
      <c r="D37" s="10"/>
      <c r="G37" s="126" t="s">
        <v>3288</v>
      </c>
      <c r="H37" s="127"/>
      <c r="I37" s="127"/>
      <c r="J37" s="128"/>
    </row>
    <row r="38" spans="2:25" ht="15.75" customHeight="1" x14ac:dyDescent="0.35">
      <c r="B38" s="40" t="s">
        <v>3289</v>
      </c>
      <c r="C38" s="40" t="s">
        <v>3290</v>
      </c>
      <c r="D38" s="8"/>
      <c r="G38" s="40" t="s">
        <v>3290</v>
      </c>
      <c r="H38" s="40" t="s">
        <v>3253</v>
      </c>
      <c r="I38" s="40" t="s">
        <v>3280</v>
      </c>
      <c r="J38" s="40" t="s">
        <v>3254</v>
      </c>
      <c r="M38" s="129" t="s">
        <v>3291</v>
      </c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1"/>
    </row>
    <row r="39" spans="2:25" ht="15.75" customHeight="1" x14ac:dyDescent="0.35">
      <c r="B39" s="16" t="s">
        <v>3272</v>
      </c>
      <c r="C39" s="16" t="s">
        <v>3292</v>
      </c>
      <c r="D39" s="10"/>
      <c r="G39" s="16" t="s">
        <v>3292</v>
      </c>
      <c r="H39" s="16"/>
      <c r="I39" s="16"/>
      <c r="J39" s="16">
        <f t="shared" ref="J39:J49" si="2">COUNTIF($E$4:$AI$24,B39)</f>
        <v>11</v>
      </c>
      <c r="M39" s="31" t="s">
        <v>3281</v>
      </c>
      <c r="N39" s="40" t="s">
        <v>3293</v>
      </c>
      <c r="O39" s="40" t="s">
        <v>3292</v>
      </c>
      <c r="P39" s="40" t="s">
        <v>3294</v>
      </c>
      <c r="Q39" s="40" t="s">
        <v>3295</v>
      </c>
      <c r="R39" s="40" t="s">
        <v>3296</v>
      </c>
      <c r="S39" s="40" t="s">
        <v>3297</v>
      </c>
      <c r="T39" s="40" t="s">
        <v>3298</v>
      </c>
      <c r="U39" s="40" t="s">
        <v>3299</v>
      </c>
      <c r="V39" s="40" t="s">
        <v>3300</v>
      </c>
      <c r="W39" s="40" t="s">
        <v>3301</v>
      </c>
      <c r="X39" s="40" t="s">
        <v>3302</v>
      </c>
      <c r="Y39" s="29" t="s">
        <v>3303</v>
      </c>
    </row>
    <row r="40" spans="2:25" ht="15.75" customHeight="1" x14ac:dyDescent="0.35">
      <c r="B40" s="16" t="s">
        <v>3273</v>
      </c>
      <c r="C40" s="16" t="s">
        <v>3294</v>
      </c>
      <c r="D40" s="10"/>
      <c r="G40" s="16" t="s">
        <v>3294</v>
      </c>
      <c r="H40" s="16"/>
      <c r="I40" s="16"/>
      <c r="J40" s="16">
        <f t="shared" si="2"/>
        <v>24</v>
      </c>
      <c r="M40" s="16" t="s">
        <v>64</v>
      </c>
      <c r="N40" s="29">
        <v>112</v>
      </c>
      <c r="O40" s="37">
        <f t="shared" ref="O40:Y40" si="3">COUNTIF($E$4:$AI$9,O44)</f>
        <v>7</v>
      </c>
      <c r="P40" s="37">
        <f t="shared" si="3"/>
        <v>14</v>
      </c>
      <c r="Q40" s="37">
        <f t="shared" si="3"/>
        <v>3</v>
      </c>
      <c r="R40" s="37">
        <f t="shared" si="3"/>
        <v>88</v>
      </c>
      <c r="S40" s="37">
        <f t="shared" si="3"/>
        <v>0</v>
      </c>
      <c r="T40" s="37">
        <f t="shared" si="3"/>
        <v>0</v>
      </c>
      <c r="U40" s="37">
        <f t="shared" si="3"/>
        <v>0</v>
      </c>
      <c r="V40" s="37">
        <f t="shared" si="3"/>
        <v>0</v>
      </c>
      <c r="W40" s="37">
        <f t="shared" si="3"/>
        <v>0</v>
      </c>
      <c r="X40" s="37">
        <f t="shared" si="3"/>
        <v>0</v>
      </c>
      <c r="Y40" s="37">
        <f t="shared" si="3"/>
        <v>0</v>
      </c>
    </row>
    <row r="41" spans="2:25" ht="15.75" customHeight="1" x14ac:dyDescent="0.35">
      <c r="B41" s="16" t="s">
        <v>3275</v>
      </c>
      <c r="C41" s="16" t="s">
        <v>3295</v>
      </c>
      <c r="D41" s="10"/>
      <c r="G41" s="16" t="s">
        <v>3295</v>
      </c>
      <c r="H41" s="16"/>
      <c r="I41" s="16"/>
      <c r="J41" s="16">
        <f t="shared" si="2"/>
        <v>15</v>
      </c>
      <c r="M41" s="16" t="s">
        <v>59</v>
      </c>
      <c r="N41" s="29">
        <v>54</v>
      </c>
      <c r="O41" s="37">
        <f t="shared" ref="O41:Y41" si="4">COUNTIF($E$10:$AI$13,O44)</f>
        <v>1</v>
      </c>
      <c r="P41" s="37">
        <f t="shared" si="4"/>
        <v>2</v>
      </c>
      <c r="Q41" s="37">
        <f t="shared" si="4"/>
        <v>7</v>
      </c>
      <c r="R41" s="37">
        <f t="shared" si="4"/>
        <v>44</v>
      </c>
      <c r="S41" s="37">
        <f t="shared" si="4"/>
        <v>0</v>
      </c>
      <c r="T41" s="37">
        <f t="shared" si="4"/>
        <v>0</v>
      </c>
      <c r="U41" s="37">
        <f t="shared" si="4"/>
        <v>0</v>
      </c>
      <c r="V41" s="37">
        <f t="shared" si="4"/>
        <v>0</v>
      </c>
      <c r="W41" s="37">
        <f t="shared" si="4"/>
        <v>0</v>
      </c>
      <c r="X41" s="37">
        <f t="shared" si="4"/>
        <v>0</v>
      </c>
      <c r="Y41" s="37">
        <f t="shared" si="4"/>
        <v>0</v>
      </c>
    </row>
    <row r="42" spans="2:25" ht="15.75" customHeight="1" x14ac:dyDescent="0.35">
      <c r="B42" s="16" t="s">
        <v>41</v>
      </c>
      <c r="C42" s="16" t="s">
        <v>3296</v>
      </c>
      <c r="D42" s="10"/>
      <c r="G42" s="16" t="s">
        <v>3296</v>
      </c>
      <c r="H42" s="16"/>
      <c r="I42" s="16"/>
      <c r="J42" s="16">
        <f t="shared" si="2"/>
        <v>219</v>
      </c>
      <c r="M42" s="16" t="s">
        <v>71</v>
      </c>
      <c r="N42" s="29">
        <v>44</v>
      </c>
      <c r="O42" s="37">
        <f t="shared" ref="O42:Y42" si="5">COUNTIF($E$14:$AI$16,O44)</f>
        <v>0</v>
      </c>
      <c r="P42" s="37">
        <f t="shared" si="5"/>
        <v>4</v>
      </c>
      <c r="Q42" s="37">
        <f t="shared" si="5"/>
        <v>0</v>
      </c>
      <c r="R42" s="37">
        <f t="shared" si="5"/>
        <v>35</v>
      </c>
      <c r="S42" s="37">
        <f t="shared" si="5"/>
        <v>0</v>
      </c>
      <c r="T42" s="37">
        <f t="shared" si="5"/>
        <v>0</v>
      </c>
      <c r="U42" s="37">
        <f t="shared" si="5"/>
        <v>0</v>
      </c>
      <c r="V42" s="37">
        <f t="shared" si="5"/>
        <v>2</v>
      </c>
      <c r="W42" s="37">
        <f t="shared" si="5"/>
        <v>0</v>
      </c>
      <c r="X42" s="37">
        <f t="shared" si="5"/>
        <v>0</v>
      </c>
      <c r="Y42" s="37">
        <f t="shared" si="5"/>
        <v>3</v>
      </c>
    </row>
    <row r="43" spans="2:25" ht="15.75" customHeight="1" x14ac:dyDescent="0.35">
      <c r="B43" s="16" t="s">
        <v>3274</v>
      </c>
      <c r="C43" s="16" t="s">
        <v>3297</v>
      </c>
      <c r="D43" s="10"/>
      <c r="G43" s="16" t="s">
        <v>3297</v>
      </c>
      <c r="H43" s="16"/>
      <c r="I43" s="16"/>
      <c r="J43" s="16">
        <f t="shared" si="2"/>
        <v>0</v>
      </c>
      <c r="M43" s="16" t="s">
        <v>3286</v>
      </c>
      <c r="N43" s="29">
        <v>86</v>
      </c>
      <c r="O43" s="37">
        <f t="shared" ref="O43:Y43" si="6">COUNTIF($E$17:$AI$23,O44)</f>
        <v>3</v>
      </c>
      <c r="P43" s="37">
        <f t="shared" si="6"/>
        <v>4</v>
      </c>
      <c r="Q43" s="37">
        <f t="shared" si="6"/>
        <v>5</v>
      </c>
      <c r="R43" s="37">
        <f t="shared" si="6"/>
        <v>52</v>
      </c>
      <c r="S43" s="37">
        <f t="shared" si="6"/>
        <v>0</v>
      </c>
      <c r="T43" s="37">
        <f t="shared" si="6"/>
        <v>0</v>
      </c>
      <c r="U43" s="37">
        <f t="shared" si="6"/>
        <v>0</v>
      </c>
      <c r="V43" s="37">
        <f t="shared" si="6"/>
        <v>10</v>
      </c>
      <c r="W43" s="37">
        <f t="shared" si="6"/>
        <v>0</v>
      </c>
      <c r="X43" s="37">
        <f t="shared" si="6"/>
        <v>0</v>
      </c>
      <c r="Y43" s="37">
        <f t="shared" si="6"/>
        <v>0</v>
      </c>
    </row>
    <row r="44" spans="2:25" ht="15.75" customHeight="1" x14ac:dyDescent="0.35">
      <c r="B44" s="16" t="s">
        <v>3304</v>
      </c>
      <c r="C44" s="16" t="s">
        <v>3298</v>
      </c>
      <c r="D44" s="10"/>
      <c r="G44" s="16" t="s">
        <v>3298</v>
      </c>
      <c r="H44" s="16"/>
      <c r="I44" s="16"/>
      <c r="J44" s="16">
        <f t="shared" si="2"/>
        <v>0</v>
      </c>
      <c r="O44" s="28" t="s">
        <v>3272</v>
      </c>
      <c r="P44" s="28" t="s">
        <v>3273</v>
      </c>
      <c r="Q44" s="28" t="s">
        <v>3275</v>
      </c>
      <c r="R44" s="28" t="s">
        <v>41</v>
      </c>
      <c r="S44" s="28" t="s">
        <v>3274</v>
      </c>
      <c r="T44" s="28" t="s">
        <v>3304</v>
      </c>
      <c r="U44" s="28" t="s">
        <v>3305</v>
      </c>
      <c r="V44" s="28" t="s">
        <v>3271</v>
      </c>
      <c r="W44" s="28" t="s">
        <v>3306</v>
      </c>
      <c r="X44" s="28" t="s">
        <v>53</v>
      </c>
      <c r="Y44" s="28" t="s">
        <v>3307</v>
      </c>
    </row>
    <row r="45" spans="2:25" ht="15.75" customHeight="1" x14ac:dyDescent="0.35">
      <c r="B45" s="16" t="s">
        <v>3305</v>
      </c>
      <c r="C45" s="16" t="s">
        <v>3299</v>
      </c>
      <c r="D45" s="10"/>
      <c r="G45" s="16" t="s">
        <v>3299</v>
      </c>
      <c r="H45" s="16"/>
      <c r="I45" s="16"/>
      <c r="J45" s="16">
        <f t="shared" si="2"/>
        <v>0</v>
      </c>
    </row>
    <row r="46" spans="2:25" ht="15.75" customHeight="1" x14ac:dyDescent="0.35">
      <c r="B46" s="16" t="s">
        <v>3271</v>
      </c>
      <c r="C46" s="16" t="s">
        <v>3300</v>
      </c>
      <c r="D46" s="10"/>
      <c r="G46" s="16" t="s">
        <v>3300</v>
      </c>
      <c r="H46" s="16"/>
      <c r="I46" s="16"/>
      <c r="J46" s="16">
        <f t="shared" si="2"/>
        <v>12</v>
      </c>
    </row>
    <row r="47" spans="2:25" ht="15.75" customHeight="1" x14ac:dyDescent="0.35">
      <c r="B47" s="16" t="s">
        <v>3306</v>
      </c>
      <c r="C47" s="16" t="s">
        <v>3301</v>
      </c>
      <c r="D47" s="10"/>
      <c r="G47" s="16" t="s">
        <v>3301</v>
      </c>
      <c r="H47" s="16"/>
      <c r="I47" s="16"/>
      <c r="J47" s="16">
        <f t="shared" si="2"/>
        <v>0</v>
      </c>
    </row>
    <row r="48" spans="2:25" ht="15.75" customHeight="1" x14ac:dyDescent="0.35">
      <c r="B48" s="16" t="s">
        <v>53</v>
      </c>
      <c r="C48" s="16" t="s">
        <v>3302</v>
      </c>
      <c r="D48" s="10"/>
      <c r="G48" s="16" t="s">
        <v>3302</v>
      </c>
      <c r="H48" s="16"/>
      <c r="I48" s="16"/>
      <c r="J48" s="16">
        <f t="shared" si="2"/>
        <v>0</v>
      </c>
    </row>
    <row r="49" spans="2:10" ht="15.75" customHeight="1" x14ac:dyDescent="0.35">
      <c r="B49" s="16" t="s">
        <v>3307</v>
      </c>
      <c r="C49" s="16" t="s">
        <v>3303</v>
      </c>
      <c r="D49" s="10"/>
      <c r="G49" s="16" t="s">
        <v>3303</v>
      </c>
      <c r="H49" s="16"/>
      <c r="I49" s="16"/>
      <c r="J49" s="16">
        <f t="shared" si="2"/>
        <v>3</v>
      </c>
    </row>
    <row r="50" spans="2:10" ht="15.75" customHeight="1" x14ac:dyDescent="0.35">
      <c r="D50" s="10"/>
    </row>
    <row r="51" spans="2:10" ht="15.75" customHeight="1" x14ac:dyDescent="0.35">
      <c r="D51" s="10"/>
    </row>
    <row r="52" spans="2:10" ht="15.75" customHeight="1" x14ac:dyDescent="0.35">
      <c r="D52" s="10"/>
    </row>
    <row r="53" spans="2:10" ht="15.75" customHeight="1" x14ac:dyDescent="0.35">
      <c r="D53" s="10"/>
    </row>
    <row r="54" spans="2:10" ht="15.75" customHeight="1" x14ac:dyDescent="0.35">
      <c r="D54" s="10"/>
    </row>
    <row r="55" spans="2:10" ht="15.75" customHeight="1" x14ac:dyDescent="0.35">
      <c r="D55" s="10"/>
    </row>
    <row r="56" spans="2:10" ht="15.75" customHeight="1" x14ac:dyDescent="0.35">
      <c r="D56" s="10"/>
    </row>
    <row r="57" spans="2:10" ht="15.75" customHeight="1" x14ac:dyDescent="0.35">
      <c r="D57" s="10"/>
    </row>
    <row r="58" spans="2:10" ht="15.75" customHeight="1" x14ac:dyDescent="0.35">
      <c r="D58" s="10"/>
    </row>
    <row r="59" spans="2:10" ht="15.75" customHeight="1" x14ac:dyDescent="0.35">
      <c r="D59" s="10"/>
    </row>
    <row r="60" spans="2:10" ht="15.75" customHeight="1" x14ac:dyDescent="0.35">
      <c r="D60" s="10"/>
    </row>
    <row r="61" spans="2:10" ht="15.75" customHeight="1" x14ac:dyDescent="0.35">
      <c r="D61" s="10"/>
    </row>
    <row r="62" spans="2:10" ht="15.75" customHeight="1" x14ac:dyDescent="0.35">
      <c r="D62" s="10"/>
    </row>
    <row r="63" spans="2:10" ht="15.75" customHeight="1" x14ac:dyDescent="0.35">
      <c r="D63" s="10"/>
    </row>
    <row r="64" spans="2:10" ht="15.75" customHeight="1" x14ac:dyDescent="0.35">
      <c r="D64" s="10"/>
    </row>
    <row r="65" spans="4:4" ht="15.75" customHeight="1" x14ac:dyDescent="0.35">
      <c r="D65" s="10"/>
    </row>
    <row r="66" spans="4:4" ht="15.75" customHeight="1" x14ac:dyDescent="0.35">
      <c r="D66" s="10"/>
    </row>
    <row r="67" spans="4:4" ht="15.75" customHeight="1" x14ac:dyDescent="0.35">
      <c r="D67" s="10"/>
    </row>
    <row r="68" spans="4:4" ht="15.75" customHeight="1" x14ac:dyDescent="0.35">
      <c r="D68" s="10"/>
    </row>
    <row r="69" spans="4:4" ht="15.75" customHeight="1" x14ac:dyDescent="0.35">
      <c r="D69" s="10"/>
    </row>
    <row r="70" spans="4:4" ht="15.75" customHeight="1" x14ac:dyDescent="0.35">
      <c r="D70" s="10"/>
    </row>
    <row r="71" spans="4:4" ht="15.75" customHeight="1" x14ac:dyDescent="0.35">
      <c r="D71" s="10"/>
    </row>
    <row r="72" spans="4:4" ht="15.75" customHeight="1" x14ac:dyDescent="0.35">
      <c r="D72" s="10"/>
    </row>
    <row r="73" spans="4:4" ht="15.75" customHeight="1" x14ac:dyDescent="0.35">
      <c r="D73" s="10"/>
    </row>
    <row r="74" spans="4:4" ht="15.75" customHeight="1" x14ac:dyDescent="0.35">
      <c r="D74" s="10"/>
    </row>
    <row r="75" spans="4:4" ht="15.75" customHeight="1" x14ac:dyDescent="0.35">
      <c r="D75" s="10"/>
    </row>
    <row r="76" spans="4:4" ht="15.75" customHeight="1" x14ac:dyDescent="0.35">
      <c r="D76" s="10"/>
    </row>
    <row r="77" spans="4:4" ht="15.75" customHeight="1" x14ac:dyDescent="0.35">
      <c r="D77" s="10"/>
    </row>
    <row r="78" spans="4:4" ht="15.75" customHeight="1" x14ac:dyDescent="0.35">
      <c r="D78" s="10"/>
    </row>
    <row r="79" spans="4:4" ht="15.75" customHeight="1" x14ac:dyDescent="0.35">
      <c r="D79" s="10"/>
    </row>
    <row r="80" spans="4:4" ht="15.75" customHeight="1" x14ac:dyDescent="0.35">
      <c r="D80" s="10"/>
    </row>
    <row r="81" spans="4:4" ht="15.75" customHeight="1" x14ac:dyDescent="0.35">
      <c r="D81" s="10"/>
    </row>
    <row r="82" spans="4:4" ht="15.75" customHeight="1" x14ac:dyDescent="0.35">
      <c r="D82" s="10"/>
    </row>
    <row r="83" spans="4:4" ht="15.75" customHeight="1" x14ac:dyDescent="0.35">
      <c r="D83" s="10"/>
    </row>
    <row r="84" spans="4:4" ht="15.75" customHeight="1" x14ac:dyDescent="0.35">
      <c r="D84" s="10"/>
    </row>
    <row r="85" spans="4:4" ht="15.75" customHeight="1" x14ac:dyDescent="0.35">
      <c r="D85" s="10"/>
    </row>
    <row r="86" spans="4:4" ht="15.75" customHeight="1" x14ac:dyDescent="0.35">
      <c r="D86" s="10"/>
    </row>
    <row r="87" spans="4:4" ht="15.75" customHeight="1" x14ac:dyDescent="0.35">
      <c r="D87" s="10"/>
    </row>
    <row r="88" spans="4:4" ht="15.75" customHeight="1" x14ac:dyDescent="0.35">
      <c r="D88" s="10"/>
    </row>
    <row r="89" spans="4:4" ht="15.75" customHeight="1" x14ac:dyDescent="0.35">
      <c r="D89" s="10"/>
    </row>
    <row r="90" spans="4:4" ht="15.75" customHeight="1" x14ac:dyDescent="0.35">
      <c r="D90" s="10"/>
    </row>
    <row r="91" spans="4:4" ht="15.75" customHeight="1" x14ac:dyDescent="0.35">
      <c r="D91" s="10"/>
    </row>
    <row r="92" spans="4:4" ht="15.75" customHeight="1" x14ac:dyDescent="0.35">
      <c r="D92" s="10"/>
    </row>
    <row r="93" spans="4:4" ht="15.75" customHeight="1" x14ac:dyDescent="0.35">
      <c r="D93" s="10"/>
    </row>
    <row r="94" spans="4:4" ht="15.75" customHeight="1" x14ac:dyDescent="0.35">
      <c r="D94" s="10"/>
    </row>
    <row r="95" spans="4:4" ht="15.75" customHeight="1" x14ac:dyDescent="0.35">
      <c r="D95" s="10"/>
    </row>
    <row r="96" spans="4:4" ht="15.75" customHeight="1" x14ac:dyDescent="0.35">
      <c r="D96" s="10"/>
    </row>
    <row r="97" spans="4:4" ht="15.75" customHeight="1" x14ac:dyDescent="0.35">
      <c r="D97" s="10"/>
    </row>
    <row r="98" spans="4:4" ht="15.75" customHeight="1" x14ac:dyDescent="0.35">
      <c r="D98" s="10"/>
    </row>
    <row r="99" spans="4:4" ht="15.75" customHeight="1" x14ac:dyDescent="0.35">
      <c r="D99" s="10"/>
    </row>
    <row r="100" spans="4:4" ht="15.75" customHeight="1" x14ac:dyDescent="0.35">
      <c r="D100" s="10"/>
    </row>
    <row r="101" spans="4:4" ht="15.75" customHeight="1" x14ac:dyDescent="0.35">
      <c r="D101" s="10"/>
    </row>
    <row r="102" spans="4:4" ht="15.75" customHeight="1" x14ac:dyDescent="0.35">
      <c r="D102" s="10"/>
    </row>
    <row r="103" spans="4:4" ht="15.75" customHeight="1" x14ac:dyDescent="0.35">
      <c r="D103" s="10"/>
    </row>
    <row r="104" spans="4:4" ht="15.75" customHeight="1" x14ac:dyDescent="0.35">
      <c r="D104" s="10"/>
    </row>
    <row r="105" spans="4:4" ht="15.75" customHeight="1" x14ac:dyDescent="0.35">
      <c r="D105" s="10"/>
    </row>
    <row r="106" spans="4:4" ht="15.75" customHeight="1" x14ac:dyDescent="0.35">
      <c r="D106" s="10"/>
    </row>
    <row r="107" spans="4:4" ht="15.75" customHeight="1" x14ac:dyDescent="0.35">
      <c r="D107" s="10"/>
    </row>
    <row r="108" spans="4:4" ht="15.75" customHeight="1" x14ac:dyDescent="0.35">
      <c r="D108" s="10"/>
    </row>
    <row r="109" spans="4:4" ht="15.75" customHeight="1" x14ac:dyDescent="0.35">
      <c r="D109" s="10"/>
    </row>
    <row r="110" spans="4:4" ht="15.75" customHeight="1" x14ac:dyDescent="0.35">
      <c r="D110" s="10"/>
    </row>
    <row r="111" spans="4:4" ht="15.75" customHeight="1" x14ac:dyDescent="0.35">
      <c r="D111" s="10"/>
    </row>
    <row r="112" spans="4:4" ht="15.75" customHeight="1" x14ac:dyDescent="0.35">
      <c r="D112" s="10"/>
    </row>
    <row r="113" spans="4:4" ht="15.75" customHeight="1" x14ac:dyDescent="0.35">
      <c r="D113" s="10"/>
    </row>
    <row r="114" spans="4:4" ht="15.75" customHeight="1" x14ac:dyDescent="0.35">
      <c r="D114" s="10"/>
    </row>
    <row r="115" spans="4:4" ht="15.75" customHeight="1" x14ac:dyDescent="0.35">
      <c r="D115" s="10"/>
    </row>
    <row r="116" spans="4:4" ht="15.75" customHeight="1" x14ac:dyDescent="0.35">
      <c r="D116" s="10"/>
    </row>
    <row r="117" spans="4:4" ht="15.75" customHeight="1" x14ac:dyDescent="0.35">
      <c r="D117" s="10"/>
    </row>
    <row r="118" spans="4:4" ht="15.75" customHeight="1" x14ac:dyDescent="0.35">
      <c r="D118" s="10"/>
    </row>
    <row r="119" spans="4:4" ht="15.75" customHeight="1" x14ac:dyDescent="0.35">
      <c r="D119" s="10"/>
    </row>
    <row r="120" spans="4:4" ht="15.75" customHeight="1" x14ac:dyDescent="0.35">
      <c r="D120" s="10"/>
    </row>
    <row r="121" spans="4:4" ht="15.75" customHeight="1" x14ac:dyDescent="0.35">
      <c r="D121" s="10"/>
    </row>
    <row r="122" spans="4:4" ht="15.75" customHeight="1" x14ac:dyDescent="0.35">
      <c r="D122" s="10"/>
    </row>
    <row r="123" spans="4:4" ht="15.75" customHeight="1" x14ac:dyDescent="0.35">
      <c r="D123" s="10"/>
    </row>
    <row r="124" spans="4:4" ht="15.75" customHeight="1" x14ac:dyDescent="0.35">
      <c r="D124" s="10"/>
    </row>
    <row r="125" spans="4:4" ht="15.75" customHeight="1" x14ac:dyDescent="0.35">
      <c r="D125" s="10"/>
    </row>
    <row r="126" spans="4:4" ht="15.75" customHeight="1" x14ac:dyDescent="0.35">
      <c r="D126" s="10"/>
    </row>
    <row r="127" spans="4:4" ht="15.75" customHeight="1" x14ac:dyDescent="0.35">
      <c r="D127" s="10"/>
    </row>
    <row r="128" spans="4:4" ht="15.75" customHeight="1" x14ac:dyDescent="0.35">
      <c r="D128" s="10"/>
    </row>
    <row r="129" spans="4:4" ht="15.75" customHeight="1" x14ac:dyDescent="0.35">
      <c r="D129" s="10"/>
    </row>
    <row r="130" spans="4:4" ht="15.75" customHeight="1" x14ac:dyDescent="0.35">
      <c r="D130" s="10"/>
    </row>
    <row r="131" spans="4:4" ht="15.75" customHeight="1" x14ac:dyDescent="0.35">
      <c r="D131" s="10"/>
    </row>
    <row r="132" spans="4:4" ht="15.75" customHeight="1" x14ac:dyDescent="0.35">
      <c r="D132" s="10"/>
    </row>
    <row r="133" spans="4:4" ht="15.75" customHeight="1" x14ac:dyDescent="0.35">
      <c r="D133" s="10"/>
    </row>
    <row r="134" spans="4:4" ht="15.75" customHeight="1" x14ac:dyDescent="0.35">
      <c r="D134" s="10"/>
    </row>
    <row r="135" spans="4:4" ht="15.75" customHeight="1" x14ac:dyDescent="0.35">
      <c r="D135" s="10"/>
    </row>
    <row r="136" spans="4:4" ht="15.75" customHeight="1" x14ac:dyDescent="0.35">
      <c r="D136" s="10"/>
    </row>
    <row r="137" spans="4:4" ht="15.75" customHeight="1" x14ac:dyDescent="0.35">
      <c r="D137" s="10"/>
    </row>
    <row r="138" spans="4:4" ht="15.75" customHeight="1" x14ac:dyDescent="0.35">
      <c r="D138" s="10"/>
    </row>
    <row r="139" spans="4:4" ht="15.75" customHeight="1" x14ac:dyDescent="0.35">
      <c r="D139" s="10"/>
    </row>
    <row r="140" spans="4:4" ht="15.75" customHeight="1" x14ac:dyDescent="0.35">
      <c r="D140" s="10"/>
    </row>
    <row r="141" spans="4:4" ht="15.75" customHeight="1" x14ac:dyDescent="0.35">
      <c r="D141" s="10"/>
    </row>
    <row r="142" spans="4:4" ht="15.75" customHeight="1" x14ac:dyDescent="0.35">
      <c r="D142" s="10"/>
    </row>
    <row r="143" spans="4:4" ht="15.75" customHeight="1" x14ac:dyDescent="0.35">
      <c r="D143" s="10"/>
    </row>
    <row r="144" spans="4:4" ht="15.75" customHeight="1" x14ac:dyDescent="0.35">
      <c r="D144" s="10"/>
    </row>
    <row r="145" spans="4:4" ht="15.75" customHeight="1" x14ac:dyDescent="0.35">
      <c r="D145" s="10"/>
    </row>
    <row r="146" spans="4:4" ht="15.75" customHeight="1" x14ac:dyDescent="0.35">
      <c r="D146" s="10"/>
    </row>
    <row r="147" spans="4:4" ht="15.75" customHeight="1" x14ac:dyDescent="0.35">
      <c r="D147" s="10"/>
    </row>
    <row r="148" spans="4:4" ht="15.75" customHeight="1" x14ac:dyDescent="0.35">
      <c r="D148" s="10"/>
    </row>
    <row r="149" spans="4:4" ht="15.75" customHeight="1" x14ac:dyDescent="0.35">
      <c r="D149" s="10"/>
    </row>
    <row r="150" spans="4:4" ht="15.75" customHeight="1" x14ac:dyDescent="0.35">
      <c r="D150" s="10"/>
    </row>
    <row r="151" spans="4:4" ht="15.75" customHeight="1" x14ac:dyDescent="0.35">
      <c r="D151" s="10"/>
    </row>
    <row r="152" spans="4:4" ht="15.75" customHeight="1" x14ac:dyDescent="0.35">
      <c r="D152" s="10"/>
    </row>
    <row r="153" spans="4:4" ht="15.75" customHeight="1" x14ac:dyDescent="0.35">
      <c r="D153" s="10"/>
    </row>
    <row r="154" spans="4:4" ht="15.75" customHeight="1" x14ac:dyDescent="0.35">
      <c r="D154" s="10"/>
    </row>
    <row r="155" spans="4:4" ht="15.75" customHeight="1" x14ac:dyDescent="0.35">
      <c r="D155" s="10"/>
    </row>
    <row r="156" spans="4:4" ht="15.75" customHeight="1" x14ac:dyDescent="0.35">
      <c r="D156" s="10"/>
    </row>
    <row r="157" spans="4:4" ht="15.75" customHeight="1" x14ac:dyDescent="0.35">
      <c r="D157" s="10"/>
    </row>
    <row r="158" spans="4:4" ht="15.75" customHeight="1" x14ac:dyDescent="0.35">
      <c r="D158" s="10"/>
    </row>
    <row r="159" spans="4:4" ht="15.75" customHeight="1" x14ac:dyDescent="0.35">
      <c r="D159" s="10"/>
    </row>
    <row r="160" spans="4:4" ht="15.75" customHeight="1" x14ac:dyDescent="0.35">
      <c r="D160" s="10"/>
    </row>
    <row r="161" spans="4:4" ht="15.75" customHeight="1" x14ac:dyDescent="0.35">
      <c r="D161" s="10"/>
    </row>
    <row r="162" spans="4:4" ht="15.75" customHeight="1" x14ac:dyDescent="0.35">
      <c r="D162" s="10"/>
    </row>
    <row r="163" spans="4:4" ht="15.75" customHeight="1" x14ac:dyDescent="0.35">
      <c r="D163" s="10"/>
    </row>
    <row r="164" spans="4:4" ht="15.75" customHeight="1" x14ac:dyDescent="0.35">
      <c r="D164" s="10"/>
    </row>
    <row r="165" spans="4:4" ht="15.75" customHeight="1" x14ac:dyDescent="0.35">
      <c r="D165" s="10"/>
    </row>
    <row r="166" spans="4:4" ht="15.75" customHeight="1" x14ac:dyDescent="0.35">
      <c r="D166" s="10"/>
    </row>
    <row r="167" spans="4:4" ht="15.75" customHeight="1" x14ac:dyDescent="0.35">
      <c r="D167" s="10"/>
    </row>
    <row r="168" spans="4:4" ht="15.75" customHeight="1" x14ac:dyDescent="0.35">
      <c r="D168" s="10"/>
    </row>
    <row r="169" spans="4:4" ht="15.75" customHeight="1" x14ac:dyDescent="0.35">
      <c r="D169" s="10"/>
    </row>
    <row r="170" spans="4:4" ht="15.75" customHeight="1" x14ac:dyDescent="0.35">
      <c r="D170" s="10"/>
    </row>
    <row r="171" spans="4:4" ht="15.75" customHeight="1" x14ac:dyDescent="0.35">
      <c r="D171" s="10"/>
    </row>
    <row r="172" spans="4:4" ht="15.75" customHeight="1" x14ac:dyDescent="0.35">
      <c r="D172" s="10"/>
    </row>
    <row r="173" spans="4:4" ht="15.75" customHeight="1" x14ac:dyDescent="0.35">
      <c r="D173" s="10"/>
    </row>
    <row r="174" spans="4:4" ht="15.75" customHeight="1" x14ac:dyDescent="0.35">
      <c r="D174" s="10"/>
    </row>
    <row r="175" spans="4:4" ht="15.75" customHeight="1" x14ac:dyDescent="0.35">
      <c r="D175" s="10"/>
    </row>
    <row r="176" spans="4:4" ht="15.75" customHeight="1" x14ac:dyDescent="0.35">
      <c r="D176" s="10"/>
    </row>
    <row r="177" spans="4:4" ht="15.75" customHeight="1" x14ac:dyDescent="0.35">
      <c r="D177" s="10"/>
    </row>
    <row r="178" spans="4:4" ht="15.75" customHeight="1" x14ac:dyDescent="0.35">
      <c r="D178" s="10"/>
    </row>
    <row r="179" spans="4:4" ht="15.75" customHeight="1" x14ac:dyDescent="0.35">
      <c r="D179" s="10"/>
    </row>
    <row r="180" spans="4:4" ht="15.75" customHeight="1" x14ac:dyDescent="0.35">
      <c r="D180" s="10"/>
    </row>
    <row r="181" spans="4:4" ht="15.75" customHeight="1" x14ac:dyDescent="0.35">
      <c r="D181" s="10"/>
    </row>
    <row r="182" spans="4:4" ht="15.75" customHeight="1" x14ac:dyDescent="0.35">
      <c r="D182" s="10"/>
    </row>
    <row r="183" spans="4:4" ht="15.75" customHeight="1" x14ac:dyDescent="0.35">
      <c r="D183" s="10"/>
    </row>
    <row r="184" spans="4:4" ht="15.75" customHeight="1" x14ac:dyDescent="0.35">
      <c r="D184" s="10"/>
    </row>
    <row r="185" spans="4:4" ht="15.75" customHeight="1" x14ac:dyDescent="0.35">
      <c r="D185" s="10"/>
    </row>
    <row r="186" spans="4:4" ht="15.75" customHeight="1" x14ac:dyDescent="0.35">
      <c r="D186" s="10"/>
    </row>
    <row r="187" spans="4:4" ht="15.75" customHeight="1" x14ac:dyDescent="0.35">
      <c r="D187" s="10"/>
    </row>
    <row r="188" spans="4:4" ht="15.75" customHeight="1" x14ac:dyDescent="0.35">
      <c r="D188" s="10"/>
    </row>
    <row r="189" spans="4:4" ht="15.75" customHeight="1" x14ac:dyDescent="0.35">
      <c r="D189" s="10"/>
    </row>
    <row r="190" spans="4:4" ht="15.75" customHeight="1" x14ac:dyDescent="0.35">
      <c r="D190" s="10"/>
    </row>
    <row r="191" spans="4:4" ht="15.75" customHeight="1" x14ac:dyDescent="0.35">
      <c r="D191" s="10"/>
    </row>
    <row r="192" spans="4:4" ht="15.75" customHeight="1" x14ac:dyDescent="0.35">
      <c r="D192" s="10"/>
    </row>
    <row r="193" spans="4:4" ht="15.75" customHeight="1" x14ac:dyDescent="0.35">
      <c r="D193" s="10"/>
    </row>
    <row r="194" spans="4:4" ht="15.75" customHeight="1" x14ac:dyDescent="0.35">
      <c r="D194" s="10"/>
    </row>
    <row r="195" spans="4:4" ht="15.75" customHeight="1" x14ac:dyDescent="0.35">
      <c r="D195" s="10"/>
    </row>
    <row r="196" spans="4:4" ht="15.75" customHeight="1" x14ac:dyDescent="0.35">
      <c r="D196" s="10"/>
    </row>
    <row r="197" spans="4:4" ht="15.75" customHeight="1" x14ac:dyDescent="0.35">
      <c r="D197" s="10"/>
    </row>
    <row r="198" spans="4:4" ht="15.75" customHeight="1" x14ac:dyDescent="0.35">
      <c r="D198" s="10"/>
    </row>
    <row r="199" spans="4:4" ht="15.75" customHeight="1" x14ac:dyDescent="0.35">
      <c r="D199" s="10"/>
    </row>
    <row r="200" spans="4:4" ht="15.75" customHeight="1" x14ac:dyDescent="0.35">
      <c r="D200" s="10"/>
    </row>
    <row r="201" spans="4:4" ht="15.75" customHeight="1" x14ac:dyDescent="0.35">
      <c r="D201" s="10"/>
    </row>
    <row r="202" spans="4:4" ht="15.75" customHeight="1" x14ac:dyDescent="0.35">
      <c r="D202" s="10"/>
    </row>
    <row r="203" spans="4:4" ht="15.75" customHeight="1" x14ac:dyDescent="0.35">
      <c r="D203" s="10"/>
    </row>
    <row r="204" spans="4:4" ht="15.75" customHeight="1" x14ac:dyDescent="0.35">
      <c r="D204" s="10"/>
    </row>
    <row r="205" spans="4:4" ht="15.75" customHeight="1" x14ac:dyDescent="0.35">
      <c r="D205" s="10"/>
    </row>
    <row r="206" spans="4:4" ht="15.75" customHeight="1" x14ac:dyDescent="0.35">
      <c r="D206" s="10"/>
    </row>
    <row r="207" spans="4:4" ht="15.75" customHeight="1" x14ac:dyDescent="0.35">
      <c r="D207" s="10"/>
    </row>
    <row r="208" spans="4:4" ht="15.75" customHeight="1" x14ac:dyDescent="0.35">
      <c r="D208" s="10"/>
    </row>
    <row r="209" spans="4:4" ht="15.75" customHeight="1" x14ac:dyDescent="0.35">
      <c r="D209" s="10"/>
    </row>
    <row r="210" spans="4:4" ht="15.75" customHeight="1" x14ac:dyDescent="0.35">
      <c r="D210" s="10"/>
    </row>
    <row r="211" spans="4:4" ht="15.75" customHeight="1" x14ac:dyDescent="0.35">
      <c r="D211" s="10"/>
    </row>
    <row r="212" spans="4:4" ht="15.75" customHeight="1" x14ac:dyDescent="0.35">
      <c r="D212" s="10"/>
    </row>
    <row r="213" spans="4:4" ht="15.75" customHeight="1" x14ac:dyDescent="0.35">
      <c r="D213" s="10"/>
    </row>
    <row r="214" spans="4:4" ht="15.75" customHeight="1" x14ac:dyDescent="0.35">
      <c r="D214" s="10"/>
    </row>
    <row r="215" spans="4:4" ht="15.75" customHeight="1" x14ac:dyDescent="0.35">
      <c r="D215" s="10"/>
    </row>
    <row r="216" spans="4:4" ht="15.75" customHeight="1" x14ac:dyDescent="0.35">
      <c r="D216" s="10"/>
    </row>
    <row r="217" spans="4:4" ht="15.75" customHeight="1" x14ac:dyDescent="0.35">
      <c r="D217" s="10"/>
    </row>
    <row r="218" spans="4:4" ht="15.75" customHeight="1" x14ac:dyDescent="0.35">
      <c r="D218" s="10"/>
    </row>
    <row r="219" spans="4:4" ht="15.75" customHeight="1" x14ac:dyDescent="0.35">
      <c r="D219" s="10"/>
    </row>
    <row r="220" spans="4:4" ht="15.75" customHeight="1" x14ac:dyDescent="0.35">
      <c r="D220" s="10"/>
    </row>
    <row r="221" spans="4:4" ht="15.75" customHeight="1" x14ac:dyDescent="0.35">
      <c r="D221" s="10"/>
    </row>
    <row r="222" spans="4:4" ht="15.75" customHeight="1" x14ac:dyDescent="0.35">
      <c r="D222" s="10"/>
    </row>
    <row r="223" spans="4:4" ht="15.75" customHeight="1" x14ac:dyDescent="0.35">
      <c r="D223" s="10"/>
    </row>
    <row r="224" spans="4:4" ht="15.75" customHeight="1" x14ac:dyDescent="0.35">
      <c r="D224" s="10"/>
    </row>
    <row r="225" spans="4:4" ht="15.75" customHeight="1" x14ac:dyDescent="0.35">
      <c r="D225" s="10"/>
    </row>
    <row r="226" spans="4:4" ht="15.75" customHeight="1" x14ac:dyDescent="0.35">
      <c r="D226" s="10"/>
    </row>
    <row r="227" spans="4:4" ht="15.75" customHeight="1" x14ac:dyDescent="0.35">
      <c r="D227" s="10"/>
    </row>
    <row r="228" spans="4:4" ht="15.75" customHeight="1" x14ac:dyDescent="0.35">
      <c r="D228" s="10"/>
    </row>
    <row r="229" spans="4:4" ht="15.75" customHeight="1" x14ac:dyDescent="0.35">
      <c r="D229" s="10"/>
    </row>
    <row r="230" spans="4:4" ht="15.75" customHeight="1" x14ac:dyDescent="0.35">
      <c r="D230" s="10"/>
    </row>
    <row r="231" spans="4:4" ht="15.75" customHeight="1" x14ac:dyDescent="0.35">
      <c r="D231" s="10"/>
    </row>
    <row r="232" spans="4:4" ht="15.75" customHeight="1" x14ac:dyDescent="0.35">
      <c r="D232" s="10"/>
    </row>
    <row r="233" spans="4:4" ht="15.75" customHeight="1" x14ac:dyDescent="0.35">
      <c r="D233" s="10"/>
    </row>
    <row r="234" spans="4:4" ht="15.75" customHeight="1" x14ac:dyDescent="0.35">
      <c r="D234" s="10"/>
    </row>
    <row r="235" spans="4:4" ht="15.75" customHeight="1" x14ac:dyDescent="0.35">
      <c r="D235" s="10"/>
    </row>
    <row r="236" spans="4:4" ht="15.75" customHeight="1" x14ac:dyDescent="0.35">
      <c r="D236" s="10"/>
    </row>
    <row r="237" spans="4:4" ht="15.75" customHeight="1" x14ac:dyDescent="0.35">
      <c r="D237" s="10"/>
    </row>
    <row r="238" spans="4:4" ht="15.75" customHeight="1" x14ac:dyDescent="0.35">
      <c r="D238" s="10"/>
    </row>
    <row r="239" spans="4:4" ht="15.75" customHeight="1" x14ac:dyDescent="0.35">
      <c r="D239" s="10"/>
    </row>
    <row r="240" spans="4:4" ht="15.75" customHeight="1" x14ac:dyDescent="0.35">
      <c r="D240" s="10"/>
    </row>
    <row r="241" spans="4:4" ht="15.75" customHeight="1" x14ac:dyDescent="0.35">
      <c r="D241" s="10"/>
    </row>
    <row r="242" spans="4:4" ht="15.75" customHeight="1" x14ac:dyDescent="0.35">
      <c r="D242" s="10"/>
    </row>
    <row r="243" spans="4:4" ht="15.75" customHeight="1" x14ac:dyDescent="0.35">
      <c r="D243" s="10"/>
    </row>
    <row r="244" spans="4:4" ht="15.75" customHeight="1" x14ac:dyDescent="0.35">
      <c r="D244" s="10"/>
    </row>
    <row r="245" spans="4:4" ht="15.75" customHeight="1" x14ac:dyDescent="0.35">
      <c r="D245" s="10"/>
    </row>
    <row r="246" spans="4:4" ht="15.75" customHeight="1" x14ac:dyDescent="0.35">
      <c r="D246" s="10"/>
    </row>
    <row r="247" spans="4:4" ht="15.75" customHeight="1" x14ac:dyDescent="0.35">
      <c r="D247" s="10"/>
    </row>
    <row r="248" spans="4:4" ht="15.75" customHeight="1" x14ac:dyDescent="0.35">
      <c r="D248" s="10"/>
    </row>
    <row r="249" spans="4:4" ht="15.75" customHeight="1" x14ac:dyDescent="0.35">
      <c r="D249" s="10"/>
    </row>
    <row r="250" spans="4:4" ht="15.75" customHeight="1" x14ac:dyDescent="0.35"/>
    <row r="251" spans="4:4" ht="15.75" customHeight="1" x14ac:dyDescent="0.35"/>
    <row r="252" spans="4:4" ht="15.75" customHeight="1" x14ac:dyDescent="0.35"/>
    <row r="253" spans="4:4" ht="15.75" customHeight="1" x14ac:dyDescent="0.35"/>
    <row r="254" spans="4:4" ht="15.75" customHeight="1" x14ac:dyDescent="0.35"/>
    <row r="255" spans="4:4" ht="15.75" customHeight="1" x14ac:dyDescent="0.35"/>
    <row r="256" spans="4:4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8">
    <mergeCell ref="G37:J37"/>
    <mergeCell ref="M38:Y38"/>
    <mergeCell ref="E1:AH1"/>
    <mergeCell ref="G27:J27"/>
    <mergeCell ref="K27:N27"/>
    <mergeCell ref="Q27:U27"/>
    <mergeCell ref="G28:G29"/>
    <mergeCell ref="K28:K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B75E-2E57-4242-B423-7F0BBB22DB2A}">
  <sheetPr>
    <outlinePr summaryBelow="0" summaryRight="0"/>
  </sheetPr>
  <dimension ref="A1:AH1000"/>
  <sheetViews>
    <sheetView zoomScale="38" workbookViewId="0">
      <pane xSplit="3" ySplit="1" topLeftCell="E2" activePane="bottomRight" state="frozen"/>
      <selection pane="topRight" activeCell="D1" sqref="D1"/>
      <selection pane="bottomLeft" activeCell="A2" sqref="A2"/>
      <selection pane="bottomRight" activeCell="I35" sqref="I35"/>
    </sheetView>
  </sheetViews>
  <sheetFormatPr defaultColWidth="14.453125" defaultRowHeight="15" customHeight="1" x14ac:dyDescent="0.35"/>
  <cols>
    <col min="1" max="1" width="3.7265625" customWidth="1"/>
    <col min="2" max="2" width="15.453125" customWidth="1"/>
    <col min="3" max="3" width="11.54296875" customWidth="1"/>
    <col min="4" max="4" width="13.453125" customWidth="1"/>
    <col min="5" max="6" width="11.81640625" customWidth="1"/>
    <col min="7" max="7" width="13.81640625" customWidth="1"/>
    <col min="8" max="8" width="11.81640625" customWidth="1"/>
    <col min="9" max="10" width="12.453125" customWidth="1"/>
    <col min="11" max="11" width="13.81640625" customWidth="1"/>
    <col min="12" max="12" width="12.453125" customWidth="1"/>
    <col min="13" max="14" width="11.81640625" customWidth="1"/>
    <col min="15" max="15" width="12" customWidth="1"/>
    <col min="16" max="16" width="10.81640625" customWidth="1"/>
    <col min="17" max="17" width="15.453125" customWidth="1"/>
    <col min="18" max="20" width="10.7265625" customWidth="1"/>
    <col min="21" max="21" width="10.54296875" customWidth="1"/>
    <col min="22" max="25" width="11.54296875" customWidth="1"/>
    <col min="26" max="28" width="12.08984375" customWidth="1"/>
    <col min="29" max="34" width="11.81640625" customWidth="1"/>
  </cols>
  <sheetData>
    <row r="1" spans="1:34" ht="14.5" x14ac:dyDescent="0.35">
      <c r="A1" s="8"/>
      <c r="B1" s="9" t="s">
        <v>3308</v>
      </c>
      <c r="E1" s="132" t="s">
        <v>3251</v>
      </c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</row>
    <row r="2" spans="1:34" ht="14.5" x14ac:dyDescent="0.35">
      <c r="A2" s="9"/>
      <c r="C2" s="10"/>
      <c r="D2" s="10"/>
      <c r="E2" s="9" t="s">
        <v>3264</v>
      </c>
      <c r="F2" s="9" t="s">
        <v>3265</v>
      </c>
      <c r="G2" s="8" t="s">
        <v>3266</v>
      </c>
      <c r="H2" s="8" t="s">
        <v>3260</v>
      </c>
      <c r="I2" s="8" t="s">
        <v>3261</v>
      </c>
      <c r="J2" s="8" t="s">
        <v>3262</v>
      </c>
      <c r="K2" s="8" t="s">
        <v>3263</v>
      </c>
      <c r="L2" s="9" t="s">
        <v>3264</v>
      </c>
      <c r="M2" s="9" t="s">
        <v>3265</v>
      </c>
      <c r="N2" s="8" t="s">
        <v>3266</v>
      </c>
      <c r="O2" s="8" t="s">
        <v>3260</v>
      </c>
      <c r="P2" s="8" t="s">
        <v>3261</v>
      </c>
      <c r="Q2" s="8" t="s">
        <v>3262</v>
      </c>
      <c r="R2" s="8" t="s">
        <v>3263</v>
      </c>
      <c r="S2" s="9" t="s">
        <v>3264</v>
      </c>
      <c r="T2" s="9" t="s">
        <v>3265</v>
      </c>
      <c r="U2" s="8" t="s">
        <v>3266</v>
      </c>
      <c r="V2" s="8" t="s">
        <v>3260</v>
      </c>
      <c r="W2" s="8" t="s">
        <v>3261</v>
      </c>
      <c r="X2" s="8" t="s">
        <v>3262</v>
      </c>
      <c r="Y2" s="8" t="s">
        <v>3263</v>
      </c>
      <c r="Z2" s="9" t="s">
        <v>3264</v>
      </c>
      <c r="AA2" s="9" t="s">
        <v>3265</v>
      </c>
      <c r="AB2" s="8" t="s">
        <v>3266</v>
      </c>
      <c r="AC2" s="8" t="s">
        <v>3260</v>
      </c>
      <c r="AD2" s="8" t="s">
        <v>3261</v>
      </c>
      <c r="AE2" s="8" t="s">
        <v>3262</v>
      </c>
      <c r="AF2" s="8" t="s">
        <v>3263</v>
      </c>
      <c r="AG2" s="9" t="s">
        <v>3264</v>
      </c>
      <c r="AH2" s="9" t="s">
        <v>3265</v>
      </c>
    </row>
    <row r="3" spans="1:34" ht="14.5" x14ac:dyDescent="0.35">
      <c r="A3" s="9" t="s">
        <v>3267</v>
      </c>
      <c r="B3" s="8" t="s">
        <v>3268</v>
      </c>
      <c r="C3" s="8" t="s">
        <v>3269</v>
      </c>
      <c r="D3" s="8" t="s">
        <v>3270</v>
      </c>
      <c r="E3" s="11">
        <v>45444</v>
      </c>
      <c r="F3" s="11">
        <v>45445</v>
      </c>
      <c r="G3" s="11">
        <v>45446</v>
      </c>
      <c r="H3" s="11">
        <v>45447</v>
      </c>
      <c r="I3" s="11">
        <v>45448</v>
      </c>
      <c r="J3" s="11">
        <v>45449</v>
      </c>
      <c r="K3" s="11">
        <v>45450</v>
      </c>
      <c r="L3" s="11">
        <v>45451</v>
      </c>
      <c r="M3" s="11">
        <v>45452</v>
      </c>
      <c r="N3" s="11">
        <v>45453</v>
      </c>
      <c r="O3" s="11">
        <v>45454</v>
      </c>
      <c r="P3" s="11">
        <v>45455</v>
      </c>
      <c r="Q3" s="11">
        <v>45456</v>
      </c>
      <c r="R3" s="11">
        <v>45457</v>
      </c>
      <c r="S3" s="11">
        <v>45458</v>
      </c>
      <c r="T3" s="11">
        <v>45459</v>
      </c>
      <c r="U3" s="11">
        <v>45460</v>
      </c>
      <c r="V3" s="11">
        <v>45461</v>
      </c>
      <c r="W3" s="11">
        <v>45462</v>
      </c>
      <c r="X3" s="11">
        <v>45463</v>
      </c>
      <c r="Y3" s="11">
        <v>45464</v>
      </c>
      <c r="Z3" s="11">
        <v>45465</v>
      </c>
      <c r="AA3" s="11">
        <v>45466</v>
      </c>
      <c r="AB3" s="11">
        <v>45467</v>
      </c>
      <c r="AC3" s="11">
        <v>45468</v>
      </c>
      <c r="AD3" s="11">
        <v>45469</v>
      </c>
      <c r="AE3" s="11">
        <v>45470</v>
      </c>
      <c r="AF3" s="11">
        <v>45471</v>
      </c>
      <c r="AG3" s="11">
        <v>45472</v>
      </c>
      <c r="AH3" s="11">
        <v>45473</v>
      </c>
    </row>
    <row r="4" spans="1:34" ht="14.5" x14ac:dyDescent="0.35">
      <c r="A4" s="12">
        <v>1</v>
      </c>
      <c r="B4" s="13" t="s">
        <v>64</v>
      </c>
      <c r="C4" s="14">
        <v>101</v>
      </c>
      <c r="D4" s="15">
        <v>2</v>
      </c>
      <c r="E4" s="16" t="s">
        <v>41</v>
      </c>
      <c r="F4" s="16"/>
      <c r="G4" s="16"/>
      <c r="H4" s="16"/>
      <c r="I4" s="16"/>
      <c r="J4" s="16"/>
      <c r="K4" s="16"/>
      <c r="L4" s="16"/>
      <c r="M4" s="16" t="s">
        <v>41</v>
      </c>
      <c r="N4" s="16"/>
      <c r="O4" s="16"/>
      <c r="P4" s="16"/>
      <c r="Q4" s="54" t="s">
        <v>41</v>
      </c>
      <c r="R4" s="16" t="s">
        <v>3273</v>
      </c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</row>
    <row r="5" spans="1:34" ht="14.5" x14ac:dyDescent="0.35">
      <c r="A5" s="12">
        <v>2</v>
      </c>
      <c r="B5" s="13" t="s">
        <v>64</v>
      </c>
      <c r="C5" s="14">
        <v>201</v>
      </c>
      <c r="D5" s="15">
        <v>2</v>
      </c>
      <c r="E5" s="16" t="s">
        <v>41</v>
      </c>
      <c r="F5" s="16"/>
      <c r="G5" s="16"/>
      <c r="H5" s="16"/>
      <c r="J5" s="54" t="s">
        <v>3274</v>
      </c>
      <c r="K5" s="16"/>
      <c r="L5" s="16"/>
      <c r="M5" s="16"/>
      <c r="N5" s="53" t="s">
        <v>41</v>
      </c>
      <c r="O5" s="53" t="s">
        <v>41</v>
      </c>
      <c r="P5" s="16" t="s">
        <v>41</v>
      </c>
      <c r="Q5" s="54" t="s">
        <v>41</v>
      </c>
      <c r="R5" s="54" t="s">
        <v>41</v>
      </c>
      <c r="S5" s="46" t="s">
        <v>41</v>
      </c>
      <c r="T5" s="46" t="s">
        <v>41</v>
      </c>
      <c r="U5" s="16"/>
      <c r="V5" s="16"/>
      <c r="W5" s="16" t="s">
        <v>41</v>
      </c>
      <c r="X5" s="16" t="s">
        <v>3273</v>
      </c>
      <c r="Y5" s="16"/>
      <c r="Z5" s="16" t="s">
        <v>41</v>
      </c>
      <c r="AA5" s="16" t="s">
        <v>41</v>
      </c>
      <c r="AB5" s="16" t="s">
        <v>41</v>
      </c>
      <c r="AC5" s="16" t="s">
        <v>41</v>
      </c>
      <c r="AD5" s="16" t="s">
        <v>41</v>
      </c>
      <c r="AE5" s="36" t="s">
        <v>41</v>
      </c>
      <c r="AF5" s="16"/>
      <c r="AG5" s="16" t="s">
        <v>3273</v>
      </c>
      <c r="AH5" s="16" t="s">
        <v>3273</v>
      </c>
    </row>
    <row r="6" spans="1:34" ht="14.5" x14ac:dyDescent="0.35">
      <c r="A6" s="12">
        <v>3</v>
      </c>
      <c r="B6" s="13" t="s">
        <v>64</v>
      </c>
      <c r="C6" s="14">
        <v>301</v>
      </c>
      <c r="D6" s="15">
        <v>2</v>
      </c>
      <c r="E6" s="16" t="s">
        <v>3274</v>
      </c>
      <c r="F6" s="16"/>
      <c r="G6" s="16"/>
      <c r="H6" s="55" t="s">
        <v>41</v>
      </c>
      <c r="I6" s="55" t="s">
        <v>41</v>
      </c>
      <c r="J6" s="55" t="s">
        <v>41</v>
      </c>
      <c r="K6" s="16"/>
      <c r="L6" s="16" t="s">
        <v>41</v>
      </c>
      <c r="M6" s="16" t="s">
        <v>41</v>
      </c>
      <c r="N6" s="53" t="s">
        <v>41</v>
      </c>
      <c r="O6" s="53" t="s">
        <v>41</v>
      </c>
      <c r="P6" s="16" t="s">
        <v>3273</v>
      </c>
      <c r="Q6" s="16" t="s">
        <v>41</v>
      </c>
      <c r="R6" s="16" t="s">
        <v>3273</v>
      </c>
      <c r="S6" s="16" t="s">
        <v>3273</v>
      </c>
      <c r="T6" s="16" t="s">
        <v>3273</v>
      </c>
      <c r="U6" s="16" t="s">
        <v>3274</v>
      </c>
      <c r="V6" s="16" t="s">
        <v>3274</v>
      </c>
      <c r="W6" s="16" t="s">
        <v>3274</v>
      </c>
      <c r="X6" s="16" t="s">
        <v>3273</v>
      </c>
      <c r="Y6" s="16" t="s">
        <v>3273</v>
      </c>
      <c r="Z6" s="16" t="s">
        <v>3273</v>
      </c>
      <c r="AA6" s="16" t="s">
        <v>3273</v>
      </c>
      <c r="AB6" s="16" t="s">
        <v>3273</v>
      </c>
      <c r="AC6" s="16" t="s">
        <v>3273</v>
      </c>
      <c r="AD6" s="16" t="s">
        <v>3273</v>
      </c>
      <c r="AE6" s="16" t="s">
        <v>41</v>
      </c>
      <c r="AF6" s="16" t="s">
        <v>41</v>
      </c>
      <c r="AG6" s="16" t="s">
        <v>41</v>
      </c>
      <c r="AH6" s="16" t="s">
        <v>41</v>
      </c>
    </row>
    <row r="7" spans="1:34" ht="14.5" x14ac:dyDescent="0.35">
      <c r="A7" s="12">
        <v>4</v>
      </c>
      <c r="B7" s="13" t="s">
        <v>64</v>
      </c>
      <c r="C7" s="14">
        <v>401</v>
      </c>
      <c r="D7" s="15">
        <v>2</v>
      </c>
      <c r="E7" s="16" t="s">
        <v>41</v>
      </c>
      <c r="F7" s="16" t="s">
        <v>41</v>
      </c>
      <c r="G7" s="27"/>
      <c r="H7" s="55" t="s">
        <v>41</v>
      </c>
      <c r="I7" s="55" t="s">
        <v>41</v>
      </c>
      <c r="J7" s="55" t="s">
        <v>41</v>
      </c>
      <c r="K7" s="16"/>
      <c r="L7" s="16" t="s">
        <v>41</v>
      </c>
      <c r="M7" s="16" t="s">
        <v>41</v>
      </c>
      <c r="N7" s="16" t="s">
        <v>41</v>
      </c>
      <c r="O7" s="16"/>
      <c r="P7" s="16" t="s">
        <v>41</v>
      </c>
      <c r="Q7" s="16" t="s">
        <v>41</v>
      </c>
      <c r="R7" s="16" t="s">
        <v>41</v>
      </c>
      <c r="S7" s="16" t="s">
        <v>41</v>
      </c>
      <c r="T7" s="16" t="s">
        <v>41</v>
      </c>
      <c r="U7" s="16" t="s">
        <v>41</v>
      </c>
      <c r="V7" s="16"/>
      <c r="W7" s="16" t="s">
        <v>41</v>
      </c>
      <c r="X7" s="16" t="s">
        <v>41</v>
      </c>
      <c r="Y7" s="16" t="s">
        <v>41</v>
      </c>
      <c r="Z7" s="16" t="s">
        <v>41</v>
      </c>
      <c r="AA7" s="50" t="s">
        <v>41</v>
      </c>
      <c r="AB7" s="16" t="s">
        <v>41</v>
      </c>
      <c r="AC7" s="16" t="s">
        <v>41</v>
      </c>
      <c r="AD7" s="16" t="s">
        <v>3275</v>
      </c>
      <c r="AE7" s="16" t="s">
        <v>3275</v>
      </c>
      <c r="AF7" s="16"/>
      <c r="AG7" s="16" t="s">
        <v>3273</v>
      </c>
      <c r="AH7" s="16" t="s">
        <v>41</v>
      </c>
    </row>
    <row r="8" spans="1:34" ht="14.5" x14ac:dyDescent="0.35">
      <c r="A8" s="12">
        <v>5</v>
      </c>
      <c r="B8" s="13" t="s">
        <v>64</v>
      </c>
      <c r="C8" s="14">
        <v>501</v>
      </c>
      <c r="D8" s="15">
        <v>2</v>
      </c>
      <c r="E8" s="16" t="s">
        <v>3274</v>
      </c>
      <c r="F8" s="16"/>
      <c r="G8" s="16"/>
      <c r="H8" s="43" t="s">
        <v>41</v>
      </c>
      <c r="I8" s="16"/>
      <c r="J8" s="16" t="s">
        <v>41</v>
      </c>
      <c r="K8" s="16"/>
      <c r="L8" s="16" t="s">
        <v>41</v>
      </c>
      <c r="M8" s="16" t="s">
        <v>41</v>
      </c>
      <c r="N8" s="16"/>
      <c r="O8" s="16"/>
      <c r="P8" s="16" t="s">
        <v>41</v>
      </c>
      <c r="Q8" s="54" t="s">
        <v>41</v>
      </c>
      <c r="R8" s="54" t="s">
        <v>41</v>
      </c>
      <c r="S8" s="16" t="s">
        <v>41</v>
      </c>
      <c r="T8" s="16" t="s">
        <v>3273</v>
      </c>
      <c r="U8" s="16"/>
      <c r="V8" s="16"/>
      <c r="W8" s="16" t="s">
        <v>3273</v>
      </c>
      <c r="X8" s="16" t="s">
        <v>3273</v>
      </c>
      <c r="Y8" s="16" t="s">
        <v>41</v>
      </c>
      <c r="Z8" s="16"/>
      <c r="AA8" s="50" t="s">
        <v>41</v>
      </c>
      <c r="AB8" s="16"/>
      <c r="AC8" s="16" t="s">
        <v>41</v>
      </c>
      <c r="AD8" s="16" t="s">
        <v>41</v>
      </c>
      <c r="AE8" s="16" t="s">
        <v>41</v>
      </c>
      <c r="AF8" s="16" t="s">
        <v>41</v>
      </c>
      <c r="AG8" s="16" t="s">
        <v>41</v>
      </c>
      <c r="AH8" s="16" t="s">
        <v>41</v>
      </c>
    </row>
    <row r="9" spans="1:34" ht="14.5" x14ac:dyDescent="0.35">
      <c r="A9" s="12">
        <v>6</v>
      </c>
      <c r="B9" s="13" t="s">
        <v>64</v>
      </c>
      <c r="C9" s="14">
        <v>601</v>
      </c>
      <c r="D9" s="15">
        <v>2</v>
      </c>
      <c r="E9" s="16"/>
      <c r="F9" s="16" t="s">
        <v>41</v>
      </c>
      <c r="G9" s="16"/>
      <c r="H9" s="16" t="s">
        <v>41</v>
      </c>
      <c r="I9" s="16"/>
      <c r="J9" s="54" t="s">
        <v>3274</v>
      </c>
      <c r="K9" s="16" t="s">
        <v>41</v>
      </c>
      <c r="L9" s="16"/>
      <c r="M9" s="16" t="s">
        <v>41</v>
      </c>
      <c r="N9" s="16" t="s">
        <v>41</v>
      </c>
      <c r="O9" s="16"/>
      <c r="P9" s="16"/>
      <c r="Q9" s="54" t="s">
        <v>41</v>
      </c>
      <c r="R9" s="54" t="s">
        <v>41</v>
      </c>
      <c r="S9" s="16" t="s">
        <v>3273</v>
      </c>
      <c r="T9" s="16" t="s">
        <v>41</v>
      </c>
      <c r="U9" s="16" t="s">
        <v>3273</v>
      </c>
      <c r="V9" s="16" t="s">
        <v>3273</v>
      </c>
      <c r="W9" s="16" t="s">
        <v>41</v>
      </c>
      <c r="X9" s="16" t="s">
        <v>41</v>
      </c>
      <c r="Y9" s="16" t="s">
        <v>41</v>
      </c>
      <c r="Z9" s="16" t="s">
        <v>3273</v>
      </c>
      <c r="AA9" s="16" t="s">
        <v>3273</v>
      </c>
      <c r="AB9" s="16" t="s">
        <v>3273</v>
      </c>
      <c r="AC9" s="16" t="s">
        <v>3273</v>
      </c>
      <c r="AD9" s="16" t="s">
        <v>3273</v>
      </c>
      <c r="AE9" s="16" t="s">
        <v>3273</v>
      </c>
      <c r="AF9" s="16" t="s">
        <v>3273</v>
      </c>
      <c r="AG9" s="16" t="s">
        <v>3273</v>
      </c>
      <c r="AH9" s="16" t="s">
        <v>3273</v>
      </c>
    </row>
    <row r="10" spans="1:34" ht="14.5" x14ac:dyDescent="0.35">
      <c r="A10" s="18">
        <v>7</v>
      </c>
      <c r="B10" s="19" t="s">
        <v>59</v>
      </c>
      <c r="C10" s="20">
        <v>102</v>
      </c>
      <c r="D10" s="15">
        <v>2</v>
      </c>
      <c r="E10" s="16"/>
      <c r="F10" s="16" t="s">
        <v>41</v>
      </c>
      <c r="G10" s="16"/>
      <c r="H10" s="51" t="s">
        <v>41</v>
      </c>
      <c r="I10" s="51" t="s">
        <v>41</v>
      </c>
      <c r="J10" s="16"/>
      <c r="K10" s="16" t="s">
        <v>3273</v>
      </c>
      <c r="L10" s="16"/>
      <c r="M10" s="16"/>
      <c r="N10" s="16"/>
      <c r="O10" s="16"/>
      <c r="P10" s="16"/>
      <c r="Q10" s="54" t="s">
        <v>41</v>
      </c>
      <c r="R10" s="54" t="s">
        <v>41</v>
      </c>
      <c r="S10" s="16" t="s">
        <v>41</v>
      </c>
      <c r="T10" s="16" t="s">
        <v>41</v>
      </c>
      <c r="U10" s="16"/>
      <c r="V10" s="16"/>
      <c r="W10" s="16"/>
      <c r="X10" s="16"/>
      <c r="Y10" s="16"/>
      <c r="Z10" s="16"/>
      <c r="AA10" s="16"/>
      <c r="AB10" s="16" t="s">
        <v>41</v>
      </c>
      <c r="AC10" s="16" t="s">
        <v>41</v>
      </c>
      <c r="AD10" s="16"/>
      <c r="AE10" s="16" t="s">
        <v>41</v>
      </c>
      <c r="AF10" s="16"/>
      <c r="AG10" s="16" t="s">
        <v>41</v>
      </c>
      <c r="AH10" s="16"/>
    </row>
    <row r="11" spans="1:34" ht="14.5" x14ac:dyDescent="0.35">
      <c r="A11" s="18">
        <v>8</v>
      </c>
      <c r="B11" s="19" t="s">
        <v>59</v>
      </c>
      <c r="C11" s="20">
        <v>202</v>
      </c>
      <c r="D11" s="15">
        <v>2</v>
      </c>
      <c r="E11" s="16"/>
      <c r="F11" s="16" t="s">
        <v>3272</v>
      </c>
      <c r="G11" s="16"/>
      <c r="H11" s="51" t="s">
        <v>41</v>
      </c>
      <c r="I11" s="16"/>
      <c r="J11" s="54" t="s">
        <v>3274</v>
      </c>
      <c r="K11" s="16"/>
      <c r="L11" s="16"/>
      <c r="M11" s="16"/>
      <c r="N11" s="16"/>
      <c r="O11" s="16"/>
      <c r="P11" s="16"/>
      <c r="Q11" s="16"/>
      <c r="R11" s="16" t="s">
        <v>3273</v>
      </c>
      <c r="S11" s="16" t="s">
        <v>3273</v>
      </c>
      <c r="T11" s="16"/>
      <c r="U11" s="16" t="s">
        <v>41</v>
      </c>
      <c r="V11" s="16"/>
      <c r="W11" s="16"/>
      <c r="X11" s="16" t="s">
        <v>3273</v>
      </c>
      <c r="Y11" s="16" t="s">
        <v>41</v>
      </c>
      <c r="Z11" s="16" t="s">
        <v>41</v>
      </c>
      <c r="AA11" s="16"/>
      <c r="AB11" s="16" t="s">
        <v>41</v>
      </c>
      <c r="AC11" s="16" t="s">
        <v>41</v>
      </c>
      <c r="AD11" s="16" t="s">
        <v>41</v>
      </c>
      <c r="AE11" s="16" t="s">
        <v>41</v>
      </c>
      <c r="AF11" s="16" t="s">
        <v>41</v>
      </c>
      <c r="AG11" s="16" t="s">
        <v>41</v>
      </c>
      <c r="AH11" s="16" t="s">
        <v>41</v>
      </c>
    </row>
    <row r="12" spans="1:34" ht="14.5" x14ac:dyDescent="0.35">
      <c r="A12" s="18">
        <v>9</v>
      </c>
      <c r="B12" s="19" t="s">
        <v>59</v>
      </c>
      <c r="C12" s="20">
        <v>302</v>
      </c>
      <c r="D12" s="15">
        <v>2</v>
      </c>
      <c r="E12" s="16" t="s">
        <v>41</v>
      </c>
      <c r="F12" s="16"/>
      <c r="G12" s="16" t="s">
        <v>3272</v>
      </c>
      <c r="H12" s="16" t="s">
        <v>3272</v>
      </c>
      <c r="I12" s="16" t="s">
        <v>3272</v>
      </c>
      <c r="J12" s="16" t="s">
        <v>41</v>
      </c>
      <c r="K12" s="16"/>
      <c r="L12" s="16" t="s">
        <v>41</v>
      </c>
      <c r="M12" s="16"/>
      <c r="N12" s="16"/>
      <c r="O12" s="44" t="s">
        <v>41</v>
      </c>
      <c r="P12" s="16" t="s">
        <v>3273</v>
      </c>
      <c r="Q12" s="16" t="s">
        <v>3273</v>
      </c>
      <c r="R12" s="16" t="s">
        <v>3273</v>
      </c>
      <c r="S12" s="16" t="s">
        <v>3273</v>
      </c>
      <c r="T12" s="16"/>
      <c r="U12" s="16"/>
      <c r="V12" s="16" t="s">
        <v>41</v>
      </c>
      <c r="W12" s="16"/>
      <c r="X12" s="16"/>
      <c r="Y12" s="16" t="s">
        <v>41</v>
      </c>
      <c r="Z12" s="16" t="s">
        <v>41</v>
      </c>
      <c r="AA12" s="44" t="s">
        <v>41</v>
      </c>
      <c r="AB12" s="44" t="s">
        <v>41</v>
      </c>
      <c r="AC12" s="16" t="s">
        <v>41</v>
      </c>
      <c r="AD12" s="16" t="s">
        <v>41</v>
      </c>
      <c r="AE12" s="36" t="s">
        <v>41</v>
      </c>
      <c r="AF12" s="16" t="s">
        <v>3272</v>
      </c>
      <c r="AG12" s="16" t="s">
        <v>3272</v>
      </c>
      <c r="AH12" s="16" t="s">
        <v>41</v>
      </c>
    </row>
    <row r="13" spans="1:34" ht="14.5" x14ac:dyDescent="0.35">
      <c r="A13" s="18">
        <v>10</v>
      </c>
      <c r="B13" s="19" t="s">
        <v>59</v>
      </c>
      <c r="C13" s="20">
        <v>402</v>
      </c>
      <c r="D13" s="15">
        <v>2</v>
      </c>
      <c r="E13" s="16"/>
      <c r="F13" s="16"/>
      <c r="G13" s="16"/>
      <c r="H13" s="16"/>
      <c r="I13" s="16"/>
      <c r="J13" s="16"/>
      <c r="K13" s="16" t="s">
        <v>41</v>
      </c>
      <c r="L13" s="16"/>
      <c r="M13" s="16"/>
      <c r="N13" s="16"/>
      <c r="O13" s="44" t="s">
        <v>41</v>
      </c>
      <c r="P13" s="16" t="s">
        <v>41</v>
      </c>
      <c r="Q13" s="16" t="s">
        <v>41</v>
      </c>
      <c r="R13" s="16" t="s">
        <v>41</v>
      </c>
      <c r="S13" s="16" t="s">
        <v>41</v>
      </c>
      <c r="T13" s="16" t="s">
        <v>41</v>
      </c>
      <c r="U13" s="16" t="s">
        <v>41</v>
      </c>
      <c r="V13" s="16"/>
      <c r="W13" s="16"/>
      <c r="X13" s="16" t="s">
        <v>41</v>
      </c>
      <c r="Y13" s="16"/>
      <c r="Z13" s="16" t="s">
        <v>3273</v>
      </c>
      <c r="AA13" s="16" t="s">
        <v>3273</v>
      </c>
      <c r="AB13" s="16" t="s">
        <v>3273</v>
      </c>
      <c r="AC13" s="16" t="s">
        <v>3273</v>
      </c>
      <c r="AD13" s="16" t="s">
        <v>41</v>
      </c>
      <c r="AE13" s="16" t="s">
        <v>3273</v>
      </c>
      <c r="AF13" s="16" t="s">
        <v>3273</v>
      </c>
      <c r="AG13" s="16" t="s">
        <v>41</v>
      </c>
      <c r="AH13" s="16" t="s">
        <v>41</v>
      </c>
    </row>
    <row r="14" spans="1:34" ht="14.5" x14ac:dyDescent="0.35">
      <c r="A14" s="21">
        <v>11</v>
      </c>
      <c r="B14" s="22" t="s">
        <v>71</v>
      </c>
      <c r="C14" s="23">
        <v>502</v>
      </c>
      <c r="D14" s="15">
        <v>2</v>
      </c>
      <c r="E14" s="16" t="s">
        <v>3304</v>
      </c>
      <c r="F14" s="16"/>
      <c r="G14" s="16"/>
      <c r="H14" s="43" t="s">
        <v>41</v>
      </c>
      <c r="I14" s="16"/>
      <c r="J14" s="16" t="s">
        <v>3273</v>
      </c>
      <c r="K14" s="16"/>
      <c r="L14" s="16" t="s">
        <v>41</v>
      </c>
      <c r="M14" s="16"/>
      <c r="N14" s="16" t="s">
        <v>3275</v>
      </c>
      <c r="O14" s="44" t="s">
        <v>41</v>
      </c>
      <c r="P14" s="16"/>
      <c r="Q14" s="16" t="s">
        <v>41</v>
      </c>
      <c r="R14" s="56" t="s">
        <v>41</v>
      </c>
      <c r="S14" s="56" t="s">
        <v>41</v>
      </c>
      <c r="T14" s="56" t="s">
        <v>41</v>
      </c>
      <c r="U14" s="56" t="s">
        <v>41</v>
      </c>
      <c r="V14" s="16"/>
      <c r="X14" s="16" t="s">
        <v>3275</v>
      </c>
      <c r="Y14" s="16" t="s">
        <v>3275</v>
      </c>
      <c r="Z14" s="16"/>
      <c r="AA14" s="16" t="s">
        <v>3273</v>
      </c>
      <c r="AB14" s="16"/>
      <c r="AC14" s="16"/>
      <c r="AD14" s="16"/>
      <c r="AE14" s="16" t="s">
        <v>3272</v>
      </c>
      <c r="AF14" s="16" t="s">
        <v>41</v>
      </c>
      <c r="AG14" s="16" t="s">
        <v>41</v>
      </c>
      <c r="AH14" s="16" t="s">
        <v>41</v>
      </c>
    </row>
    <row r="15" spans="1:34" ht="14.5" x14ac:dyDescent="0.35">
      <c r="A15" s="21">
        <v>12</v>
      </c>
      <c r="B15" s="22" t="s">
        <v>71</v>
      </c>
      <c r="C15" s="23">
        <v>602</v>
      </c>
      <c r="D15" s="15">
        <v>2</v>
      </c>
      <c r="E15" s="16"/>
      <c r="F15" s="16" t="s">
        <v>3275</v>
      </c>
      <c r="G15" s="16"/>
      <c r="H15" s="16"/>
      <c r="I15" s="16"/>
      <c r="J15" s="16" t="s">
        <v>3275</v>
      </c>
      <c r="K15" s="16" t="s">
        <v>3275</v>
      </c>
      <c r="L15" s="16"/>
      <c r="M15" s="16" t="s">
        <v>41</v>
      </c>
      <c r="N15" s="16" t="s">
        <v>3274</v>
      </c>
      <c r="O15" s="16" t="s">
        <v>3274</v>
      </c>
      <c r="P15" s="16" t="s">
        <v>3273</v>
      </c>
      <c r="Q15" s="16" t="s">
        <v>3273</v>
      </c>
      <c r="R15" s="56" t="s">
        <v>41</v>
      </c>
      <c r="S15" s="16"/>
      <c r="U15" s="57" t="s">
        <v>41</v>
      </c>
      <c r="V15" s="16"/>
      <c r="W15" s="16" t="s">
        <v>3272</v>
      </c>
      <c r="X15" s="16"/>
      <c r="Y15" s="16"/>
      <c r="Z15" s="16" t="s">
        <v>3273</v>
      </c>
      <c r="AA15" s="16" t="s">
        <v>41</v>
      </c>
      <c r="AB15" s="16"/>
      <c r="AC15" s="16" t="s">
        <v>41</v>
      </c>
      <c r="AD15" s="16"/>
      <c r="AE15" s="16" t="s">
        <v>41</v>
      </c>
      <c r="AF15" s="16" t="s">
        <v>41</v>
      </c>
      <c r="AG15" s="16"/>
      <c r="AH15" s="16" t="s">
        <v>41</v>
      </c>
    </row>
    <row r="16" spans="1:34" ht="14.5" x14ac:dyDescent="0.35">
      <c r="A16" s="21">
        <v>13</v>
      </c>
      <c r="B16" s="22" t="s">
        <v>71</v>
      </c>
      <c r="C16" s="23">
        <v>702</v>
      </c>
      <c r="D16" s="15">
        <v>2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</row>
    <row r="17" spans="1:34" ht="14.5" x14ac:dyDescent="0.35">
      <c r="A17" s="24">
        <v>14</v>
      </c>
      <c r="B17" s="25" t="s">
        <v>29</v>
      </c>
      <c r="C17" s="26">
        <v>103</v>
      </c>
      <c r="D17" s="15">
        <v>2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 t="s">
        <v>41</v>
      </c>
      <c r="AG17" s="16"/>
      <c r="AH17" s="16"/>
    </row>
    <row r="18" spans="1:34" ht="14.5" x14ac:dyDescent="0.35">
      <c r="A18" s="24">
        <v>15</v>
      </c>
      <c r="B18" s="25" t="s">
        <v>29</v>
      </c>
      <c r="C18" s="26">
        <v>203</v>
      </c>
      <c r="D18" s="15">
        <v>2</v>
      </c>
      <c r="E18" s="16"/>
      <c r="F18" s="16"/>
      <c r="G18" s="16"/>
      <c r="H18" s="16"/>
      <c r="I18" s="16"/>
      <c r="J18" s="16"/>
      <c r="K18" s="16"/>
      <c r="L18" s="16" t="s">
        <v>41</v>
      </c>
      <c r="M18" s="58" t="s">
        <v>41</v>
      </c>
      <c r="N18" s="58" t="s">
        <v>41</v>
      </c>
      <c r="O18" s="58" t="s">
        <v>41</v>
      </c>
      <c r="P18" s="16"/>
      <c r="Q18" s="59" t="s">
        <v>41</v>
      </c>
      <c r="R18" s="16"/>
      <c r="S18" s="46" t="s">
        <v>41</v>
      </c>
      <c r="T18" s="46" t="s">
        <v>41</v>
      </c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 t="s">
        <v>3274</v>
      </c>
      <c r="AH18" s="16" t="s">
        <v>3274</v>
      </c>
    </row>
    <row r="19" spans="1:34" ht="14.5" x14ac:dyDescent="0.35">
      <c r="A19" s="24">
        <v>16</v>
      </c>
      <c r="B19" s="25" t="s">
        <v>29</v>
      </c>
      <c r="C19" s="26">
        <v>303</v>
      </c>
      <c r="D19" s="15">
        <v>2</v>
      </c>
      <c r="E19" s="16"/>
      <c r="F19" s="16"/>
      <c r="G19" s="16" t="s">
        <v>41</v>
      </c>
      <c r="H19" s="16"/>
      <c r="I19" s="16" t="s">
        <v>41</v>
      </c>
      <c r="J19" s="16"/>
      <c r="K19" s="16"/>
      <c r="L19" s="16" t="s">
        <v>41</v>
      </c>
      <c r="M19" s="58" t="s">
        <v>41</v>
      </c>
      <c r="N19" s="58" t="s">
        <v>41</v>
      </c>
      <c r="O19" s="58" t="s">
        <v>41</v>
      </c>
      <c r="P19" s="16"/>
      <c r="Q19" s="59" t="s">
        <v>41</v>
      </c>
      <c r="R19" s="16"/>
      <c r="S19" s="16"/>
      <c r="T19" s="16"/>
      <c r="U19" s="42" t="s">
        <v>3274</v>
      </c>
      <c r="V19" s="42" t="s">
        <v>3274</v>
      </c>
      <c r="W19" s="42" t="s">
        <v>3274</v>
      </c>
      <c r="X19" s="16"/>
      <c r="Y19" s="16"/>
      <c r="Z19" s="16" t="s">
        <v>41</v>
      </c>
      <c r="AA19" s="44" t="s">
        <v>41</v>
      </c>
      <c r="AB19" s="44" t="s">
        <v>41</v>
      </c>
      <c r="AC19" s="16"/>
      <c r="AD19" s="16"/>
      <c r="AE19" s="16"/>
      <c r="AF19" s="16"/>
      <c r="AG19" s="16" t="s">
        <v>41</v>
      </c>
      <c r="AH19" s="59" t="s">
        <v>41</v>
      </c>
    </row>
    <row r="20" spans="1:34" ht="14.5" x14ac:dyDescent="0.35">
      <c r="A20" s="24">
        <v>17</v>
      </c>
      <c r="B20" s="25" t="s">
        <v>29</v>
      </c>
      <c r="C20" s="26">
        <v>403</v>
      </c>
      <c r="D20" s="15">
        <v>2</v>
      </c>
      <c r="E20" s="16"/>
      <c r="F20" s="16"/>
      <c r="G20" s="16"/>
      <c r="H20" s="16"/>
      <c r="I20" s="16"/>
      <c r="J20" s="16" t="s">
        <v>41</v>
      </c>
      <c r="K20" s="16" t="s">
        <v>3274</v>
      </c>
      <c r="L20" s="16" t="s">
        <v>3274</v>
      </c>
      <c r="M20" s="16" t="s">
        <v>3274</v>
      </c>
      <c r="N20" s="16"/>
      <c r="O20" s="16" t="s">
        <v>3274</v>
      </c>
      <c r="P20" s="16" t="s">
        <v>3274</v>
      </c>
      <c r="Q20" s="16" t="s">
        <v>3274</v>
      </c>
      <c r="R20" s="16" t="s">
        <v>3275</v>
      </c>
      <c r="S20" s="16" t="s">
        <v>3275</v>
      </c>
      <c r="T20" s="16" t="s">
        <v>3275</v>
      </c>
      <c r="U20" s="42" t="s">
        <v>3274</v>
      </c>
      <c r="V20" s="42" t="s">
        <v>3274</v>
      </c>
      <c r="W20" s="42" t="s">
        <v>3274</v>
      </c>
      <c r="X20" s="16"/>
      <c r="Y20" s="16"/>
      <c r="Z20" s="16" t="s">
        <v>41</v>
      </c>
      <c r="AA20" s="16" t="s">
        <v>41</v>
      </c>
      <c r="AB20" s="16"/>
      <c r="AC20" s="16"/>
      <c r="AD20" s="16"/>
      <c r="AE20" s="16"/>
      <c r="AF20" s="16"/>
      <c r="AG20" s="16" t="s">
        <v>3275</v>
      </c>
      <c r="AH20" s="16" t="s">
        <v>3275</v>
      </c>
    </row>
    <row r="21" spans="1:34" ht="15.75" customHeight="1" x14ac:dyDescent="0.35">
      <c r="A21" s="24">
        <v>18</v>
      </c>
      <c r="B21" s="25" t="s">
        <v>29</v>
      </c>
      <c r="C21" s="26">
        <v>503</v>
      </c>
      <c r="D21" s="15">
        <v>2</v>
      </c>
      <c r="E21" s="16"/>
      <c r="F21" s="16"/>
      <c r="G21" s="16"/>
      <c r="H21" s="43" t="s">
        <v>41</v>
      </c>
      <c r="I21" s="16"/>
      <c r="J21" s="16" t="s">
        <v>41</v>
      </c>
      <c r="K21" s="16" t="s">
        <v>41</v>
      </c>
      <c r="L21" s="16" t="s">
        <v>41</v>
      </c>
      <c r="M21" s="16"/>
      <c r="N21" s="16" t="s">
        <v>41</v>
      </c>
      <c r="O21" s="16" t="s">
        <v>41</v>
      </c>
      <c r="P21" s="16" t="s">
        <v>3275</v>
      </c>
      <c r="Q21" s="16"/>
      <c r="R21" s="16" t="s">
        <v>41</v>
      </c>
      <c r="S21" s="16" t="s">
        <v>41</v>
      </c>
      <c r="T21" s="16" t="s">
        <v>41</v>
      </c>
      <c r="U21" s="57" t="s">
        <v>41</v>
      </c>
      <c r="V21" s="16" t="s">
        <v>41</v>
      </c>
      <c r="W21" s="16" t="s">
        <v>3275</v>
      </c>
      <c r="X21" s="16" t="s">
        <v>3275</v>
      </c>
      <c r="Y21" s="16" t="s">
        <v>41</v>
      </c>
      <c r="Z21" s="16"/>
      <c r="AA21" s="16"/>
      <c r="AB21" s="16"/>
      <c r="AC21" s="16"/>
      <c r="AD21" s="16"/>
      <c r="AE21" s="16" t="s">
        <v>41</v>
      </c>
      <c r="AF21" s="16" t="s">
        <v>41</v>
      </c>
      <c r="AG21" s="16" t="s">
        <v>41</v>
      </c>
      <c r="AH21" s="59" t="s">
        <v>41</v>
      </c>
    </row>
    <row r="22" spans="1:34" ht="15.75" customHeight="1" x14ac:dyDescent="0.35">
      <c r="A22" s="24">
        <v>19</v>
      </c>
      <c r="B22" s="25" t="s">
        <v>29</v>
      </c>
      <c r="C22" s="26">
        <v>603</v>
      </c>
      <c r="D22" s="15">
        <v>2</v>
      </c>
      <c r="E22" s="16"/>
      <c r="F22" s="16"/>
      <c r="G22" s="16"/>
      <c r="H22" s="16"/>
      <c r="I22" s="16"/>
      <c r="J22" s="16" t="s">
        <v>41</v>
      </c>
      <c r="K22" s="16" t="s">
        <v>41</v>
      </c>
      <c r="L22" s="16" t="s">
        <v>41</v>
      </c>
      <c r="M22" s="16" t="s">
        <v>41</v>
      </c>
      <c r="N22" s="16" t="s">
        <v>41</v>
      </c>
      <c r="O22" s="16"/>
      <c r="P22" s="16" t="s">
        <v>3275</v>
      </c>
      <c r="Q22" s="16" t="s">
        <v>3275</v>
      </c>
      <c r="R22" s="16" t="s">
        <v>3275</v>
      </c>
      <c r="S22" s="16" t="s">
        <v>3275</v>
      </c>
      <c r="T22" s="16" t="s">
        <v>3275</v>
      </c>
      <c r="U22" s="16" t="s">
        <v>3275</v>
      </c>
      <c r="V22" s="16" t="s">
        <v>3275</v>
      </c>
      <c r="W22" s="16" t="s">
        <v>3275</v>
      </c>
      <c r="X22" s="16" t="s">
        <v>3275</v>
      </c>
      <c r="Y22" s="16" t="s">
        <v>3275</v>
      </c>
      <c r="Z22" s="16" t="s">
        <v>3275</v>
      </c>
      <c r="AA22" s="16"/>
      <c r="AB22" s="16"/>
      <c r="AC22" s="16"/>
      <c r="AD22" s="16" t="s">
        <v>41</v>
      </c>
      <c r="AE22" s="16" t="s">
        <v>41</v>
      </c>
      <c r="AF22" s="16" t="s">
        <v>41</v>
      </c>
      <c r="AG22" s="16" t="s">
        <v>41</v>
      </c>
      <c r="AH22" s="16" t="s">
        <v>41</v>
      </c>
    </row>
    <row r="23" spans="1:34" ht="15.75" customHeight="1" x14ac:dyDescent="0.35">
      <c r="A23" s="24">
        <v>20</v>
      </c>
      <c r="B23" s="25" t="s">
        <v>29</v>
      </c>
      <c r="C23" s="26">
        <v>703</v>
      </c>
      <c r="D23" s="15">
        <v>2</v>
      </c>
      <c r="E23" s="16"/>
      <c r="F23" s="16"/>
      <c r="G23" s="16"/>
      <c r="H23" s="16"/>
      <c r="I23" s="16"/>
      <c r="J23" s="16"/>
      <c r="K23" s="16"/>
      <c r="L23" s="16"/>
      <c r="M23" s="58" t="s">
        <v>41</v>
      </c>
      <c r="N23" s="58" t="s">
        <v>41</v>
      </c>
      <c r="O23" s="58" t="s">
        <v>41</v>
      </c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 t="s">
        <v>41</v>
      </c>
      <c r="AD23" s="16" t="s">
        <v>41</v>
      </c>
      <c r="AE23" s="16" t="s">
        <v>41</v>
      </c>
      <c r="AF23" s="16"/>
      <c r="AG23" s="16"/>
      <c r="AH23" s="16"/>
    </row>
    <row r="24" spans="1:34" ht="15.75" customHeight="1" x14ac:dyDescent="0.35">
      <c r="A24" s="27">
        <v>21</v>
      </c>
      <c r="B24" s="16" t="s">
        <v>232</v>
      </c>
      <c r="C24" s="16" t="s">
        <v>232</v>
      </c>
      <c r="D24" s="15">
        <v>1</v>
      </c>
      <c r="E24" s="16" t="s">
        <v>3276</v>
      </c>
      <c r="F24" s="16" t="s">
        <v>3276</v>
      </c>
      <c r="G24" s="16" t="s">
        <v>3276</v>
      </c>
      <c r="H24" s="16" t="s">
        <v>3276</v>
      </c>
      <c r="I24" s="16" t="s">
        <v>3276</v>
      </c>
      <c r="J24" s="16" t="s">
        <v>3276</v>
      </c>
      <c r="K24" s="16" t="s">
        <v>3276</v>
      </c>
      <c r="L24" s="16" t="s">
        <v>3276</v>
      </c>
      <c r="M24" s="16" t="s">
        <v>3276</v>
      </c>
      <c r="N24" s="16" t="s">
        <v>3276</v>
      </c>
      <c r="O24" s="16" t="s">
        <v>3276</v>
      </c>
      <c r="P24" s="16" t="s">
        <v>3276</v>
      </c>
      <c r="Q24" s="16" t="s">
        <v>3276</v>
      </c>
      <c r="R24" s="16" t="s">
        <v>3276</v>
      </c>
      <c r="S24" s="16" t="s">
        <v>3276</v>
      </c>
      <c r="T24" s="16" t="s">
        <v>3276</v>
      </c>
      <c r="U24" s="16" t="s">
        <v>3276</v>
      </c>
      <c r="V24" s="16" t="s">
        <v>3276</v>
      </c>
      <c r="W24" s="16" t="s">
        <v>3276</v>
      </c>
      <c r="X24" s="16" t="s">
        <v>3276</v>
      </c>
      <c r="Y24" s="16" t="s">
        <v>3276</v>
      </c>
      <c r="Z24" s="16" t="s">
        <v>3276</v>
      </c>
      <c r="AA24" s="16" t="s">
        <v>3276</v>
      </c>
      <c r="AB24" s="16" t="s">
        <v>3276</v>
      </c>
      <c r="AC24" s="16" t="s">
        <v>3276</v>
      </c>
      <c r="AD24" s="16" t="s">
        <v>3276</v>
      </c>
      <c r="AE24" s="16" t="s">
        <v>3276</v>
      </c>
      <c r="AF24" s="16" t="s">
        <v>3276</v>
      </c>
      <c r="AG24" s="16" t="s">
        <v>3276</v>
      </c>
      <c r="AH24" s="16" t="s">
        <v>3276</v>
      </c>
    </row>
    <row r="25" spans="1:34" ht="15.75" customHeight="1" x14ac:dyDescent="0.35">
      <c r="D25" s="10"/>
    </row>
    <row r="26" spans="1:34" ht="15.75" customHeight="1" x14ac:dyDescent="0.35">
      <c r="D26" s="10"/>
    </row>
    <row r="27" spans="1:34" ht="15.75" customHeight="1" x14ac:dyDescent="0.35">
      <c r="D27" s="10"/>
      <c r="G27" s="133" t="s">
        <v>3315</v>
      </c>
      <c r="H27" s="127"/>
      <c r="I27" s="127"/>
      <c r="J27" s="128"/>
      <c r="K27" s="134" t="s">
        <v>3278</v>
      </c>
      <c r="L27" s="127"/>
      <c r="M27" s="127"/>
      <c r="N27" s="128"/>
      <c r="Q27" s="138" t="s">
        <v>3250</v>
      </c>
      <c r="R27" s="127"/>
      <c r="S27" s="127"/>
      <c r="T27" s="127"/>
      <c r="U27" s="128"/>
    </row>
    <row r="28" spans="1:34" ht="15.75" customHeight="1" x14ac:dyDescent="0.35">
      <c r="B28" s="33" t="s">
        <v>3279</v>
      </c>
      <c r="C28" s="36" t="s">
        <v>3253</v>
      </c>
      <c r="D28" s="34" t="s">
        <v>3280</v>
      </c>
      <c r="E28" s="36" t="s">
        <v>3254</v>
      </c>
      <c r="G28" s="136" t="s">
        <v>3281</v>
      </c>
      <c r="H28" s="30" t="s">
        <v>3253</v>
      </c>
      <c r="I28" s="30" t="s">
        <v>3280</v>
      </c>
      <c r="J28" s="60" t="s">
        <v>3254</v>
      </c>
      <c r="K28" s="136" t="s">
        <v>3281</v>
      </c>
      <c r="L28" s="30" t="s">
        <v>3253</v>
      </c>
      <c r="M28" s="30" t="s">
        <v>3280</v>
      </c>
      <c r="N28" s="60" t="s">
        <v>3254</v>
      </c>
      <c r="Q28" s="33" t="s">
        <v>3279</v>
      </c>
      <c r="R28" s="34" t="s">
        <v>3253</v>
      </c>
      <c r="S28" s="34" t="s">
        <v>3254</v>
      </c>
      <c r="T28" s="34" t="s">
        <v>3285</v>
      </c>
      <c r="U28" s="34" t="s">
        <v>3256</v>
      </c>
    </row>
    <row r="29" spans="1:34" ht="15.75" customHeight="1" x14ac:dyDescent="0.35">
      <c r="B29" s="36" t="s">
        <v>3282</v>
      </c>
      <c r="C29" s="36">
        <v>21</v>
      </c>
      <c r="D29" s="34">
        <f t="shared" ref="D29:D34" si="0">C29*7</f>
        <v>147</v>
      </c>
      <c r="E29" s="36">
        <f t="shared" ref="E29:E34" si="1">C29*30</f>
        <v>630</v>
      </c>
      <c r="G29" s="137"/>
      <c r="H29" s="32">
        <v>45444</v>
      </c>
      <c r="I29" s="30" t="s">
        <v>3316</v>
      </c>
      <c r="J29" s="60" t="s">
        <v>3317</v>
      </c>
      <c r="K29" s="137"/>
      <c r="L29" s="32">
        <v>45444</v>
      </c>
      <c r="M29" s="30" t="s">
        <v>3316</v>
      </c>
      <c r="N29" s="60" t="s">
        <v>3317</v>
      </c>
      <c r="Q29" s="36" t="s">
        <v>3282</v>
      </c>
      <c r="R29" s="16">
        <f>SUM(R30:R33)</f>
        <v>20</v>
      </c>
      <c r="S29" s="16">
        <f t="shared" ref="S29:S33" si="2">R29*30</f>
        <v>600</v>
      </c>
      <c r="T29" s="16">
        <f>SUM(T30:T33)</f>
        <v>310</v>
      </c>
      <c r="U29" s="49">
        <f t="shared" ref="U29:U33" si="3">T29/S29</f>
        <v>0.51666666666666672</v>
      </c>
    </row>
    <row r="30" spans="1:34" ht="15.75" customHeight="1" x14ac:dyDescent="0.35">
      <c r="B30" s="16" t="s">
        <v>64</v>
      </c>
      <c r="C30" s="16">
        <v>6</v>
      </c>
      <c r="D30" s="30">
        <f t="shared" si="0"/>
        <v>42</v>
      </c>
      <c r="E30" s="16">
        <f t="shared" si="1"/>
        <v>180</v>
      </c>
      <c r="G30" s="16" t="s">
        <v>64</v>
      </c>
      <c r="H30" s="16">
        <f>COUNTA(E4:E9)</f>
        <v>5</v>
      </c>
      <c r="I30" s="16">
        <f>COUNTA(J4:P9)</f>
        <v>24</v>
      </c>
      <c r="J30" s="61">
        <f>COUNTA('Visualize-6-months'!D4)</f>
        <v>1</v>
      </c>
      <c r="K30" s="16" t="s">
        <v>64</v>
      </c>
      <c r="L30" s="16">
        <f>COUNTBLANK(E4:E9)</f>
        <v>1</v>
      </c>
      <c r="M30" s="16">
        <f>COUNTBLANK(J4:P9)</f>
        <v>18</v>
      </c>
      <c r="N30" s="62">
        <f>COUNTBLANK(E4:AH9)</f>
        <v>61</v>
      </c>
      <c r="Q30" s="16" t="s">
        <v>64</v>
      </c>
      <c r="R30" s="16">
        <v>6</v>
      </c>
      <c r="S30" s="16">
        <f t="shared" si="2"/>
        <v>180</v>
      </c>
      <c r="T30" s="16">
        <v>119</v>
      </c>
      <c r="U30" s="49">
        <f t="shared" si="3"/>
        <v>0.66111111111111109</v>
      </c>
    </row>
    <row r="31" spans="1:34" ht="15.75" customHeight="1" x14ac:dyDescent="0.35">
      <c r="B31" s="16" t="s">
        <v>59</v>
      </c>
      <c r="C31" s="16">
        <v>4</v>
      </c>
      <c r="D31" s="30">
        <f t="shared" si="0"/>
        <v>28</v>
      </c>
      <c r="E31" s="16">
        <f t="shared" si="1"/>
        <v>120</v>
      </c>
      <c r="G31" s="16" t="s">
        <v>59</v>
      </c>
      <c r="H31" s="35">
        <f>COUNTA(E10:E13)</f>
        <v>1</v>
      </c>
      <c r="I31" s="16"/>
      <c r="J31" s="61">
        <f>COUNTA(E10:AH13)</f>
        <v>68</v>
      </c>
      <c r="K31" s="16" t="s">
        <v>59</v>
      </c>
      <c r="L31" s="35">
        <f>COUNTBLANK(I10:I14)</f>
        <v>3</v>
      </c>
      <c r="M31" s="16"/>
      <c r="N31" s="61">
        <f>COUNTBLANK(E10:AH13)</f>
        <v>52</v>
      </c>
      <c r="Q31" s="16" t="s">
        <v>59</v>
      </c>
      <c r="R31" s="16">
        <v>4</v>
      </c>
      <c r="S31" s="16">
        <f t="shared" si="2"/>
        <v>120</v>
      </c>
      <c r="T31" s="16">
        <v>68</v>
      </c>
      <c r="U31" s="49">
        <f t="shared" si="3"/>
        <v>0.56666666666666665</v>
      </c>
    </row>
    <row r="32" spans="1:34" ht="15.75" customHeight="1" x14ac:dyDescent="0.35">
      <c r="B32" s="16" t="s">
        <v>71</v>
      </c>
      <c r="C32" s="16">
        <v>3</v>
      </c>
      <c r="D32" s="30">
        <f t="shared" si="0"/>
        <v>21</v>
      </c>
      <c r="E32" s="16">
        <f t="shared" si="1"/>
        <v>90</v>
      </c>
      <c r="G32" s="16" t="s">
        <v>71</v>
      </c>
      <c r="H32" s="35">
        <f>COUNTA(E14:E16)</f>
        <v>1</v>
      </c>
      <c r="I32" s="16"/>
      <c r="J32" s="61">
        <f>COUNTA(E14:AH16)</f>
        <v>35</v>
      </c>
      <c r="K32" s="16" t="s">
        <v>71</v>
      </c>
      <c r="L32" s="35">
        <f>COUNTBLANK(I14:I16)</f>
        <v>3</v>
      </c>
      <c r="M32" s="16"/>
      <c r="N32" s="61">
        <f>COUNTBLANK(E14:AH16)</f>
        <v>55</v>
      </c>
      <c r="Q32" s="16" t="s">
        <v>71</v>
      </c>
      <c r="R32" s="16">
        <v>3</v>
      </c>
      <c r="S32" s="16">
        <f t="shared" si="2"/>
        <v>90</v>
      </c>
      <c r="T32" s="16">
        <v>35</v>
      </c>
      <c r="U32" s="49">
        <f t="shared" si="3"/>
        <v>0.3888888888888889</v>
      </c>
    </row>
    <row r="33" spans="2:25" ht="15.75" customHeight="1" x14ac:dyDescent="0.35">
      <c r="B33" s="16" t="s">
        <v>3286</v>
      </c>
      <c r="C33" s="16">
        <v>7</v>
      </c>
      <c r="D33" s="30">
        <f t="shared" si="0"/>
        <v>49</v>
      </c>
      <c r="E33" s="16">
        <f t="shared" si="1"/>
        <v>210</v>
      </c>
      <c r="G33" s="16" t="s">
        <v>3286</v>
      </c>
      <c r="H33" s="35">
        <f>COUNTA(E17:E23)</f>
        <v>0</v>
      </c>
      <c r="I33" s="16"/>
      <c r="J33" s="61">
        <f>COUNTA(E17:AH23)</f>
        <v>88</v>
      </c>
      <c r="K33" s="16" t="s">
        <v>3286</v>
      </c>
      <c r="L33" s="35">
        <f>COUNTBLANK(I17:I23)</f>
        <v>6</v>
      </c>
      <c r="M33" s="16"/>
      <c r="N33" s="61">
        <f>COUNTBLANK(E17:AH23)</f>
        <v>122</v>
      </c>
      <c r="Q33" s="16" t="s">
        <v>3286</v>
      </c>
      <c r="R33" s="16">
        <v>7</v>
      </c>
      <c r="S33" s="16">
        <f t="shared" si="2"/>
        <v>210</v>
      </c>
      <c r="T33" s="16">
        <v>88</v>
      </c>
      <c r="U33" s="49">
        <f t="shared" si="3"/>
        <v>0.41904761904761906</v>
      </c>
    </row>
    <row r="34" spans="2:25" ht="15.75" customHeight="1" x14ac:dyDescent="0.35">
      <c r="B34" s="16" t="s">
        <v>3287</v>
      </c>
      <c r="C34" s="16">
        <v>1</v>
      </c>
      <c r="D34" s="30">
        <f t="shared" si="0"/>
        <v>7</v>
      </c>
      <c r="E34" s="16">
        <f t="shared" si="1"/>
        <v>30</v>
      </c>
      <c r="G34" s="16" t="s">
        <v>3287</v>
      </c>
      <c r="H34" s="16"/>
      <c r="I34" s="16"/>
      <c r="J34" s="61"/>
      <c r="K34" s="16" t="s">
        <v>3287</v>
      </c>
      <c r="L34" s="16">
        <f>COUNTBLANK(I24)</f>
        <v>0</v>
      </c>
      <c r="M34" s="16"/>
      <c r="N34" s="61"/>
    </row>
    <row r="35" spans="2:25" ht="15.75" customHeight="1" x14ac:dyDescent="0.35">
      <c r="D35" s="10"/>
      <c r="H35" s="8"/>
      <c r="I35" s="8"/>
      <c r="J35" s="8"/>
    </row>
    <row r="36" spans="2:25" ht="15.75" customHeight="1" x14ac:dyDescent="0.35">
      <c r="D36" s="10"/>
      <c r="G36" s="8"/>
      <c r="H36" s="8"/>
      <c r="I36" s="8"/>
      <c r="J36" s="8"/>
    </row>
    <row r="37" spans="2:25" ht="15.75" customHeight="1" x14ac:dyDescent="0.35">
      <c r="D37" s="10"/>
      <c r="G37" s="126" t="s">
        <v>3288</v>
      </c>
      <c r="H37" s="127"/>
      <c r="I37" s="127"/>
      <c r="J37" s="128"/>
    </row>
    <row r="38" spans="2:25" ht="15.75" customHeight="1" x14ac:dyDescent="0.35">
      <c r="B38" s="40" t="s">
        <v>3289</v>
      </c>
      <c r="C38" s="40" t="s">
        <v>3290</v>
      </c>
      <c r="D38" s="8"/>
      <c r="G38" s="40" t="s">
        <v>3290</v>
      </c>
      <c r="H38" s="40" t="s">
        <v>3253</v>
      </c>
      <c r="I38" s="40" t="s">
        <v>3280</v>
      </c>
      <c r="J38" s="40" t="s">
        <v>3254</v>
      </c>
      <c r="M38" s="129" t="s">
        <v>3291</v>
      </c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1"/>
    </row>
    <row r="39" spans="2:25" ht="15.75" customHeight="1" x14ac:dyDescent="0.35">
      <c r="B39" s="16" t="s">
        <v>3272</v>
      </c>
      <c r="C39" s="16" t="s">
        <v>3292</v>
      </c>
      <c r="D39" s="10"/>
      <c r="G39" s="16" t="s">
        <v>3292</v>
      </c>
      <c r="H39" s="16"/>
      <c r="I39" s="16"/>
      <c r="J39" s="16">
        <f t="shared" ref="J39:J48" si="4">COUNTIF($E$4:$AH$24,B39)</f>
        <v>8</v>
      </c>
      <c r="M39" s="31" t="s">
        <v>3281</v>
      </c>
      <c r="N39" s="40" t="s">
        <v>3293</v>
      </c>
      <c r="O39" s="40" t="s">
        <v>3292</v>
      </c>
      <c r="P39" s="40" t="s">
        <v>3294</v>
      </c>
      <c r="Q39" s="40" t="s">
        <v>3295</v>
      </c>
      <c r="R39" s="40" t="s">
        <v>3296</v>
      </c>
      <c r="S39" s="40" t="s">
        <v>3297</v>
      </c>
      <c r="T39" s="40" t="s">
        <v>3298</v>
      </c>
      <c r="U39" s="40" t="s">
        <v>3299</v>
      </c>
      <c r="V39" s="40" t="s">
        <v>3300</v>
      </c>
      <c r="W39" s="40" t="s">
        <v>3301</v>
      </c>
      <c r="X39" s="40" t="s">
        <v>3302</v>
      </c>
      <c r="Y39" s="29" t="s">
        <v>3303</v>
      </c>
    </row>
    <row r="40" spans="2:25" ht="15.75" customHeight="1" x14ac:dyDescent="0.35">
      <c r="B40" s="16" t="s">
        <v>3273</v>
      </c>
      <c r="C40" s="16" t="s">
        <v>3294</v>
      </c>
      <c r="D40" s="10"/>
      <c r="G40" s="16" t="s">
        <v>3294</v>
      </c>
      <c r="H40" s="16"/>
      <c r="I40" s="16"/>
      <c r="J40" s="16">
        <f t="shared" si="4"/>
        <v>50</v>
      </c>
      <c r="M40" s="16" t="s">
        <v>64</v>
      </c>
      <c r="N40" s="29">
        <v>119</v>
      </c>
      <c r="O40" s="16">
        <f t="shared" ref="O40:Y40" si="5">COUNTIF($E$4:$AH$9,O44)</f>
        <v>0</v>
      </c>
      <c r="P40" s="16">
        <f t="shared" si="5"/>
        <v>31</v>
      </c>
      <c r="Q40" s="16">
        <f t="shared" si="5"/>
        <v>2</v>
      </c>
      <c r="R40" s="16">
        <f t="shared" si="5"/>
        <v>79</v>
      </c>
      <c r="S40" s="16">
        <f t="shared" si="5"/>
        <v>7</v>
      </c>
      <c r="T40" s="16">
        <f t="shared" si="5"/>
        <v>0</v>
      </c>
      <c r="U40" s="16">
        <f t="shared" si="5"/>
        <v>0</v>
      </c>
      <c r="V40" s="16">
        <f t="shared" si="5"/>
        <v>0</v>
      </c>
      <c r="W40" s="16">
        <f t="shared" si="5"/>
        <v>0</v>
      </c>
      <c r="X40" s="16">
        <f t="shared" si="5"/>
        <v>0</v>
      </c>
      <c r="Y40" s="16">
        <f t="shared" si="5"/>
        <v>0</v>
      </c>
    </row>
    <row r="41" spans="2:25" ht="15.75" customHeight="1" x14ac:dyDescent="0.35">
      <c r="B41" s="16" t="s">
        <v>3275</v>
      </c>
      <c r="C41" s="16" t="s">
        <v>3295</v>
      </c>
      <c r="D41" s="10"/>
      <c r="G41" s="16" t="s">
        <v>3295</v>
      </c>
      <c r="H41" s="16"/>
      <c r="I41" s="16"/>
      <c r="J41" s="16">
        <f t="shared" si="4"/>
        <v>27</v>
      </c>
      <c r="M41" s="16" t="s">
        <v>59</v>
      </c>
      <c r="N41" s="29">
        <v>68</v>
      </c>
      <c r="O41" s="16">
        <f t="shared" ref="O41:Y41" si="6">COUNTIF($E$10:$AH$13,O44)</f>
        <v>6</v>
      </c>
      <c r="P41" s="16">
        <f t="shared" si="6"/>
        <v>14</v>
      </c>
      <c r="Q41" s="16">
        <f t="shared" si="6"/>
        <v>0</v>
      </c>
      <c r="R41" s="16">
        <f t="shared" si="6"/>
        <v>47</v>
      </c>
      <c r="S41" s="16">
        <f t="shared" si="6"/>
        <v>1</v>
      </c>
      <c r="T41" s="16">
        <f t="shared" si="6"/>
        <v>0</v>
      </c>
      <c r="U41" s="16">
        <f t="shared" si="6"/>
        <v>0</v>
      </c>
      <c r="V41" s="16">
        <f t="shared" si="6"/>
        <v>0</v>
      </c>
      <c r="W41" s="16">
        <f t="shared" si="6"/>
        <v>0</v>
      </c>
      <c r="X41" s="16">
        <f t="shared" si="6"/>
        <v>0</v>
      </c>
      <c r="Y41" s="16">
        <f t="shared" si="6"/>
        <v>0</v>
      </c>
    </row>
    <row r="42" spans="2:25" ht="15.75" customHeight="1" x14ac:dyDescent="0.35">
      <c r="B42" s="16" t="s">
        <v>41</v>
      </c>
      <c r="C42" s="16" t="s">
        <v>3296</v>
      </c>
      <c r="D42" s="10"/>
      <c r="G42" s="16" t="s">
        <v>3296</v>
      </c>
      <c r="H42" s="16"/>
      <c r="I42" s="16"/>
      <c r="J42" s="16">
        <f t="shared" si="4"/>
        <v>200</v>
      </c>
      <c r="M42" s="16" t="s">
        <v>71</v>
      </c>
      <c r="N42" s="29">
        <v>35</v>
      </c>
      <c r="O42" s="16">
        <f t="shared" ref="O42:Y42" si="7">COUNTIF($E$14:$AH$16,O44)</f>
        <v>2</v>
      </c>
      <c r="P42" s="16">
        <f t="shared" si="7"/>
        <v>5</v>
      </c>
      <c r="Q42" s="16">
        <f t="shared" si="7"/>
        <v>6</v>
      </c>
      <c r="R42" s="16">
        <f t="shared" si="7"/>
        <v>19</v>
      </c>
      <c r="S42" s="16">
        <f t="shared" si="7"/>
        <v>2</v>
      </c>
      <c r="T42" s="16">
        <f t="shared" si="7"/>
        <v>1</v>
      </c>
      <c r="U42" s="16">
        <f t="shared" si="7"/>
        <v>0</v>
      </c>
      <c r="V42" s="16">
        <f t="shared" si="7"/>
        <v>0</v>
      </c>
      <c r="W42" s="16">
        <f t="shared" si="7"/>
        <v>0</v>
      </c>
      <c r="X42" s="16">
        <f t="shared" si="7"/>
        <v>0</v>
      </c>
      <c r="Y42" s="16">
        <f t="shared" si="7"/>
        <v>0</v>
      </c>
    </row>
    <row r="43" spans="2:25" ht="15.75" customHeight="1" x14ac:dyDescent="0.35">
      <c r="B43" s="16" t="s">
        <v>3274</v>
      </c>
      <c r="C43" s="16" t="s">
        <v>3297</v>
      </c>
      <c r="D43" s="10"/>
      <c r="G43" s="16" t="s">
        <v>3297</v>
      </c>
      <c r="H43" s="16"/>
      <c r="I43" s="16"/>
      <c r="J43" s="16">
        <f t="shared" si="4"/>
        <v>24</v>
      </c>
      <c r="M43" s="16" t="s">
        <v>3286</v>
      </c>
      <c r="N43" s="29">
        <v>88</v>
      </c>
      <c r="O43" s="16">
        <f t="shared" ref="O43:Y43" si="8">COUNTIF($E$17:$AH$23,O44)</f>
        <v>0</v>
      </c>
      <c r="P43" s="16">
        <f t="shared" si="8"/>
        <v>0</v>
      </c>
      <c r="Q43" s="16">
        <f t="shared" si="8"/>
        <v>19</v>
      </c>
      <c r="R43" s="16">
        <f t="shared" si="8"/>
        <v>55</v>
      </c>
      <c r="S43" s="16">
        <f t="shared" si="8"/>
        <v>14</v>
      </c>
      <c r="T43" s="16">
        <f t="shared" si="8"/>
        <v>0</v>
      </c>
      <c r="U43" s="16">
        <f t="shared" si="8"/>
        <v>0</v>
      </c>
      <c r="V43" s="16">
        <f t="shared" si="8"/>
        <v>0</v>
      </c>
      <c r="W43" s="16">
        <f t="shared" si="8"/>
        <v>0</v>
      </c>
      <c r="X43" s="16">
        <f t="shared" si="8"/>
        <v>0</v>
      </c>
      <c r="Y43" s="16">
        <f t="shared" si="8"/>
        <v>0</v>
      </c>
    </row>
    <row r="44" spans="2:25" ht="15.75" customHeight="1" x14ac:dyDescent="0.35">
      <c r="B44" s="16" t="s">
        <v>3304</v>
      </c>
      <c r="C44" s="16" t="s">
        <v>3298</v>
      </c>
      <c r="D44" s="10"/>
      <c r="G44" s="16" t="s">
        <v>3298</v>
      </c>
      <c r="H44" s="16"/>
      <c r="I44" s="16"/>
      <c r="J44" s="16">
        <f t="shared" si="4"/>
        <v>1</v>
      </c>
      <c r="O44" s="28" t="s">
        <v>3272</v>
      </c>
      <c r="P44" s="28" t="s">
        <v>3273</v>
      </c>
      <c r="Q44" s="28" t="s">
        <v>3275</v>
      </c>
      <c r="R44" s="28" t="s">
        <v>41</v>
      </c>
      <c r="S44" s="28" t="s">
        <v>3274</v>
      </c>
      <c r="T44" s="28" t="s">
        <v>3304</v>
      </c>
      <c r="U44" s="28" t="s">
        <v>3305</v>
      </c>
      <c r="V44" s="28" t="s">
        <v>3271</v>
      </c>
      <c r="W44" s="28" t="s">
        <v>3306</v>
      </c>
      <c r="X44" s="28" t="s">
        <v>53</v>
      </c>
      <c r="Y44" s="28" t="s">
        <v>3307</v>
      </c>
    </row>
    <row r="45" spans="2:25" ht="15.75" customHeight="1" x14ac:dyDescent="0.35">
      <c r="B45" s="16" t="s">
        <v>3305</v>
      </c>
      <c r="C45" s="16" t="s">
        <v>3299</v>
      </c>
      <c r="D45" s="10"/>
      <c r="G45" s="16" t="s">
        <v>3299</v>
      </c>
      <c r="H45" s="16"/>
      <c r="I45" s="16"/>
      <c r="J45" s="16">
        <f t="shared" si="4"/>
        <v>0</v>
      </c>
    </row>
    <row r="46" spans="2:25" ht="15.75" customHeight="1" x14ac:dyDescent="0.35">
      <c r="B46" s="16" t="s">
        <v>3271</v>
      </c>
      <c r="C46" s="16" t="s">
        <v>3300</v>
      </c>
      <c r="D46" s="10"/>
      <c r="G46" s="16" t="s">
        <v>3300</v>
      </c>
      <c r="H46" s="16"/>
      <c r="I46" s="16"/>
      <c r="J46" s="16">
        <f t="shared" si="4"/>
        <v>0</v>
      </c>
    </row>
    <row r="47" spans="2:25" ht="15.75" customHeight="1" x14ac:dyDescent="0.35">
      <c r="B47" s="16" t="s">
        <v>3306</v>
      </c>
      <c r="C47" s="16" t="s">
        <v>3301</v>
      </c>
      <c r="D47" s="10"/>
      <c r="G47" s="16" t="s">
        <v>3301</v>
      </c>
      <c r="H47" s="16"/>
      <c r="I47" s="16"/>
      <c r="J47" s="16">
        <f t="shared" si="4"/>
        <v>0</v>
      </c>
    </row>
    <row r="48" spans="2:25" ht="15.75" customHeight="1" x14ac:dyDescent="0.35">
      <c r="B48" s="16" t="s">
        <v>53</v>
      </c>
      <c r="C48" s="16" t="s">
        <v>3302</v>
      </c>
      <c r="D48" s="10"/>
      <c r="G48" s="16" t="s">
        <v>3302</v>
      </c>
      <c r="H48" s="16"/>
      <c r="I48" s="16"/>
      <c r="J48" s="16">
        <f t="shared" si="4"/>
        <v>0</v>
      </c>
    </row>
    <row r="49" spans="2:10" ht="15.75" customHeight="1" x14ac:dyDescent="0.35">
      <c r="B49" s="16" t="s">
        <v>3307</v>
      </c>
      <c r="C49" s="16" t="s">
        <v>3303</v>
      </c>
      <c r="D49" s="10"/>
      <c r="G49" s="16" t="s">
        <v>3303</v>
      </c>
      <c r="H49" s="16"/>
      <c r="I49" s="16"/>
      <c r="J49" s="16">
        <f>COUNTIF($E$4:$AI$24,B49)</f>
        <v>0</v>
      </c>
    </row>
    <row r="50" spans="2:10" ht="15.75" customHeight="1" x14ac:dyDescent="0.35">
      <c r="D50" s="10"/>
    </row>
    <row r="51" spans="2:10" ht="15.75" customHeight="1" x14ac:dyDescent="0.35">
      <c r="D51" s="10"/>
    </row>
    <row r="52" spans="2:10" ht="15.75" customHeight="1" x14ac:dyDescent="0.35">
      <c r="D52" s="10"/>
    </row>
    <row r="53" spans="2:10" ht="15.75" customHeight="1" x14ac:dyDescent="0.35">
      <c r="D53" s="10"/>
    </row>
    <row r="54" spans="2:10" ht="15.75" customHeight="1" x14ac:dyDescent="0.35">
      <c r="D54" s="10"/>
    </row>
    <row r="55" spans="2:10" ht="15.75" customHeight="1" x14ac:dyDescent="0.35">
      <c r="D55" s="10"/>
    </row>
    <row r="56" spans="2:10" ht="15.75" customHeight="1" x14ac:dyDescent="0.35">
      <c r="D56" s="10"/>
    </row>
    <row r="57" spans="2:10" ht="15.75" customHeight="1" x14ac:dyDescent="0.35">
      <c r="D57" s="10"/>
    </row>
    <row r="58" spans="2:10" ht="15.75" customHeight="1" x14ac:dyDescent="0.35">
      <c r="D58" s="10"/>
    </row>
    <row r="59" spans="2:10" ht="15.75" customHeight="1" x14ac:dyDescent="0.35">
      <c r="D59" s="10"/>
    </row>
    <row r="60" spans="2:10" ht="15.75" customHeight="1" x14ac:dyDescent="0.35">
      <c r="D60" s="10"/>
    </row>
    <row r="61" spans="2:10" ht="15.75" customHeight="1" x14ac:dyDescent="0.35">
      <c r="D61" s="10"/>
    </row>
    <row r="62" spans="2:10" ht="15.75" customHeight="1" x14ac:dyDescent="0.35">
      <c r="D62" s="10"/>
    </row>
    <row r="63" spans="2:10" ht="15.75" customHeight="1" x14ac:dyDescent="0.35">
      <c r="D63" s="10"/>
    </row>
    <row r="64" spans="2:10" ht="15.75" customHeight="1" x14ac:dyDescent="0.35">
      <c r="D64" s="10"/>
    </row>
    <row r="65" spans="4:4" ht="15.75" customHeight="1" x14ac:dyDescent="0.35">
      <c r="D65" s="10"/>
    </row>
    <row r="66" spans="4:4" ht="15.75" customHeight="1" x14ac:dyDescent="0.35">
      <c r="D66" s="10"/>
    </row>
    <row r="67" spans="4:4" ht="15.75" customHeight="1" x14ac:dyDescent="0.35">
      <c r="D67" s="10"/>
    </row>
    <row r="68" spans="4:4" ht="15.75" customHeight="1" x14ac:dyDescent="0.35">
      <c r="D68" s="10"/>
    </row>
    <row r="69" spans="4:4" ht="15.75" customHeight="1" x14ac:dyDescent="0.35">
      <c r="D69" s="10"/>
    </row>
    <row r="70" spans="4:4" ht="15.75" customHeight="1" x14ac:dyDescent="0.35">
      <c r="D70" s="10"/>
    </row>
    <row r="71" spans="4:4" ht="15.75" customHeight="1" x14ac:dyDescent="0.35">
      <c r="D71" s="10"/>
    </row>
    <row r="72" spans="4:4" ht="15.75" customHeight="1" x14ac:dyDescent="0.35">
      <c r="D72" s="10"/>
    </row>
    <row r="73" spans="4:4" ht="15.75" customHeight="1" x14ac:dyDescent="0.35">
      <c r="D73" s="10"/>
    </row>
    <row r="74" spans="4:4" ht="15.75" customHeight="1" x14ac:dyDescent="0.35">
      <c r="D74" s="10"/>
    </row>
    <row r="75" spans="4:4" ht="15.75" customHeight="1" x14ac:dyDescent="0.35">
      <c r="D75" s="10"/>
    </row>
    <row r="76" spans="4:4" ht="15.75" customHeight="1" x14ac:dyDescent="0.35">
      <c r="D76" s="10"/>
    </row>
    <row r="77" spans="4:4" ht="15.75" customHeight="1" x14ac:dyDescent="0.35">
      <c r="D77" s="10"/>
    </row>
    <row r="78" spans="4:4" ht="15.75" customHeight="1" x14ac:dyDescent="0.35">
      <c r="D78" s="10"/>
    </row>
    <row r="79" spans="4:4" ht="15.75" customHeight="1" x14ac:dyDescent="0.35">
      <c r="D79" s="10"/>
    </row>
    <row r="80" spans="4:4" ht="15.75" customHeight="1" x14ac:dyDescent="0.35">
      <c r="D80" s="10"/>
    </row>
    <row r="81" spans="4:4" ht="15.75" customHeight="1" x14ac:dyDescent="0.35">
      <c r="D81" s="10"/>
    </row>
    <row r="82" spans="4:4" ht="15.75" customHeight="1" x14ac:dyDescent="0.35">
      <c r="D82" s="10"/>
    </row>
    <row r="83" spans="4:4" ht="15.75" customHeight="1" x14ac:dyDescent="0.35">
      <c r="D83" s="10"/>
    </row>
    <row r="84" spans="4:4" ht="15.75" customHeight="1" x14ac:dyDescent="0.35">
      <c r="D84" s="10"/>
    </row>
    <row r="85" spans="4:4" ht="15.75" customHeight="1" x14ac:dyDescent="0.35">
      <c r="D85" s="10"/>
    </row>
    <row r="86" spans="4:4" ht="15.75" customHeight="1" x14ac:dyDescent="0.35">
      <c r="D86" s="10"/>
    </row>
    <row r="87" spans="4:4" ht="15.75" customHeight="1" x14ac:dyDescent="0.35">
      <c r="D87" s="10"/>
    </row>
    <row r="88" spans="4:4" ht="15.75" customHeight="1" x14ac:dyDescent="0.35">
      <c r="D88" s="10"/>
    </row>
    <row r="89" spans="4:4" ht="15.75" customHeight="1" x14ac:dyDescent="0.35">
      <c r="D89" s="10"/>
    </row>
    <row r="90" spans="4:4" ht="15.75" customHeight="1" x14ac:dyDescent="0.35">
      <c r="D90" s="10"/>
    </row>
    <row r="91" spans="4:4" ht="15.75" customHeight="1" x14ac:dyDescent="0.35">
      <c r="D91" s="10"/>
    </row>
    <row r="92" spans="4:4" ht="15.75" customHeight="1" x14ac:dyDescent="0.35">
      <c r="D92" s="10"/>
    </row>
    <row r="93" spans="4:4" ht="15.75" customHeight="1" x14ac:dyDescent="0.35">
      <c r="D93" s="10"/>
    </row>
    <row r="94" spans="4:4" ht="15.75" customHeight="1" x14ac:dyDescent="0.35">
      <c r="D94" s="10"/>
    </row>
    <row r="95" spans="4:4" ht="15.75" customHeight="1" x14ac:dyDescent="0.35">
      <c r="D95" s="10"/>
    </row>
    <row r="96" spans="4:4" ht="15.75" customHeight="1" x14ac:dyDescent="0.35">
      <c r="D96" s="10"/>
    </row>
    <row r="97" spans="4:4" ht="15.75" customHeight="1" x14ac:dyDescent="0.35">
      <c r="D97" s="10"/>
    </row>
    <row r="98" spans="4:4" ht="15.75" customHeight="1" x14ac:dyDescent="0.35">
      <c r="D98" s="10"/>
    </row>
    <row r="99" spans="4:4" ht="15.75" customHeight="1" x14ac:dyDescent="0.35">
      <c r="D99" s="10"/>
    </row>
    <row r="100" spans="4:4" ht="15.75" customHeight="1" x14ac:dyDescent="0.35">
      <c r="D100" s="10"/>
    </row>
    <row r="101" spans="4:4" ht="15.75" customHeight="1" x14ac:dyDescent="0.35">
      <c r="D101" s="10"/>
    </row>
    <row r="102" spans="4:4" ht="15.75" customHeight="1" x14ac:dyDescent="0.35">
      <c r="D102" s="10"/>
    </row>
    <row r="103" spans="4:4" ht="15.75" customHeight="1" x14ac:dyDescent="0.35">
      <c r="D103" s="10"/>
    </row>
    <row r="104" spans="4:4" ht="15.75" customHeight="1" x14ac:dyDescent="0.35">
      <c r="D104" s="10"/>
    </row>
    <row r="105" spans="4:4" ht="15.75" customHeight="1" x14ac:dyDescent="0.35">
      <c r="D105" s="10"/>
    </row>
    <row r="106" spans="4:4" ht="15.75" customHeight="1" x14ac:dyDescent="0.35">
      <c r="D106" s="10"/>
    </row>
    <row r="107" spans="4:4" ht="15.75" customHeight="1" x14ac:dyDescent="0.35">
      <c r="D107" s="10"/>
    </row>
    <row r="108" spans="4:4" ht="15.75" customHeight="1" x14ac:dyDescent="0.35">
      <c r="D108" s="10"/>
    </row>
    <row r="109" spans="4:4" ht="15.75" customHeight="1" x14ac:dyDescent="0.35">
      <c r="D109" s="10"/>
    </row>
    <row r="110" spans="4:4" ht="15.75" customHeight="1" x14ac:dyDescent="0.35">
      <c r="D110" s="10"/>
    </row>
    <row r="111" spans="4:4" ht="15.75" customHeight="1" x14ac:dyDescent="0.35">
      <c r="D111" s="10"/>
    </row>
    <row r="112" spans="4:4" ht="15.75" customHeight="1" x14ac:dyDescent="0.35">
      <c r="D112" s="10"/>
    </row>
    <row r="113" spans="4:4" ht="15.75" customHeight="1" x14ac:dyDescent="0.35">
      <c r="D113" s="10"/>
    </row>
    <row r="114" spans="4:4" ht="15.75" customHeight="1" x14ac:dyDescent="0.35">
      <c r="D114" s="10"/>
    </row>
    <row r="115" spans="4:4" ht="15.75" customHeight="1" x14ac:dyDescent="0.35">
      <c r="D115" s="10"/>
    </row>
    <row r="116" spans="4:4" ht="15.75" customHeight="1" x14ac:dyDescent="0.35">
      <c r="D116" s="10"/>
    </row>
    <row r="117" spans="4:4" ht="15.75" customHeight="1" x14ac:dyDescent="0.35">
      <c r="D117" s="10"/>
    </row>
    <row r="118" spans="4:4" ht="15.75" customHeight="1" x14ac:dyDescent="0.35">
      <c r="D118" s="10"/>
    </row>
    <row r="119" spans="4:4" ht="15.75" customHeight="1" x14ac:dyDescent="0.35">
      <c r="D119" s="10"/>
    </row>
    <row r="120" spans="4:4" ht="15.75" customHeight="1" x14ac:dyDescent="0.35">
      <c r="D120" s="10"/>
    </row>
    <row r="121" spans="4:4" ht="15.75" customHeight="1" x14ac:dyDescent="0.35">
      <c r="D121" s="10"/>
    </row>
    <row r="122" spans="4:4" ht="15.75" customHeight="1" x14ac:dyDescent="0.35">
      <c r="D122" s="10"/>
    </row>
    <row r="123" spans="4:4" ht="15.75" customHeight="1" x14ac:dyDescent="0.35">
      <c r="D123" s="10"/>
    </row>
    <row r="124" spans="4:4" ht="15.75" customHeight="1" x14ac:dyDescent="0.35">
      <c r="D124" s="10"/>
    </row>
    <row r="125" spans="4:4" ht="15.75" customHeight="1" x14ac:dyDescent="0.35">
      <c r="D125" s="10"/>
    </row>
    <row r="126" spans="4:4" ht="15.75" customHeight="1" x14ac:dyDescent="0.35">
      <c r="D126" s="10"/>
    </row>
    <row r="127" spans="4:4" ht="15.75" customHeight="1" x14ac:dyDescent="0.35">
      <c r="D127" s="10"/>
    </row>
    <row r="128" spans="4:4" ht="15.75" customHeight="1" x14ac:dyDescent="0.35">
      <c r="D128" s="10"/>
    </row>
    <row r="129" spans="4:4" ht="15.75" customHeight="1" x14ac:dyDescent="0.35">
      <c r="D129" s="10"/>
    </row>
    <row r="130" spans="4:4" ht="15.75" customHeight="1" x14ac:dyDescent="0.35">
      <c r="D130" s="10"/>
    </row>
    <row r="131" spans="4:4" ht="15.75" customHeight="1" x14ac:dyDescent="0.35">
      <c r="D131" s="10"/>
    </row>
    <row r="132" spans="4:4" ht="15.75" customHeight="1" x14ac:dyDescent="0.35">
      <c r="D132" s="10"/>
    </row>
    <row r="133" spans="4:4" ht="15.75" customHeight="1" x14ac:dyDescent="0.35">
      <c r="D133" s="10"/>
    </row>
    <row r="134" spans="4:4" ht="15.75" customHeight="1" x14ac:dyDescent="0.35">
      <c r="D134" s="10"/>
    </row>
    <row r="135" spans="4:4" ht="15.75" customHeight="1" x14ac:dyDescent="0.35">
      <c r="D135" s="10"/>
    </row>
    <row r="136" spans="4:4" ht="15.75" customHeight="1" x14ac:dyDescent="0.35">
      <c r="D136" s="10"/>
    </row>
    <row r="137" spans="4:4" ht="15.75" customHeight="1" x14ac:dyDescent="0.35">
      <c r="D137" s="10"/>
    </row>
    <row r="138" spans="4:4" ht="15.75" customHeight="1" x14ac:dyDescent="0.35">
      <c r="D138" s="10"/>
    </row>
    <row r="139" spans="4:4" ht="15.75" customHeight="1" x14ac:dyDescent="0.35">
      <c r="D139" s="10"/>
    </row>
    <row r="140" spans="4:4" ht="15.75" customHeight="1" x14ac:dyDescent="0.35">
      <c r="D140" s="10"/>
    </row>
    <row r="141" spans="4:4" ht="15.75" customHeight="1" x14ac:dyDescent="0.35">
      <c r="D141" s="10"/>
    </row>
    <row r="142" spans="4:4" ht="15.75" customHeight="1" x14ac:dyDescent="0.35">
      <c r="D142" s="10"/>
    </row>
    <row r="143" spans="4:4" ht="15.75" customHeight="1" x14ac:dyDescent="0.35">
      <c r="D143" s="10"/>
    </row>
    <row r="144" spans="4:4" ht="15.75" customHeight="1" x14ac:dyDescent="0.35">
      <c r="D144" s="10"/>
    </row>
    <row r="145" spans="4:4" ht="15.75" customHeight="1" x14ac:dyDescent="0.35">
      <c r="D145" s="10"/>
    </row>
    <row r="146" spans="4:4" ht="15.75" customHeight="1" x14ac:dyDescent="0.35">
      <c r="D146" s="10"/>
    </row>
    <row r="147" spans="4:4" ht="15.75" customHeight="1" x14ac:dyDescent="0.35">
      <c r="D147" s="10"/>
    </row>
    <row r="148" spans="4:4" ht="15.75" customHeight="1" x14ac:dyDescent="0.35">
      <c r="D148" s="10"/>
    </row>
    <row r="149" spans="4:4" ht="15.75" customHeight="1" x14ac:dyDescent="0.35">
      <c r="D149" s="10"/>
    </row>
    <row r="150" spans="4:4" ht="15.75" customHeight="1" x14ac:dyDescent="0.35">
      <c r="D150" s="10"/>
    </row>
    <row r="151" spans="4:4" ht="15.75" customHeight="1" x14ac:dyDescent="0.35">
      <c r="D151" s="10"/>
    </row>
    <row r="152" spans="4:4" ht="15.75" customHeight="1" x14ac:dyDescent="0.35">
      <c r="D152" s="10"/>
    </row>
    <row r="153" spans="4:4" ht="15.75" customHeight="1" x14ac:dyDescent="0.35">
      <c r="D153" s="10"/>
    </row>
    <row r="154" spans="4:4" ht="15.75" customHeight="1" x14ac:dyDescent="0.35">
      <c r="D154" s="10"/>
    </row>
    <row r="155" spans="4:4" ht="15.75" customHeight="1" x14ac:dyDescent="0.35">
      <c r="D155" s="10"/>
    </row>
    <row r="156" spans="4:4" ht="15.75" customHeight="1" x14ac:dyDescent="0.35">
      <c r="D156" s="10"/>
    </row>
    <row r="157" spans="4:4" ht="15.75" customHeight="1" x14ac:dyDescent="0.35">
      <c r="D157" s="10"/>
    </row>
    <row r="158" spans="4:4" ht="15.75" customHeight="1" x14ac:dyDescent="0.35">
      <c r="D158" s="10"/>
    </row>
    <row r="159" spans="4:4" ht="15.75" customHeight="1" x14ac:dyDescent="0.35">
      <c r="D159" s="10"/>
    </row>
    <row r="160" spans="4:4" ht="15.75" customHeight="1" x14ac:dyDescent="0.35">
      <c r="D160" s="10"/>
    </row>
    <row r="161" spans="4:4" ht="15.75" customHeight="1" x14ac:dyDescent="0.35">
      <c r="D161" s="10"/>
    </row>
    <row r="162" spans="4:4" ht="15.75" customHeight="1" x14ac:dyDescent="0.35">
      <c r="D162" s="10"/>
    </row>
    <row r="163" spans="4:4" ht="15.75" customHeight="1" x14ac:dyDescent="0.35">
      <c r="D163" s="10"/>
    </row>
    <row r="164" spans="4:4" ht="15.75" customHeight="1" x14ac:dyDescent="0.35">
      <c r="D164" s="10"/>
    </row>
    <row r="165" spans="4:4" ht="15.75" customHeight="1" x14ac:dyDescent="0.35">
      <c r="D165" s="10"/>
    </row>
    <row r="166" spans="4:4" ht="15.75" customHeight="1" x14ac:dyDescent="0.35">
      <c r="D166" s="10"/>
    </row>
    <row r="167" spans="4:4" ht="15.75" customHeight="1" x14ac:dyDescent="0.35">
      <c r="D167" s="10"/>
    </row>
    <row r="168" spans="4:4" ht="15.75" customHeight="1" x14ac:dyDescent="0.35">
      <c r="D168" s="10"/>
    </row>
    <row r="169" spans="4:4" ht="15.75" customHeight="1" x14ac:dyDescent="0.35">
      <c r="D169" s="10"/>
    </row>
    <row r="170" spans="4:4" ht="15.75" customHeight="1" x14ac:dyDescent="0.35">
      <c r="D170" s="10"/>
    </row>
    <row r="171" spans="4:4" ht="15.75" customHeight="1" x14ac:dyDescent="0.35">
      <c r="D171" s="10"/>
    </row>
    <row r="172" spans="4:4" ht="15.75" customHeight="1" x14ac:dyDescent="0.35">
      <c r="D172" s="10"/>
    </row>
    <row r="173" spans="4:4" ht="15.75" customHeight="1" x14ac:dyDescent="0.35">
      <c r="D173" s="10"/>
    </row>
    <row r="174" spans="4:4" ht="15.75" customHeight="1" x14ac:dyDescent="0.35">
      <c r="D174" s="10"/>
    </row>
    <row r="175" spans="4:4" ht="15.75" customHeight="1" x14ac:dyDescent="0.35">
      <c r="D175" s="10"/>
    </row>
    <row r="176" spans="4:4" ht="15.75" customHeight="1" x14ac:dyDescent="0.35">
      <c r="D176" s="10"/>
    </row>
    <row r="177" spans="4:4" ht="15.75" customHeight="1" x14ac:dyDescent="0.35">
      <c r="D177" s="10"/>
    </row>
    <row r="178" spans="4:4" ht="15.75" customHeight="1" x14ac:dyDescent="0.35">
      <c r="D178" s="10"/>
    </row>
    <row r="179" spans="4:4" ht="15.75" customHeight="1" x14ac:dyDescent="0.35">
      <c r="D179" s="10"/>
    </row>
    <row r="180" spans="4:4" ht="15.75" customHeight="1" x14ac:dyDescent="0.35">
      <c r="D180" s="10"/>
    </row>
    <row r="181" spans="4:4" ht="15.75" customHeight="1" x14ac:dyDescent="0.35">
      <c r="D181" s="10"/>
    </row>
    <row r="182" spans="4:4" ht="15.75" customHeight="1" x14ac:dyDescent="0.35">
      <c r="D182" s="10"/>
    </row>
    <row r="183" spans="4:4" ht="15.75" customHeight="1" x14ac:dyDescent="0.35">
      <c r="D183" s="10"/>
    </row>
    <row r="184" spans="4:4" ht="15.75" customHeight="1" x14ac:dyDescent="0.35">
      <c r="D184" s="10"/>
    </row>
    <row r="185" spans="4:4" ht="15.75" customHeight="1" x14ac:dyDescent="0.35">
      <c r="D185" s="10"/>
    </row>
    <row r="186" spans="4:4" ht="15.75" customHeight="1" x14ac:dyDescent="0.35">
      <c r="D186" s="10"/>
    </row>
    <row r="187" spans="4:4" ht="15.75" customHeight="1" x14ac:dyDescent="0.35">
      <c r="D187" s="10"/>
    </row>
    <row r="188" spans="4:4" ht="15.75" customHeight="1" x14ac:dyDescent="0.35">
      <c r="D188" s="10"/>
    </row>
    <row r="189" spans="4:4" ht="15.75" customHeight="1" x14ac:dyDescent="0.35">
      <c r="D189" s="10"/>
    </row>
    <row r="190" spans="4:4" ht="15.75" customHeight="1" x14ac:dyDescent="0.35">
      <c r="D190" s="10"/>
    </row>
    <row r="191" spans="4:4" ht="15.75" customHeight="1" x14ac:dyDescent="0.35">
      <c r="D191" s="10"/>
    </row>
    <row r="192" spans="4:4" ht="15.75" customHeight="1" x14ac:dyDescent="0.35">
      <c r="D192" s="10"/>
    </row>
    <row r="193" spans="4:4" ht="15.75" customHeight="1" x14ac:dyDescent="0.35">
      <c r="D193" s="10"/>
    </row>
    <row r="194" spans="4:4" ht="15.75" customHeight="1" x14ac:dyDescent="0.35">
      <c r="D194" s="10"/>
    </row>
    <row r="195" spans="4:4" ht="15.75" customHeight="1" x14ac:dyDescent="0.35">
      <c r="D195" s="10"/>
    </row>
    <row r="196" spans="4:4" ht="15.75" customHeight="1" x14ac:dyDescent="0.35">
      <c r="D196" s="10"/>
    </row>
    <row r="197" spans="4:4" ht="15.75" customHeight="1" x14ac:dyDescent="0.35">
      <c r="D197" s="10"/>
    </row>
    <row r="198" spans="4:4" ht="15.75" customHeight="1" x14ac:dyDescent="0.35">
      <c r="D198" s="10"/>
    </row>
    <row r="199" spans="4:4" ht="15.75" customHeight="1" x14ac:dyDescent="0.35">
      <c r="D199" s="10"/>
    </row>
    <row r="200" spans="4:4" ht="15.75" customHeight="1" x14ac:dyDescent="0.35">
      <c r="D200" s="10"/>
    </row>
    <row r="201" spans="4:4" ht="15.75" customHeight="1" x14ac:dyDescent="0.35">
      <c r="D201" s="10"/>
    </row>
    <row r="202" spans="4:4" ht="15.75" customHeight="1" x14ac:dyDescent="0.35">
      <c r="D202" s="10"/>
    </row>
    <row r="203" spans="4:4" ht="15.75" customHeight="1" x14ac:dyDescent="0.35">
      <c r="D203" s="10"/>
    </row>
    <row r="204" spans="4:4" ht="15.75" customHeight="1" x14ac:dyDescent="0.35">
      <c r="D204" s="10"/>
    </row>
    <row r="205" spans="4:4" ht="15.75" customHeight="1" x14ac:dyDescent="0.35">
      <c r="D205" s="10"/>
    </row>
    <row r="206" spans="4:4" ht="15.75" customHeight="1" x14ac:dyDescent="0.35">
      <c r="D206" s="10"/>
    </row>
    <row r="207" spans="4:4" ht="15.75" customHeight="1" x14ac:dyDescent="0.35">
      <c r="D207" s="10"/>
    </row>
    <row r="208" spans="4:4" ht="15.75" customHeight="1" x14ac:dyDescent="0.35">
      <c r="D208" s="10"/>
    </row>
    <row r="209" spans="4:4" ht="15.75" customHeight="1" x14ac:dyDescent="0.35">
      <c r="D209" s="10"/>
    </row>
    <row r="210" spans="4:4" ht="15.75" customHeight="1" x14ac:dyDescent="0.35">
      <c r="D210" s="10"/>
    </row>
    <row r="211" spans="4:4" ht="15.75" customHeight="1" x14ac:dyDescent="0.35">
      <c r="D211" s="10"/>
    </row>
    <row r="212" spans="4:4" ht="15.75" customHeight="1" x14ac:dyDescent="0.35">
      <c r="D212" s="10"/>
    </row>
    <row r="213" spans="4:4" ht="15.75" customHeight="1" x14ac:dyDescent="0.35">
      <c r="D213" s="10"/>
    </row>
    <row r="214" spans="4:4" ht="15.75" customHeight="1" x14ac:dyDescent="0.35">
      <c r="D214" s="10"/>
    </row>
    <row r="215" spans="4:4" ht="15.75" customHeight="1" x14ac:dyDescent="0.35">
      <c r="D215" s="10"/>
    </row>
    <row r="216" spans="4:4" ht="15.75" customHeight="1" x14ac:dyDescent="0.35">
      <c r="D216" s="10"/>
    </row>
    <row r="217" spans="4:4" ht="15.75" customHeight="1" x14ac:dyDescent="0.35">
      <c r="D217" s="10"/>
    </row>
    <row r="218" spans="4:4" ht="15.75" customHeight="1" x14ac:dyDescent="0.35">
      <c r="D218" s="10"/>
    </row>
    <row r="219" spans="4:4" ht="15.75" customHeight="1" x14ac:dyDescent="0.35">
      <c r="D219" s="10"/>
    </row>
    <row r="220" spans="4:4" ht="15.75" customHeight="1" x14ac:dyDescent="0.35">
      <c r="D220" s="10"/>
    </row>
    <row r="221" spans="4:4" ht="15.75" customHeight="1" x14ac:dyDescent="0.35">
      <c r="D221" s="10"/>
    </row>
    <row r="222" spans="4:4" ht="15.75" customHeight="1" x14ac:dyDescent="0.35">
      <c r="D222" s="10"/>
    </row>
    <row r="223" spans="4:4" ht="15.75" customHeight="1" x14ac:dyDescent="0.35">
      <c r="D223" s="10"/>
    </row>
    <row r="224" spans="4:4" ht="15.75" customHeight="1" x14ac:dyDescent="0.35">
      <c r="D224" s="10"/>
    </row>
    <row r="225" spans="4:4" ht="15.75" customHeight="1" x14ac:dyDescent="0.35">
      <c r="D225" s="10"/>
    </row>
    <row r="226" spans="4:4" ht="15.75" customHeight="1" x14ac:dyDescent="0.35">
      <c r="D226" s="10"/>
    </row>
    <row r="227" spans="4:4" ht="15.75" customHeight="1" x14ac:dyDescent="0.35">
      <c r="D227" s="10"/>
    </row>
    <row r="228" spans="4:4" ht="15.75" customHeight="1" x14ac:dyDescent="0.35">
      <c r="D228" s="10"/>
    </row>
    <row r="229" spans="4:4" ht="15.75" customHeight="1" x14ac:dyDescent="0.35">
      <c r="D229" s="10"/>
    </row>
    <row r="230" spans="4:4" ht="15.75" customHeight="1" x14ac:dyDescent="0.35">
      <c r="D230" s="10"/>
    </row>
    <row r="231" spans="4:4" ht="15.75" customHeight="1" x14ac:dyDescent="0.35">
      <c r="D231" s="10"/>
    </row>
    <row r="232" spans="4:4" ht="15.75" customHeight="1" x14ac:dyDescent="0.35">
      <c r="D232" s="10"/>
    </row>
    <row r="233" spans="4:4" ht="15.75" customHeight="1" x14ac:dyDescent="0.35">
      <c r="D233" s="10"/>
    </row>
    <row r="234" spans="4:4" ht="15.75" customHeight="1" x14ac:dyDescent="0.35">
      <c r="D234" s="10"/>
    </row>
    <row r="235" spans="4:4" ht="15.75" customHeight="1" x14ac:dyDescent="0.35">
      <c r="D235" s="10"/>
    </row>
    <row r="236" spans="4:4" ht="15.75" customHeight="1" x14ac:dyDescent="0.35">
      <c r="D236" s="10"/>
    </row>
    <row r="237" spans="4:4" ht="15.75" customHeight="1" x14ac:dyDescent="0.35">
      <c r="D237" s="10"/>
    </row>
    <row r="238" spans="4:4" ht="15.75" customHeight="1" x14ac:dyDescent="0.35">
      <c r="D238" s="10"/>
    </row>
    <row r="239" spans="4:4" ht="15.75" customHeight="1" x14ac:dyDescent="0.35">
      <c r="D239" s="10"/>
    </row>
    <row r="240" spans="4:4" ht="15.75" customHeight="1" x14ac:dyDescent="0.35">
      <c r="D240" s="10"/>
    </row>
    <row r="241" spans="4:4" ht="15.75" customHeight="1" x14ac:dyDescent="0.35">
      <c r="D241" s="10"/>
    </row>
    <row r="242" spans="4:4" ht="15.75" customHeight="1" x14ac:dyDescent="0.35">
      <c r="D242" s="10"/>
    </row>
    <row r="243" spans="4:4" ht="15.75" customHeight="1" x14ac:dyDescent="0.35">
      <c r="D243" s="10"/>
    </row>
    <row r="244" spans="4:4" ht="15.75" customHeight="1" x14ac:dyDescent="0.35">
      <c r="D244" s="10"/>
    </row>
    <row r="245" spans="4:4" ht="15.75" customHeight="1" x14ac:dyDescent="0.35">
      <c r="D245" s="10"/>
    </row>
    <row r="246" spans="4:4" ht="15.75" customHeight="1" x14ac:dyDescent="0.35">
      <c r="D246" s="10"/>
    </row>
    <row r="247" spans="4:4" ht="15.75" customHeight="1" x14ac:dyDescent="0.35">
      <c r="D247" s="10"/>
    </row>
    <row r="248" spans="4:4" ht="15.75" customHeight="1" x14ac:dyDescent="0.35">
      <c r="D248" s="10"/>
    </row>
    <row r="249" spans="4:4" ht="15.75" customHeight="1" x14ac:dyDescent="0.35">
      <c r="D249" s="10"/>
    </row>
    <row r="250" spans="4:4" ht="15.75" customHeight="1" x14ac:dyDescent="0.35"/>
    <row r="251" spans="4:4" ht="15.75" customHeight="1" x14ac:dyDescent="0.35"/>
    <row r="252" spans="4:4" ht="15.75" customHeight="1" x14ac:dyDescent="0.35"/>
    <row r="253" spans="4:4" ht="15.75" customHeight="1" x14ac:dyDescent="0.35"/>
    <row r="254" spans="4:4" ht="15.75" customHeight="1" x14ac:dyDescent="0.35"/>
    <row r="255" spans="4:4" ht="15.75" customHeight="1" x14ac:dyDescent="0.35"/>
    <row r="256" spans="4:4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8">
    <mergeCell ref="G37:J37"/>
    <mergeCell ref="M38:Y38"/>
    <mergeCell ref="E1:AH1"/>
    <mergeCell ref="G27:J27"/>
    <mergeCell ref="K27:N27"/>
    <mergeCell ref="Q27:U27"/>
    <mergeCell ref="G28:G29"/>
    <mergeCell ref="K28:K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808E-EA38-45DE-AF96-922CE850D09D}">
  <sheetPr>
    <outlinePr summaryBelow="0" summaryRight="0"/>
  </sheetPr>
  <dimension ref="A1:AI1000"/>
  <sheetViews>
    <sheetView zoomScale="71" workbookViewId="0">
      <pane xSplit="3" ySplit="1" topLeftCell="F31" activePane="bottomRight" state="frozen"/>
      <selection pane="topRight" activeCell="D1" sqref="D1"/>
      <selection pane="bottomLeft" activeCell="A2" sqref="A2"/>
      <selection pane="bottomRight" activeCell="J32" sqref="J32"/>
    </sheetView>
  </sheetViews>
  <sheetFormatPr defaultColWidth="14.453125" defaultRowHeight="15" customHeight="1" x14ac:dyDescent="0.35"/>
  <cols>
    <col min="1" max="1" width="3.7265625" customWidth="1"/>
    <col min="2" max="2" width="15.453125" customWidth="1"/>
    <col min="3" max="3" width="11.54296875" customWidth="1"/>
    <col min="4" max="4" width="13.453125" customWidth="1"/>
    <col min="5" max="6" width="11.81640625" customWidth="1"/>
    <col min="7" max="7" width="13.81640625" customWidth="1"/>
    <col min="8" max="8" width="11.81640625" customWidth="1"/>
    <col min="9" max="10" width="12.453125" customWidth="1"/>
    <col min="11" max="11" width="13.81640625" customWidth="1"/>
    <col min="12" max="12" width="12.453125" customWidth="1"/>
    <col min="13" max="14" width="11.81640625" customWidth="1"/>
    <col min="15" max="15" width="12" customWidth="1"/>
    <col min="16" max="16" width="10.81640625" customWidth="1"/>
    <col min="17" max="20" width="10.7265625" customWidth="1"/>
    <col min="21" max="21" width="10.54296875" customWidth="1"/>
    <col min="22" max="25" width="11.54296875" customWidth="1"/>
    <col min="26" max="28" width="12.08984375" customWidth="1"/>
    <col min="29" max="34" width="11.81640625" customWidth="1"/>
  </cols>
  <sheetData>
    <row r="1" spans="1:35" ht="14.5" x14ac:dyDescent="0.35">
      <c r="A1" s="8"/>
      <c r="B1" s="9" t="s">
        <v>3258</v>
      </c>
      <c r="E1" s="132" t="s">
        <v>3259</v>
      </c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</row>
    <row r="2" spans="1:35" ht="14.5" x14ac:dyDescent="0.35">
      <c r="A2" s="9"/>
      <c r="C2" s="10"/>
      <c r="D2" s="10"/>
      <c r="E2" s="8" t="s">
        <v>3260</v>
      </c>
      <c r="F2" s="8" t="s">
        <v>3261</v>
      </c>
      <c r="G2" s="8" t="s">
        <v>3262</v>
      </c>
      <c r="H2" s="8" t="s">
        <v>3263</v>
      </c>
      <c r="I2" s="9" t="s">
        <v>3264</v>
      </c>
      <c r="J2" s="9" t="s">
        <v>3265</v>
      </c>
      <c r="K2" s="8" t="s">
        <v>3266</v>
      </c>
      <c r="L2" s="8" t="s">
        <v>3260</v>
      </c>
      <c r="M2" s="8" t="s">
        <v>3261</v>
      </c>
      <c r="N2" s="8" t="s">
        <v>3262</v>
      </c>
      <c r="O2" s="8" t="s">
        <v>3263</v>
      </c>
      <c r="P2" s="9" t="s">
        <v>3264</v>
      </c>
      <c r="Q2" s="9" t="s">
        <v>3265</v>
      </c>
      <c r="R2" s="8" t="s">
        <v>3266</v>
      </c>
      <c r="S2" s="8" t="s">
        <v>3260</v>
      </c>
      <c r="T2" s="8" t="s">
        <v>3261</v>
      </c>
      <c r="U2" s="8" t="s">
        <v>3262</v>
      </c>
      <c r="V2" s="8" t="s">
        <v>3263</v>
      </c>
      <c r="W2" s="9" t="s">
        <v>3264</v>
      </c>
      <c r="X2" s="9" t="s">
        <v>3265</v>
      </c>
      <c r="Y2" s="8" t="s">
        <v>3266</v>
      </c>
      <c r="Z2" s="8" t="s">
        <v>3260</v>
      </c>
      <c r="AA2" s="8" t="s">
        <v>3261</v>
      </c>
      <c r="AB2" s="8" t="s">
        <v>3262</v>
      </c>
      <c r="AC2" s="8" t="s">
        <v>3263</v>
      </c>
      <c r="AD2" s="9" t="s">
        <v>3264</v>
      </c>
      <c r="AE2" s="9" t="s">
        <v>3265</v>
      </c>
      <c r="AF2" s="8" t="s">
        <v>3266</v>
      </c>
      <c r="AG2" s="8" t="s">
        <v>3260</v>
      </c>
      <c r="AH2" s="8" t="s">
        <v>3261</v>
      </c>
      <c r="AI2" s="8" t="s">
        <v>3262</v>
      </c>
    </row>
    <row r="3" spans="1:35" ht="14.5" x14ac:dyDescent="0.35">
      <c r="A3" s="9" t="s">
        <v>3267</v>
      </c>
      <c r="B3" s="8" t="s">
        <v>3268</v>
      </c>
      <c r="C3" s="8" t="s">
        <v>3269</v>
      </c>
      <c r="D3" s="8" t="s">
        <v>3270</v>
      </c>
      <c r="E3" s="11">
        <v>45566</v>
      </c>
      <c r="F3" s="11">
        <v>45567</v>
      </c>
      <c r="G3" s="11">
        <v>45568</v>
      </c>
      <c r="H3" s="11">
        <v>45569</v>
      </c>
      <c r="I3" s="11">
        <v>45570</v>
      </c>
      <c r="J3" s="11">
        <v>45571</v>
      </c>
      <c r="K3" s="11">
        <v>45572</v>
      </c>
      <c r="L3" s="11">
        <v>45573</v>
      </c>
      <c r="M3" s="11">
        <v>45574</v>
      </c>
      <c r="N3" s="11">
        <v>45575</v>
      </c>
      <c r="O3" s="11">
        <v>45576</v>
      </c>
      <c r="P3" s="11">
        <v>45577</v>
      </c>
      <c r="Q3" s="11">
        <v>45578</v>
      </c>
      <c r="R3" s="11">
        <v>45579</v>
      </c>
      <c r="S3" s="11">
        <v>45580</v>
      </c>
      <c r="T3" s="11">
        <v>45581</v>
      </c>
      <c r="U3" s="11">
        <v>45582</v>
      </c>
      <c r="V3" s="11">
        <v>45583</v>
      </c>
      <c r="W3" s="11">
        <v>45584</v>
      </c>
      <c r="X3" s="11">
        <v>45585</v>
      </c>
      <c r="Y3" s="11">
        <v>45586</v>
      </c>
      <c r="Z3" s="11">
        <v>45587</v>
      </c>
      <c r="AA3" s="11">
        <v>45588</v>
      </c>
      <c r="AB3" s="11">
        <v>45589</v>
      </c>
      <c r="AC3" s="11">
        <v>45590</v>
      </c>
      <c r="AD3" s="11">
        <v>45591</v>
      </c>
      <c r="AE3" s="11">
        <v>45592</v>
      </c>
      <c r="AF3" s="11">
        <v>45593</v>
      </c>
      <c r="AG3" s="11">
        <v>45594</v>
      </c>
      <c r="AH3" s="11">
        <v>45595</v>
      </c>
      <c r="AI3" s="11">
        <v>45596</v>
      </c>
    </row>
    <row r="4" spans="1:35" ht="14.5" x14ac:dyDescent="0.35">
      <c r="A4" s="12">
        <v>1</v>
      </c>
      <c r="B4" s="13" t="s">
        <v>64</v>
      </c>
      <c r="C4" s="14">
        <v>101</v>
      </c>
      <c r="D4" s="15">
        <v>2</v>
      </c>
      <c r="E4" s="16" t="s">
        <v>41</v>
      </c>
      <c r="F4" s="16"/>
      <c r="G4" s="16"/>
      <c r="H4" s="16" t="s">
        <v>41</v>
      </c>
      <c r="I4" s="16"/>
      <c r="J4" s="16"/>
      <c r="K4" s="16"/>
      <c r="L4" s="16" t="s">
        <v>41</v>
      </c>
      <c r="M4" s="17" t="s">
        <v>41</v>
      </c>
      <c r="N4" s="17" t="s">
        <v>41</v>
      </c>
      <c r="O4" s="17" t="s">
        <v>41</v>
      </c>
      <c r="P4" s="16"/>
      <c r="Q4" s="16" t="s">
        <v>3271</v>
      </c>
      <c r="R4" s="16"/>
      <c r="S4" s="16" t="s">
        <v>3272</v>
      </c>
      <c r="T4" s="16" t="s">
        <v>3272</v>
      </c>
      <c r="U4" s="16" t="s">
        <v>41</v>
      </c>
      <c r="V4" s="16" t="s">
        <v>41</v>
      </c>
      <c r="W4" s="16" t="s">
        <v>41</v>
      </c>
      <c r="X4" s="16"/>
      <c r="Y4" s="16"/>
      <c r="Z4" s="16"/>
      <c r="AA4" s="16" t="s">
        <v>3273</v>
      </c>
      <c r="AB4" s="16"/>
      <c r="AC4" s="16"/>
      <c r="AD4" s="16"/>
      <c r="AE4" s="16"/>
      <c r="AF4" s="16"/>
      <c r="AG4" s="16"/>
      <c r="AH4" s="16" t="s">
        <v>3274</v>
      </c>
      <c r="AI4" s="16"/>
    </row>
    <row r="5" spans="1:35" ht="14.5" x14ac:dyDescent="0.35">
      <c r="A5" s="12">
        <v>2</v>
      </c>
      <c r="B5" s="13" t="s">
        <v>64</v>
      </c>
      <c r="C5" s="14">
        <v>201</v>
      </c>
      <c r="D5" s="15">
        <v>2</v>
      </c>
      <c r="E5" s="16"/>
      <c r="F5" s="16"/>
      <c r="G5" s="16"/>
      <c r="H5" s="16" t="s">
        <v>41</v>
      </c>
      <c r="I5" s="16" t="s">
        <v>41</v>
      </c>
      <c r="J5" s="16" t="s">
        <v>41</v>
      </c>
      <c r="K5" s="16"/>
      <c r="L5" s="16" t="s">
        <v>41</v>
      </c>
      <c r="M5" s="16" t="s">
        <v>41</v>
      </c>
      <c r="N5" s="16"/>
      <c r="O5" s="16" t="s">
        <v>3272</v>
      </c>
      <c r="P5" s="16"/>
      <c r="Q5" s="16" t="s">
        <v>3271</v>
      </c>
      <c r="R5" s="16" t="s">
        <v>3271</v>
      </c>
      <c r="S5" s="16" t="s">
        <v>3271</v>
      </c>
      <c r="T5" s="16" t="s">
        <v>3271</v>
      </c>
      <c r="U5" s="16" t="s">
        <v>3271</v>
      </c>
      <c r="V5" s="16" t="s">
        <v>3271</v>
      </c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</row>
    <row r="6" spans="1:35" ht="14.5" x14ac:dyDescent="0.35">
      <c r="A6" s="12">
        <v>3</v>
      </c>
      <c r="B6" s="13" t="s">
        <v>64</v>
      </c>
      <c r="C6" s="14">
        <v>301</v>
      </c>
      <c r="D6" s="15">
        <v>2</v>
      </c>
      <c r="E6" s="16"/>
      <c r="F6" s="16" t="s">
        <v>3272</v>
      </c>
      <c r="G6" s="16"/>
      <c r="H6" s="16" t="s">
        <v>41</v>
      </c>
      <c r="I6" s="16" t="s">
        <v>3272</v>
      </c>
      <c r="J6" s="16"/>
      <c r="K6" s="16"/>
      <c r="L6" s="16"/>
      <c r="M6" s="17" t="s">
        <v>41</v>
      </c>
      <c r="N6" s="17" t="s">
        <v>41</v>
      </c>
      <c r="O6" s="17" t="s">
        <v>41</v>
      </c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</row>
    <row r="7" spans="1:35" ht="14.5" x14ac:dyDescent="0.35">
      <c r="A7" s="12">
        <v>4</v>
      </c>
      <c r="B7" s="13" t="s">
        <v>64</v>
      </c>
      <c r="C7" s="14">
        <v>401</v>
      </c>
      <c r="D7" s="15">
        <v>2</v>
      </c>
      <c r="E7" s="16" t="s">
        <v>41</v>
      </c>
      <c r="F7" s="16" t="s">
        <v>41</v>
      </c>
      <c r="G7" s="16"/>
      <c r="H7" s="16" t="s">
        <v>41</v>
      </c>
      <c r="I7" s="16" t="s">
        <v>41</v>
      </c>
      <c r="J7" s="16" t="s">
        <v>41</v>
      </c>
      <c r="K7" s="16" t="s">
        <v>41</v>
      </c>
      <c r="L7" s="16"/>
      <c r="M7" s="17" t="s">
        <v>41</v>
      </c>
      <c r="N7" s="17" t="s">
        <v>41</v>
      </c>
      <c r="O7" s="17" t="s">
        <v>41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</row>
    <row r="8" spans="1:35" ht="14.5" x14ac:dyDescent="0.35">
      <c r="A8" s="12">
        <v>5</v>
      </c>
      <c r="B8" s="13" t="s">
        <v>64</v>
      </c>
      <c r="C8" s="14">
        <v>501</v>
      </c>
      <c r="D8" s="15">
        <v>2</v>
      </c>
      <c r="E8" s="16" t="s">
        <v>41</v>
      </c>
      <c r="F8" s="16"/>
      <c r="G8" s="16" t="s">
        <v>41</v>
      </c>
      <c r="H8" s="16"/>
      <c r="I8" s="16"/>
      <c r="J8" s="16" t="s">
        <v>3271</v>
      </c>
      <c r="K8" s="16"/>
      <c r="L8" s="16" t="s">
        <v>3275</v>
      </c>
      <c r="M8" s="16" t="s">
        <v>3272</v>
      </c>
      <c r="N8" s="16" t="s">
        <v>3272</v>
      </c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</row>
    <row r="9" spans="1:35" ht="14.5" x14ac:dyDescent="0.35">
      <c r="A9" s="12">
        <v>6</v>
      </c>
      <c r="B9" s="13" t="s">
        <v>64</v>
      </c>
      <c r="C9" s="14">
        <v>601</v>
      </c>
      <c r="D9" s="15">
        <v>2</v>
      </c>
      <c r="E9" s="16"/>
      <c r="F9" s="16"/>
      <c r="G9" s="16"/>
      <c r="H9" s="16"/>
      <c r="I9" s="16"/>
      <c r="J9" s="16"/>
      <c r="K9" s="16"/>
      <c r="M9" s="16" t="s">
        <v>3272</v>
      </c>
      <c r="N9" s="16" t="s">
        <v>3272</v>
      </c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</row>
    <row r="10" spans="1:35" ht="14.5" x14ac:dyDescent="0.35">
      <c r="A10" s="18">
        <v>7</v>
      </c>
      <c r="B10" s="19" t="s">
        <v>59</v>
      </c>
      <c r="C10" s="20">
        <v>102</v>
      </c>
      <c r="D10" s="15">
        <v>2</v>
      </c>
      <c r="E10" s="16"/>
      <c r="F10" s="16"/>
      <c r="G10" s="16"/>
      <c r="H10" s="16"/>
      <c r="I10" s="16"/>
      <c r="J10" s="16"/>
      <c r="K10" s="16" t="s">
        <v>3272</v>
      </c>
      <c r="L10" s="16"/>
      <c r="M10" s="17" t="s">
        <v>41</v>
      </c>
      <c r="N10" s="17" t="s">
        <v>41</v>
      </c>
      <c r="O10" s="17" t="s">
        <v>41</v>
      </c>
      <c r="P10" s="16"/>
      <c r="Q10" s="16"/>
      <c r="R10" s="16"/>
      <c r="S10" s="16"/>
      <c r="T10" s="16"/>
      <c r="U10" s="16"/>
      <c r="V10" s="16" t="s">
        <v>3272</v>
      </c>
      <c r="W10" s="16" t="s">
        <v>3272</v>
      </c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</row>
    <row r="11" spans="1:35" ht="14.5" x14ac:dyDescent="0.35">
      <c r="A11" s="18">
        <v>8</v>
      </c>
      <c r="B11" s="19" t="s">
        <v>59</v>
      </c>
      <c r="C11" s="20">
        <v>202</v>
      </c>
      <c r="D11" s="15">
        <v>2</v>
      </c>
      <c r="E11" s="16"/>
      <c r="F11" s="16"/>
      <c r="G11" s="16" t="s">
        <v>41</v>
      </c>
      <c r="H11" s="16" t="s">
        <v>41</v>
      </c>
      <c r="I11" s="16" t="s">
        <v>41</v>
      </c>
      <c r="J11" s="16"/>
      <c r="K11" s="16"/>
      <c r="L11" s="16" t="s">
        <v>41</v>
      </c>
      <c r="M11" s="16" t="s">
        <v>41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</row>
    <row r="12" spans="1:35" ht="14.5" x14ac:dyDescent="0.35">
      <c r="A12" s="18">
        <v>9</v>
      </c>
      <c r="B12" s="19" t="s">
        <v>59</v>
      </c>
      <c r="C12" s="20">
        <v>302</v>
      </c>
      <c r="D12" s="15">
        <v>2</v>
      </c>
      <c r="E12" s="16"/>
      <c r="F12" s="16"/>
      <c r="G12" s="16"/>
      <c r="H12" s="16"/>
      <c r="I12" s="16"/>
      <c r="J12" s="16" t="s">
        <v>3273</v>
      </c>
      <c r="K12" s="16" t="s">
        <v>3272</v>
      </c>
      <c r="L12" s="16" t="s">
        <v>3272</v>
      </c>
      <c r="M12" s="16" t="s">
        <v>3272</v>
      </c>
      <c r="N12" s="16" t="s">
        <v>3272</v>
      </c>
      <c r="O12" s="16" t="s">
        <v>3272</v>
      </c>
      <c r="P12" s="16" t="s">
        <v>3272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</row>
    <row r="13" spans="1:35" ht="14.5" x14ac:dyDescent="0.35">
      <c r="A13" s="18">
        <v>10</v>
      </c>
      <c r="B13" s="19" t="s">
        <v>59</v>
      </c>
      <c r="C13" s="20">
        <v>402</v>
      </c>
      <c r="D13" s="15">
        <v>2</v>
      </c>
      <c r="E13" s="16" t="s">
        <v>41</v>
      </c>
      <c r="F13" s="16" t="s">
        <v>41</v>
      </c>
      <c r="G13" s="16"/>
      <c r="H13" s="16"/>
      <c r="I13" s="16"/>
      <c r="J13" s="16"/>
      <c r="K13" s="16"/>
      <c r="L13" s="16"/>
      <c r="M13" s="16" t="s">
        <v>41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</row>
    <row r="14" spans="1:35" ht="14.5" x14ac:dyDescent="0.35">
      <c r="A14" s="21">
        <v>11</v>
      </c>
      <c r="B14" s="22" t="s">
        <v>71</v>
      </c>
      <c r="C14" s="23">
        <v>502</v>
      </c>
      <c r="D14" s="15">
        <v>2</v>
      </c>
      <c r="E14" s="16"/>
      <c r="F14" s="16"/>
      <c r="G14" s="16"/>
      <c r="H14" s="16"/>
      <c r="I14" s="16"/>
      <c r="J14" s="16"/>
      <c r="K14" s="16"/>
      <c r="L14" s="16" t="s">
        <v>41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 t="s">
        <v>3275</v>
      </c>
      <c r="AH14" s="16" t="s">
        <v>3275</v>
      </c>
      <c r="AI14" s="16" t="s">
        <v>3275</v>
      </c>
    </row>
    <row r="15" spans="1:35" ht="14.5" x14ac:dyDescent="0.35">
      <c r="A15" s="21">
        <v>12</v>
      </c>
      <c r="B15" s="22" t="s">
        <v>71</v>
      </c>
      <c r="C15" s="23">
        <v>602</v>
      </c>
      <c r="D15" s="15">
        <v>2</v>
      </c>
      <c r="E15" s="16"/>
      <c r="F15" s="16"/>
      <c r="G15" s="16"/>
      <c r="H15" s="16"/>
      <c r="I15" s="16"/>
      <c r="J15" s="16"/>
      <c r="K15" s="16"/>
      <c r="L15" s="16" t="s">
        <v>41</v>
      </c>
      <c r="M15" s="16" t="s">
        <v>41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 t="s">
        <v>3271</v>
      </c>
      <c r="AI15" s="16" t="s">
        <v>3271</v>
      </c>
    </row>
    <row r="16" spans="1:35" ht="14.5" x14ac:dyDescent="0.35">
      <c r="A16" s="21">
        <v>13</v>
      </c>
      <c r="B16" s="22" t="s">
        <v>71</v>
      </c>
      <c r="C16" s="23">
        <v>702</v>
      </c>
      <c r="D16" s="15">
        <v>2</v>
      </c>
      <c r="E16" s="16" t="s">
        <v>3276</v>
      </c>
      <c r="F16" s="16" t="s">
        <v>3276</v>
      </c>
      <c r="G16" s="16" t="s">
        <v>3276</v>
      </c>
      <c r="H16" s="16" t="s">
        <v>3276</v>
      </c>
      <c r="I16" s="16" t="s">
        <v>3276</v>
      </c>
      <c r="J16" s="16" t="s">
        <v>3276</v>
      </c>
      <c r="K16" s="16" t="s">
        <v>3276</v>
      </c>
      <c r="L16" s="16" t="s">
        <v>3276</v>
      </c>
      <c r="M16" s="16" t="s">
        <v>3276</v>
      </c>
      <c r="N16" s="16" t="s">
        <v>3276</v>
      </c>
      <c r="O16" s="16" t="s">
        <v>3276</v>
      </c>
      <c r="P16" s="16" t="s">
        <v>3276</v>
      </c>
      <c r="Q16" s="16" t="s">
        <v>3276</v>
      </c>
      <c r="R16" s="16" t="s">
        <v>3276</v>
      </c>
      <c r="S16" s="16" t="s">
        <v>3276</v>
      </c>
      <c r="T16" s="16" t="s">
        <v>3276</v>
      </c>
      <c r="U16" s="16" t="s">
        <v>3276</v>
      </c>
      <c r="V16" s="16" t="s">
        <v>3276</v>
      </c>
      <c r="W16" s="16" t="s">
        <v>3276</v>
      </c>
      <c r="X16" s="16" t="s">
        <v>3276</v>
      </c>
      <c r="Y16" s="16" t="s">
        <v>3276</v>
      </c>
      <c r="Z16" s="16" t="s">
        <v>3276</v>
      </c>
      <c r="AA16" s="16" t="s">
        <v>3276</v>
      </c>
      <c r="AB16" s="16" t="s">
        <v>3276</v>
      </c>
      <c r="AC16" s="16" t="s">
        <v>3276</v>
      </c>
      <c r="AD16" s="16" t="s">
        <v>3276</v>
      </c>
      <c r="AE16" s="16" t="s">
        <v>3276</v>
      </c>
      <c r="AF16" s="16" t="s">
        <v>3276</v>
      </c>
      <c r="AG16" s="16" t="s">
        <v>3276</v>
      </c>
      <c r="AH16" s="16" t="s">
        <v>3276</v>
      </c>
      <c r="AI16" s="16" t="s">
        <v>3276</v>
      </c>
    </row>
    <row r="17" spans="1:35" ht="14.5" x14ac:dyDescent="0.35">
      <c r="A17" s="24">
        <v>14</v>
      </c>
      <c r="B17" s="25" t="s">
        <v>29</v>
      </c>
      <c r="C17" s="26">
        <v>103</v>
      </c>
      <c r="D17" s="15">
        <v>2</v>
      </c>
      <c r="E17" s="16"/>
      <c r="F17" s="16"/>
      <c r="G17" s="16" t="s">
        <v>41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 t="s">
        <v>3272</v>
      </c>
      <c r="W17" s="16" t="s">
        <v>3272</v>
      </c>
      <c r="X17" s="16" t="s">
        <v>3272</v>
      </c>
      <c r="Y17" s="16" t="s">
        <v>3272</v>
      </c>
      <c r="Z17" s="16" t="s">
        <v>3272</v>
      </c>
      <c r="AA17" s="16"/>
      <c r="AB17" s="16"/>
      <c r="AC17" s="16"/>
      <c r="AD17" s="16"/>
      <c r="AE17" s="16"/>
      <c r="AF17" s="16"/>
      <c r="AG17" s="16"/>
      <c r="AH17" s="16"/>
      <c r="AI17" s="16"/>
    </row>
    <row r="18" spans="1:35" ht="14.5" x14ac:dyDescent="0.35">
      <c r="A18" s="24">
        <v>15</v>
      </c>
      <c r="B18" s="25" t="s">
        <v>29</v>
      </c>
      <c r="C18" s="26">
        <v>203</v>
      </c>
      <c r="D18" s="15">
        <v>2</v>
      </c>
      <c r="E18" s="16" t="s">
        <v>41</v>
      </c>
      <c r="F18" s="16"/>
      <c r="G18" s="16"/>
      <c r="H18" s="16"/>
      <c r="I18" s="16" t="s">
        <v>3275</v>
      </c>
      <c r="J18" s="16" t="s">
        <v>3275</v>
      </c>
      <c r="K18" s="16"/>
      <c r="L18" s="16"/>
      <c r="M18" s="16" t="s">
        <v>3275</v>
      </c>
      <c r="N18" s="16" t="s">
        <v>3272</v>
      </c>
      <c r="O18" s="16" t="s">
        <v>3272</v>
      </c>
      <c r="P18" s="16" t="s">
        <v>3272</v>
      </c>
      <c r="Q18" s="16" t="s">
        <v>3272</v>
      </c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</row>
    <row r="19" spans="1:35" ht="14.5" x14ac:dyDescent="0.35">
      <c r="A19" s="24">
        <v>16</v>
      </c>
      <c r="B19" s="25" t="s">
        <v>29</v>
      </c>
      <c r="C19" s="26">
        <v>303</v>
      </c>
      <c r="D19" s="15">
        <v>2</v>
      </c>
      <c r="E19" s="16" t="s">
        <v>41</v>
      </c>
      <c r="F19" s="16" t="s">
        <v>41</v>
      </c>
      <c r="G19" s="16" t="s">
        <v>41</v>
      </c>
      <c r="H19" s="16" t="s">
        <v>41</v>
      </c>
      <c r="I19" s="16" t="s">
        <v>41</v>
      </c>
      <c r="J19" s="16" t="s">
        <v>41</v>
      </c>
      <c r="K19" s="16" t="s">
        <v>41</v>
      </c>
      <c r="L19" s="16" t="s">
        <v>41</v>
      </c>
      <c r="M19" s="16" t="s">
        <v>41</v>
      </c>
      <c r="N19" s="16" t="s">
        <v>41</v>
      </c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</row>
    <row r="20" spans="1:35" ht="14.5" x14ac:dyDescent="0.35">
      <c r="A20" s="24">
        <v>17</v>
      </c>
      <c r="B20" s="25" t="s">
        <v>29</v>
      </c>
      <c r="C20" s="26">
        <v>403</v>
      </c>
      <c r="D20" s="15">
        <v>2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 ht="15.75" customHeight="1" x14ac:dyDescent="0.35">
      <c r="A21" s="24">
        <v>18</v>
      </c>
      <c r="B21" s="25" t="s">
        <v>29</v>
      </c>
      <c r="C21" s="26">
        <v>503</v>
      </c>
      <c r="D21" s="15">
        <v>2</v>
      </c>
      <c r="E21" s="16"/>
      <c r="F21" s="16"/>
      <c r="G21" s="16" t="s">
        <v>41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 t="s">
        <v>41</v>
      </c>
      <c r="AI21" s="16" t="s">
        <v>41</v>
      </c>
    </row>
    <row r="22" spans="1:35" ht="15.75" customHeight="1" x14ac:dyDescent="0.35">
      <c r="A22" s="24">
        <v>19</v>
      </c>
      <c r="B22" s="25" t="s">
        <v>29</v>
      </c>
      <c r="C22" s="26">
        <v>603</v>
      </c>
      <c r="D22" s="15">
        <v>2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</row>
    <row r="23" spans="1:35" ht="15.75" customHeight="1" x14ac:dyDescent="0.35">
      <c r="A23" s="24">
        <v>20</v>
      </c>
      <c r="B23" s="25" t="s">
        <v>29</v>
      </c>
      <c r="C23" s="26">
        <v>703</v>
      </c>
      <c r="D23" s="15">
        <v>2</v>
      </c>
      <c r="E23" s="16" t="s">
        <v>3276</v>
      </c>
      <c r="F23" s="16" t="s">
        <v>3276</v>
      </c>
      <c r="G23" s="16" t="s">
        <v>3276</v>
      </c>
      <c r="H23" s="16" t="s">
        <v>3276</v>
      </c>
      <c r="I23" s="16" t="s">
        <v>3276</v>
      </c>
      <c r="J23" s="16" t="s">
        <v>3276</v>
      </c>
      <c r="K23" s="16" t="s">
        <v>3276</v>
      </c>
      <c r="L23" s="16" t="s">
        <v>3276</v>
      </c>
      <c r="M23" s="16" t="s">
        <v>3276</v>
      </c>
      <c r="N23" s="16" t="s">
        <v>3276</v>
      </c>
      <c r="O23" s="16" t="s">
        <v>3276</v>
      </c>
      <c r="P23" s="16" t="s">
        <v>3276</v>
      </c>
      <c r="Q23" s="16" t="s">
        <v>3276</v>
      </c>
      <c r="R23" s="16" t="s">
        <v>3276</v>
      </c>
      <c r="S23" s="16" t="s">
        <v>3276</v>
      </c>
      <c r="T23" s="16" t="s">
        <v>3276</v>
      </c>
      <c r="U23" s="16" t="s">
        <v>3276</v>
      </c>
      <c r="V23" s="16" t="s">
        <v>3276</v>
      </c>
      <c r="W23" s="16" t="s">
        <v>3276</v>
      </c>
      <c r="X23" s="16" t="s">
        <v>3276</v>
      </c>
      <c r="Y23" s="16" t="s">
        <v>3276</v>
      </c>
      <c r="Z23" s="16" t="s">
        <v>3276</v>
      </c>
      <c r="AA23" s="16" t="s">
        <v>3276</v>
      </c>
      <c r="AB23" s="16" t="s">
        <v>3276</v>
      </c>
      <c r="AC23" s="16" t="s">
        <v>3276</v>
      </c>
      <c r="AD23" s="16" t="s">
        <v>3276</v>
      </c>
      <c r="AE23" s="16" t="s">
        <v>3276</v>
      </c>
      <c r="AF23" s="16" t="s">
        <v>3276</v>
      </c>
      <c r="AG23" s="16" t="s">
        <v>3276</v>
      </c>
      <c r="AH23" s="16" t="s">
        <v>3276</v>
      </c>
      <c r="AI23" s="16" t="s">
        <v>3276</v>
      </c>
    </row>
    <row r="24" spans="1:35" ht="15.75" customHeight="1" x14ac:dyDescent="0.35">
      <c r="A24" s="27">
        <v>21</v>
      </c>
      <c r="B24" s="28" t="s">
        <v>232</v>
      </c>
      <c r="C24" s="28" t="s">
        <v>232</v>
      </c>
      <c r="D24" s="15">
        <v>1</v>
      </c>
      <c r="E24" s="16" t="s">
        <v>3276</v>
      </c>
      <c r="F24" s="16" t="s">
        <v>3276</v>
      </c>
      <c r="G24" s="16" t="s">
        <v>3276</v>
      </c>
      <c r="H24" s="16" t="s">
        <v>3276</v>
      </c>
      <c r="I24" s="16" t="s">
        <v>3276</v>
      </c>
      <c r="J24" s="16" t="s">
        <v>3276</v>
      </c>
      <c r="K24" s="16" t="s">
        <v>3276</v>
      </c>
      <c r="L24" s="16" t="s">
        <v>3276</v>
      </c>
      <c r="M24" s="16" t="s">
        <v>3276</v>
      </c>
      <c r="N24" s="16" t="s">
        <v>3276</v>
      </c>
      <c r="O24" s="16" t="s">
        <v>3276</v>
      </c>
      <c r="P24" s="16" t="s">
        <v>3276</v>
      </c>
      <c r="Q24" s="16" t="s">
        <v>3276</v>
      </c>
      <c r="R24" s="16" t="s">
        <v>3276</v>
      </c>
      <c r="S24" s="16" t="s">
        <v>3276</v>
      </c>
      <c r="T24" s="16" t="s">
        <v>3276</v>
      </c>
      <c r="U24" s="16" t="s">
        <v>3276</v>
      </c>
      <c r="V24" s="16" t="s">
        <v>3276</v>
      </c>
      <c r="W24" s="16" t="s">
        <v>3276</v>
      </c>
      <c r="X24" s="16" t="s">
        <v>3276</v>
      </c>
      <c r="Y24" s="16" t="s">
        <v>3276</v>
      </c>
      <c r="Z24" s="16" t="s">
        <v>3276</v>
      </c>
      <c r="AA24" s="16" t="s">
        <v>3276</v>
      </c>
      <c r="AB24" s="16" t="s">
        <v>3276</v>
      </c>
      <c r="AC24" s="16" t="s">
        <v>3276</v>
      </c>
      <c r="AD24" s="16" t="s">
        <v>3276</v>
      </c>
      <c r="AE24" s="16" t="s">
        <v>3276</v>
      </c>
      <c r="AF24" s="16" t="s">
        <v>3276</v>
      </c>
      <c r="AG24" s="16" t="s">
        <v>3276</v>
      </c>
      <c r="AH24" s="16" t="s">
        <v>3276</v>
      </c>
      <c r="AI24" s="16"/>
    </row>
    <row r="25" spans="1:35" ht="15.75" customHeight="1" x14ac:dyDescent="0.35">
      <c r="D25" s="10"/>
    </row>
    <row r="26" spans="1:35" ht="15.75" customHeight="1" x14ac:dyDescent="0.35">
      <c r="D26" s="10"/>
    </row>
    <row r="27" spans="1:35" ht="15.75" customHeight="1" x14ac:dyDescent="0.35">
      <c r="D27" s="10"/>
      <c r="G27" s="133" t="s">
        <v>3277</v>
      </c>
      <c r="H27" s="127"/>
      <c r="I27" s="127"/>
      <c r="J27" s="128"/>
      <c r="K27" s="134" t="s">
        <v>3278</v>
      </c>
      <c r="L27" s="127"/>
      <c r="M27" s="127"/>
      <c r="N27" s="128"/>
    </row>
    <row r="28" spans="1:35" ht="15.75" customHeight="1" x14ac:dyDescent="0.35">
      <c r="B28" s="29" t="s">
        <v>3279</v>
      </c>
      <c r="C28" s="16" t="s">
        <v>3253</v>
      </c>
      <c r="D28" s="30" t="s">
        <v>3280</v>
      </c>
      <c r="E28" s="16" t="s">
        <v>3254</v>
      </c>
      <c r="G28" s="136" t="s">
        <v>3281</v>
      </c>
      <c r="H28" s="30" t="s">
        <v>3253</v>
      </c>
      <c r="I28" s="30" t="s">
        <v>3280</v>
      </c>
      <c r="J28" s="30" t="s">
        <v>3254</v>
      </c>
      <c r="K28" s="136" t="s">
        <v>3281</v>
      </c>
      <c r="L28" s="30" t="s">
        <v>3253</v>
      </c>
      <c r="M28" s="30" t="s">
        <v>3280</v>
      </c>
      <c r="N28" s="30" t="s">
        <v>3254</v>
      </c>
      <c r="Q28" s="138" t="s">
        <v>3250</v>
      </c>
      <c r="R28" s="127"/>
      <c r="S28" s="127"/>
      <c r="T28" s="127"/>
      <c r="U28" s="128"/>
    </row>
    <row r="29" spans="1:35" ht="15.75" customHeight="1" x14ac:dyDescent="0.35">
      <c r="B29" s="16" t="s">
        <v>3282</v>
      </c>
      <c r="C29" s="16">
        <f>SUM(C30:C33)</f>
        <v>19</v>
      </c>
      <c r="D29" s="30">
        <f t="shared" ref="D29:D34" si="0">C29*7</f>
        <v>133</v>
      </c>
      <c r="E29" s="16">
        <f>C29*31</f>
        <v>589</v>
      </c>
      <c r="G29" s="137"/>
      <c r="H29" s="32">
        <v>45566</v>
      </c>
      <c r="I29" s="30" t="s">
        <v>3283</v>
      </c>
      <c r="J29" s="30" t="s">
        <v>3284</v>
      </c>
      <c r="K29" s="137"/>
      <c r="L29" s="32">
        <v>45566</v>
      </c>
      <c r="M29" s="30" t="s">
        <v>3283</v>
      </c>
      <c r="N29" s="30" t="s">
        <v>3284</v>
      </c>
      <c r="Q29" s="33" t="s">
        <v>3279</v>
      </c>
      <c r="R29" s="34" t="s">
        <v>3253</v>
      </c>
      <c r="S29" s="34" t="s">
        <v>3254</v>
      </c>
      <c r="T29" s="34" t="s">
        <v>3285</v>
      </c>
      <c r="U29" s="34" t="s">
        <v>3256</v>
      </c>
    </row>
    <row r="30" spans="1:35" ht="15.75" customHeight="1" x14ac:dyDescent="0.35">
      <c r="B30" s="16" t="s">
        <v>64</v>
      </c>
      <c r="C30" s="16">
        <v>6</v>
      </c>
      <c r="D30" s="30">
        <f t="shared" si="0"/>
        <v>42</v>
      </c>
      <c r="E30" s="16">
        <f t="shared" ref="E30:E34" si="1">C30*31</f>
        <v>186</v>
      </c>
      <c r="G30" s="16" t="s">
        <v>64</v>
      </c>
      <c r="H30" s="16">
        <f>COUNTA(E4:E9)</f>
        <v>3</v>
      </c>
      <c r="I30" s="16">
        <f>COUNTA(J4:P9)</f>
        <v>22</v>
      </c>
      <c r="J30" s="16">
        <f>COUNTA(E4:AI9)</f>
        <v>49</v>
      </c>
      <c r="K30" s="16" t="s">
        <v>64</v>
      </c>
      <c r="L30" s="16">
        <f>COUNTBLANK(E4:E9)</f>
        <v>3</v>
      </c>
      <c r="M30" s="16">
        <f>COUNTBLANK(J4:P9)</f>
        <v>20</v>
      </c>
      <c r="N30" s="35">
        <f>COUNTBLANK(E4:AI9)</f>
        <v>137</v>
      </c>
      <c r="Q30" s="36" t="s">
        <v>3282</v>
      </c>
      <c r="R30" s="37">
        <f t="shared" ref="R30:T30" si="2">SUM(R31:R34)</f>
        <v>19</v>
      </c>
      <c r="S30" s="37">
        <f t="shared" si="2"/>
        <v>589</v>
      </c>
      <c r="T30" s="37">
        <f t="shared" si="2"/>
        <v>105</v>
      </c>
      <c r="U30" s="38">
        <f t="shared" ref="U30:U34" si="3">T30/S30</f>
        <v>0.17826825127334464</v>
      </c>
    </row>
    <row r="31" spans="1:35" ht="15.75" customHeight="1" x14ac:dyDescent="0.35">
      <c r="B31" s="16" t="s">
        <v>59</v>
      </c>
      <c r="C31" s="16">
        <v>4</v>
      </c>
      <c r="D31" s="30">
        <f t="shared" si="0"/>
        <v>28</v>
      </c>
      <c r="E31" s="16">
        <f t="shared" si="1"/>
        <v>124</v>
      </c>
      <c r="G31" s="16" t="s">
        <v>59</v>
      </c>
      <c r="H31" s="35">
        <f>COUNTA(E10:E13)</f>
        <v>1</v>
      </c>
      <c r="I31" s="16"/>
      <c r="J31" s="16">
        <f>COUNTA(E10:AI13)</f>
        <v>21</v>
      </c>
      <c r="K31" s="16" t="s">
        <v>59</v>
      </c>
      <c r="L31" s="35">
        <f>COUNTBLANK(I10:I14)</f>
        <v>4</v>
      </c>
      <c r="M31" s="16"/>
      <c r="N31" s="16">
        <f>COUNTBLANK(E10:AI13)</f>
        <v>103</v>
      </c>
      <c r="Q31" s="16" t="s">
        <v>64</v>
      </c>
      <c r="R31" s="37">
        <v>6</v>
      </c>
      <c r="S31" s="37">
        <v>186</v>
      </c>
      <c r="T31" s="37">
        <f t="shared" ref="T31:T34" si="4">J30</f>
        <v>49</v>
      </c>
      <c r="U31" s="39">
        <f t="shared" si="3"/>
        <v>0.26344086021505375</v>
      </c>
    </row>
    <row r="32" spans="1:35" ht="15.75" customHeight="1" x14ac:dyDescent="0.35">
      <c r="B32" s="16" t="s">
        <v>71</v>
      </c>
      <c r="C32" s="16">
        <v>3</v>
      </c>
      <c r="D32" s="30">
        <f t="shared" si="0"/>
        <v>21</v>
      </c>
      <c r="E32" s="16">
        <f t="shared" si="1"/>
        <v>93</v>
      </c>
      <c r="G32" s="16" t="s">
        <v>71</v>
      </c>
      <c r="H32" s="35">
        <f>COUNTA(E14:E16)</f>
        <v>1</v>
      </c>
      <c r="I32" s="16"/>
      <c r="J32" s="16">
        <f>COUNTA(E14:AI15)</f>
        <v>8</v>
      </c>
      <c r="K32" s="16" t="s">
        <v>71</v>
      </c>
      <c r="L32" s="35">
        <f>COUNTBLANK(I14:I16)</f>
        <v>2</v>
      </c>
      <c r="M32" s="16"/>
      <c r="N32" s="16">
        <f>COUNTBLANK(E14:AI15)</f>
        <v>54</v>
      </c>
      <c r="Q32" s="16" t="s">
        <v>59</v>
      </c>
      <c r="R32" s="37">
        <v>4</v>
      </c>
      <c r="S32" s="37">
        <v>124</v>
      </c>
      <c r="T32" s="37">
        <f t="shared" si="4"/>
        <v>21</v>
      </c>
      <c r="U32" s="39">
        <f t="shared" si="3"/>
        <v>0.16935483870967741</v>
      </c>
    </row>
    <row r="33" spans="2:25" ht="15.75" customHeight="1" x14ac:dyDescent="0.35">
      <c r="B33" s="16" t="s">
        <v>3286</v>
      </c>
      <c r="C33" s="16">
        <v>6</v>
      </c>
      <c r="D33" s="30">
        <f t="shared" si="0"/>
        <v>42</v>
      </c>
      <c r="E33" s="16">
        <f t="shared" si="1"/>
        <v>186</v>
      </c>
      <c r="G33" s="16" t="s">
        <v>3286</v>
      </c>
      <c r="H33" s="35">
        <f>COUNTA(E17:E23)</f>
        <v>3</v>
      </c>
      <c r="I33" s="16"/>
      <c r="J33" s="16">
        <f>COUNTA(E17:AI22)</f>
        <v>27</v>
      </c>
      <c r="K33" s="16" t="s">
        <v>3286</v>
      </c>
      <c r="L33" s="35">
        <f>COUNTBLANK(I17:I23)</f>
        <v>4</v>
      </c>
      <c r="M33" s="16"/>
      <c r="N33" s="16">
        <f>COUNTBLANK(E17:AI22)</f>
        <v>159</v>
      </c>
      <c r="Q33" s="16" t="s">
        <v>71</v>
      </c>
      <c r="R33" s="37">
        <v>3</v>
      </c>
      <c r="S33" s="37">
        <v>93</v>
      </c>
      <c r="T33" s="37">
        <f t="shared" si="4"/>
        <v>8</v>
      </c>
      <c r="U33" s="39">
        <f t="shared" si="3"/>
        <v>8.6021505376344093E-2</v>
      </c>
    </row>
    <row r="34" spans="2:25" ht="15.75" customHeight="1" x14ac:dyDescent="0.35">
      <c r="B34" s="16" t="s">
        <v>3287</v>
      </c>
      <c r="C34" s="16">
        <v>1</v>
      </c>
      <c r="D34" s="30">
        <f t="shared" si="0"/>
        <v>7</v>
      </c>
      <c r="E34" s="16">
        <f t="shared" si="1"/>
        <v>31</v>
      </c>
      <c r="G34" s="16"/>
      <c r="H34" s="16"/>
      <c r="I34" s="16"/>
      <c r="J34" s="16"/>
      <c r="K34" s="16"/>
      <c r="L34" s="16"/>
      <c r="M34" s="16"/>
      <c r="N34" s="16"/>
      <c r="Q34" s="16" t="s">
        <v>3286</v>
      </c>
      <c r="R34" s="37">
        <v>6</v>
      </c>
      <c r="S34" s="37">
        <v>186</v>
      </c>
      <c r="T34" s="37">
        <f t="shared" si="4"/>
        <v>27</v>
      </c>
      <c r="U34" s="39">
        <f t="shared" si="3"/>
        <v>0.14516129032258066</v>
      </c>
    </row>
    <row r="35" spans="2:25" ht="15.75" customHeight="1" x14ac:dyDescent="0.35">
      <c r="D35" s="10"/>
      <c r="H35" s="8"/>
      <c r="I35" s="8"/>
      <c r="J35" s="8"/>
    </row>
    <row r="36" spans="2:25" ht="15.75" customHeight="1" x14ac:dyDescent="0.35">
      <c r="D36" s="10"/>
      <c r="G36" s="8"/>
      <c r="H36" s="8"/>
      <c r="I36" s="8"/>
      <c r="J36" s="8"/>
    </row>
    <row r="37" spans="2:25" ht="15.75" customHeight="1" x14ac:dyDescent="0.35">
      <c r="D37" s="10"/>
      <c r="G37" s="126" t="s">
        <v>3288</v>
      </c>
      <c r="H37" s="127"/>
      <c r="I37" s="127"/>
      <c r="J37" s="128"/>
    </row>
    <row r="38" spans="2:25" ht="15.75" customHeight="1" x14ac:dyDescent="0.35">
      <c r="B38" s="40" t="s">
        <v>3289</v>
      </c>
      <c r="C38" s="40" t="s">
        <v>3290</v>
      </c>
      <c r="D38" s="8"/>
      <c r="G38" s="40" t="s">
        <v>3290</v>
      </c>
      <c r="H38" s="40" t="s">
        <v>3253</v>
      </c>
      <c r="I38" s="40" t="s">
        <v>3280</v>
      </c>
      <c r="J38" s="40" t="s">
        <v>3254</v>
      </c>
      <c r="M38" s="129" t="s">
        <v>3291</v>
      </c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1"/>
    </row>
    <row r="39" spans="2:25" ht="15.75" customHeight="1" x14ac:dyDescent="0.35">
      <c r="B39" s="16" t="s">
        <v>3272</v>
      </c>
      <c r="C39" s="16" t="s">
        <v>3292</v>
      </c>
      <c r="D39" s="10"/>
      <c r="G39" s="16" t="s">
        <v>3292</v>
      </c>
      <c r="H39" s="16"/>
      <c r="I39" s="16"/>
      <c r="J39" s="16">
        <f>COUNTIF($E$4:$AI$24,B39)</f>
        <v>27</v>
      </c>
      <c r="M39" s="31" t="s">
        <v>3281</v>
      </c>
      <c r="N39" s="40" t="s">
        <v>3293</v>
      </c>
      <c r="O39" s="40" t="s">
        <v>3292</v>
      </c>
      <c r="P39" s="40" t="s">
        <v>3294</v>
      </c>
      <c r="Q39" s="40" t="s">
        <v>3295</v>
      </c>
      <c r="R39" s="40" t="s">
        <v>3296</v>
      </c>
      <c r="S39" s="40" t="s">
        <v>3297</v>
      </c>
      <c r="T39" s="40" t="s">
        <v>3298</v>
      </c>
      <c r="U39" s="40" t="s">
        <v>3299</v>
      </c>
      <c r="V39" s="40" t="s">
        <v>3300</v>
      </c>
      <c r="W39" s="40" t="s">
        <v>3301</v>
      </c>
      <c r="X39" s="40" t="s">
        <v>3302</v>
      </c>
      <c r="Y39" s="29" t="s">
        <v>3303</v>
      </c>
    </row>
    <row r="40" spans="2:25" ht="15.75" customHeight="1" x14ac:dyDescent="0.35">
      <c r="B40" s="16" t="s">
        <v>3273</v>
      </c>
      <c r="C40" s="16" t="s">
        <v>3294</v>
      </c>
      <c r="D40" s="10"/>
      <c r="G40" s="16" t="s">
        <v>3294</v>
      </c>
      <c r="H40" s="16"/>
      <c r="I40" s="16"/>
      <c r="J40" s="16">
        <f t="shared" ref="J40:J49" si="5">COUNTIF($E$4:$AI$24,B40)</f>
        <v>2</v>
      </c>
      <c r="M40" s="16" t="s">
        <v>64</v>
      </c>
      <c r="N40" s="41">
        <f t="shared" ref="N40:N43" si="6">J30</f>
        <v>49</v>
      </c>
      <c r="O40" s="37">
        <f t="shared" ref="O40:Y40" si="7">COUNTIF($E$4:$AI$9,O44)</f>
        <v>9</v>
      </c>
      <c r="P40" s="37">
        <f t="shared" si="7"/>
        <v>1</v>
      </c>
      <c r="Q40" s="37">
        <f t="shared" si="7"/>
        <v>1</v>
      </c>
      <c r="R40" s="37">
        <f t="shared" si="7"/>
        <v>29</v>
      </c>
      <c r="S40" s="37">
        <f t="shared" si="7"/>
        <v>1</v>
      </c>
      <c r="T40" s="37">
        <f t="shared" si="7"/>
        <v>0</v>
      </c>
      <c r="U40" s="37">
        <f t="shared" si="7"/>
        <v>0</v>
      </c>
      <c r="V40" s="37">
        <f t="shared" si="7"/>
        <v>8</v>
      </c>
      <c r="W40" s="37">
        <f t="shared" si="7"/>
        <v>0</v>
      </c>
      <c r="X40" s="37">
        <f t="shared" si="7"/>
        <v>0</v>
      </c>
      <c r="Y40" s="37">
        <f t="shared" si="7"/>
        <v>0</v>
      </c>
    </row>
    <row r="41" spans="2:25" ht="15.75" customHeight="1" x14ac:dyDescent="0.35">
      <c r="B41" s="16" t="s">
        <v>3275</v>
      </c>
      <c r="C41" s="16" t="s">
        <v>3295</v>
      </c>
      <c r="D41" s="10"/>
      <c r="G41" s="16" t="s">
        <v>3295</v>
      </c>
      <c r="H41" s="16"/>
      <c r="I41" s="16"/>
      <c r="J41" s="16">
        <f t="shared" si="5"/>
        <v>7</v>
      </c>
      <c r="M41" s="16" t="s">
        <v>59</v>
      </c>
      <c r="N41" s="41">
        <f t="shared" si="6"/>
        <v>21</v>
      </c>
      <c r="O41" s="37">
        <f t="shared" ref="O41:Y41" si="8">COUNTIF($E$10:$AI$13,O44)</f>
        <v>9</v>
      </c>
      <c r="P41" s="37">
        <f t="shared" si="8"/>
        <v>1</v>
      </c>
      <c r="Q41" s="37">
        <f t="shared" si="8"/>
        <v>0</v>
      </c>
      <c r="R41" s="37">
        <f t="shared" si="8"/>
        <v>11</v>
      </c>
      <c r="S41" s="37">
        <f t="shared" si="8"/>
        <v>0</v>
      </c>
      <c r="T41" s="37">
        <f t="shared" si="8"/>
        <v>0</v>
      </c>
      <c r="U41" s="37">
        <f t="shared" si="8"/>
        <v>0</v>
      </c>
      <c r="V41" s="37">
        <f t="shared" si="8"/>
        <v>0</v>
      </c>
      <c r="W41" s="37">
        <f t="shared" si="8"/>
        <v>0</v>
      </c>
      <c r="X41" s="37">
        <f t="shared" si="8"/>
        <v>0</v>
      </c>
      <c r="Y41" s="37">
        <f t="shared" si="8"/>
        <v>0</v>
      </c>
    </row>
    <row r="42" spans="2:25" ht="15.75" customHeight="1" x14ac:dyDescent="0.35">
      <c r="B42" s="16" t="s">
        <v>41</v>
      </c>
      <c r="C42" s="16" t="s">
        <v>3296</v>
      </c>
      <c r="D42" s="10"/>
      <c r="G42" s="16" t="s">
        <v>3296</v>
      </c>
      <c r="H42" s="16"/>
      <c r="I42" s="16"/>
      <c r="J42" s="16">
        <f t="shared" si="5"/>
        <v>58</v>
      </c>
      <c r="M42" s="16" t="s">
        <v>71</v>
      </c>
      <c r="N42" s="41">
        <f t="shared" si="6"/>
        <v>8</v>
      </c>
      <c r="O42" s="37">
        <f t="shared" ref="O42:Y42" si="9">COUNTIF($E$14:$AI$16,O44)</f>
        <v>0</v>
      </c>
      <c r="P42" s="37">
        <f t="shared" si="9"/>
        <v>0</v>
      </c>
      <c r="Q42" s="37">
        <f t="shared" si="9"/>
        <v>3</v>
      </c>
      <c r="R42" s="37">
        <f t="shared" si="9"/>
        <v>3</v>
      </c>
      <c r="S42" s="37">
        <f t="shared" si="9"/>
        <v>0</v>
      </c>
      <c r="T42" s="37">
        <f t="shared" si="9"/>
        <v>0</v>
      </c>
      <c r="U42" s="37">
        <f t="shared" si="9"/>
        <v>0</v>
      </c>
      <c r="V42" s="37">
        <f t="shared" si="9"/>
        <v>2</v>
      </c>
      <c r="W42" s="37">
        <f t="shared" si="9"/>
        <v>0</v>
      </c>
      <c r="X42" s="37">
        <f t="shared" si="9"/>
        <v>0</v>
      </c>
      <c r="Y42" s="37">
        <f t="shared" si="9"/>
        <v>0</v>
      </c>
    </row>
    <row r="43" spans="2:25" ht="15.75" customHeight="1" x14ac:dyDescent="0.35">
      <c r="B43" s="16" t="s">
        <v>3274</v>
      </c>
      <c r="C43" s="16" t="s">
        <v>3297</v>
      </c>
      <c r="D43" s="10"/>
      <c r="G43" s="16" t="s">
        <v>3297</v>
      </c>
      <c r="H43" s="16"/>
      <c r="I43" s="16"/>
      <c r="J43" s="16">
        <f t="shared" si="5"/>
        <v>1</v>
      </c>
      <c r="M43" s="16" t="s">
        <v>3286</v>
      </c>
      <c r="N43" s="41">
        <f t="shared" si="6"/>
        <v>27</v>
      </c>
      <c r="O43" s="37">
        <f t="shared" ref="O43:Y43" si="10">COUNTIF($E$17:$AI$23,O44)</f>
        <v>9</v>
      </c>
      <c r="P43" s="37">
        <f t="shared" si="10"/>
        <v>0</v>
      </c>
      <c r="Q43" s="37">
        <f t="shared" si="10"/>
        <v>3</v>
      </c>
      <c r="R43" s="37">
        <f t="shared" si="10"/>
        <v>15</v>
      </c>
      <c r="S43" s="37">
        <f t="shared" si="10"/>
        <v>0</v>
      </c>
      <c r="T43" s="37">
        <f t="shared" si="10"/>
        <v>0</v>
      </c>
      <c r="U43" s="37">
        <f t="shared" si="10"/>
        <v>0</v>
      </c>
      <c r="V43" s="37">
        <f t="shared" si="10"/>
        <v>0</v>
      </c>
      <c r="W43" s="37">
        <f t="shared" si="10"/>
        <v>0</v>
      </c>
      <c r="X43" s="37">
        <f t="shared" si="10"/>
        <v>0</v>
      </c>
      <c r="Y43" s="37">
        <f t="shared" si="10"/>
        <v>0</v>
      </c>
    </row>
    <row r="44" spans="2:25" ht="15.75" customHeight="1" x14ac:dyDescent="0.35">
      <c r="B44" s="16" t="s">
        <v>3304</v>
      </c>
      <c r="C44" s="16" t="s">
        <v>3298</v>
      </c>
      <c r="D44" s="10"/>
      <c r="G44" s="16" t="s">
        <v>3298</v>
      </c>
      <c r="H44" s="16"/>
      <c r="I44" s="16"/>
      <c r="J44" s="16">
        <f t="shared" si="5"/>
        <v>0</v>
      </c>
      <c r="M44" s="28"/>
      <c r="N44" s="28"/>
      <c r="O44" s="28" t="s">
        <v>3272</v>
      </c>
      <c r="P44" s="28" t="s">
        <v>3273</v>
      </c>
      <c r="Q44" s="28" t="s">
        <v>3275</v>
      </c>
      <c r="R44" s="28" t="s">
        <v>41</v>
      </c>
      <c r="S44" s="28" t="s">
        <v>3274</v>
      </c>
      <c r="T44" s="28" t="s">
        <v>3304</v>
      </c>
      <c r="U44" s="28" t="s">
        <v>3305</v>
      </c>
      <c r="V44" s="28" t="s">
        <v>3271</v>
      </c>
      <c r="W44" s="28" t="s">
        <v>3306</v>
      </c>
      <c r="X44" s="28" t="s">
        <v>53</v>
      </c>
      <c r="Y44" s="28" t="s">
        <v>3307</v>
      </c>
    </row>
    <row r="45" spans="2:25" ht="15.75" customHeight="1" x14ac:dyDescent="0.35">
      <c r="B45" s="16" t="s">
        <v>3305</v>
      </c>
      <c r="C45" s="16" t="s">
        <v>3299</v>
      </c>
      <c r="D45" s="10"/>
      <c r="G45" s="16" t="s">
        <v>3299</v>
      </c>
      <c r="H45" s="16"/>
      <c r="I45" s="16"/>
      <c r="J45" s="16">
        <f t="shared" si="5"/>
        <v>0</v>
      </c>
    </row>
    <row r="46" spans="2:25" ht="15.75" customHeight="1" x14ac:dyDescent="0.35">
      <c r="B46" s="16" t="s">
        <v>3271</v>
      </c>
      <c r="C46" s="16" t="s">
        <v>3300</v>
      </c>
      <c r="D46" s="10"/>
      <c r="G46" s="16" t="s">
        <v>3300</v>
      </c>
      <c r="H46" s="16"/>
      <c r="I46" s="16"/>
      <c r="J46" s="16">
        <f t="shared" si="5"/>
        <v>10</v>
      </c>
    </row>
    <row r="47" spans="2:25" ht="15.75" customHeight="1" x14ac:dyDescent="0.35">
      <c r="B47" s="16" t="s">
        <v>3306</v>
      </c>
      <c r="C47" s="16" t="s">
        <v>3301</v>
      </c>
      <c r="D47" s="10"/>
      <c r="G47" s="16" t="s">
        <v>3301</v>
      </c>
      <c r="H47" s="16"/>
      <c r="I47" s="16"/>
      <c r="J47" s="16">
        <f t="shared" si="5"/>
        <v>0</v>
      </c>
    </row>
    <row r="48" spans="2:25" ht="15.75" customHeight="1" x14ac:dyDescent="0.35">
      <c r="B48" s="16" t="s">
        <v>53</v>
      </c>
      <c r="C48" s="16" t="s">
        <v>3302</v>
      </c>
      <c r="D48" s="10"/>
      <c r="G48" s="16" t="s">
        <v>3302</v>
      </c>
      <c r="H48" s="16"/>
      <c r="I48" s="16"/>
      <c r="J48" s="16">
        <f t="shared" si="5"/>
        <v>0</v>
      </c>
    </row>
    <row r="49" spans="2:10" ht="15.75" customHeight="1" x14ac:dyDescent="0.35">
      <c r="B49" s="16" t="s">
        <v>3307</v>
      </c>
      <c r="C49" s="16" t="s">
        <v>3303</v>
      </c>
      <c r="D49" s="10"/>
      <c r="G49" s="16" t="s">
        <v>3303</v>
      </c>
      <c r="H49" s="16"/>
      <c r="I49" s="16"/>
      <c r="J49" s="16">
        <f t="shared" si="5"/>
        <v>0</v>
      </c>
    </row>
    <row r="50" spans="2:10" ht="15.75" customHeight="1" x14ac:dyDescent="0.35">
      <c r="D50" s="10"/>
    </row>
    <row r="51" spans="2:10" ht="15.75" customHeight="1" x14ac:dyDescent="0.35">
      <c r="D51" s="10"/>
    </row>
    <row r="52" spans="2:10" ht="15.75" customHeight="1" x14ac:dyDescent="0.35">
      <c r="D52" s="10"/>
    </row>
    <row r="53" spans="2:10" ht="15.75" customHeight="1" x14ac:dyDescent="0.35">
      <c r="D53" s="10"/>
    </row>
    <row r="54" spans="2:10" ht="15.75" customHeight="1" x14ac:dyDescent="0.35">
      <c r="D54" s="10"/>
    </row>
    <row r="55" spans="2:10" ht="15.75" customHeight="1" x14ac:dyDescent="0.35">
      <c r="D55" s="10"/>
    </row>
    <row r="56" spans="2:10" ht="15.75" customHeight="1" x14ac:dyDescent="0.35">
      <c r="D56" s="10"/>
    </row>
    <row r="57" spans="2:10" ht="15.75" customHeight="1" x14ac:dyDescent="0.35">
      <c r="D57" s="10"/>
    </row>
    <row r="58" spans="2:10" ht="15.75" customHeight="1" x14ac:dyDescent="0.35">
      <c r="D58" s="10"/>
    </row>
    <row r="59" spans="2:10" ht="15.75" customHeight="1" x14ac:dyDescent="0.35">
      <c r="D59" s="10"/>
    </row>
    <row r="60" spans="2:10" ht="15.75" customHeight="1" x14ac:dyDescent="0.35">
      <c r="D60" s="10"/>
    </row>
    <row r="61" spans="2:10" ht="15.75" customHeight="1" x14ac:dyDescent="0.35">
      <c r="D61" s="10"/>
    </row>
    <row r="62" spans="2:10" ht="15.75" customHeight="1" x14ac:dyDescent="0.35">
      <c r="D62" s="10"/>
    </row>
    <row r="63" spans="2:10" ht="15.75" customHeight="1" x14ac:dyDescent="0.35">
      <c r="D63" s="10"/>
    </row>
    <row r="64" spans="2:10" ht="15.75" customHeight="1" x14ac:dyDescent="0.35">
      <c r="D64" s="10"/>
    </row>
    <row r="65" spans="4:4" ht="15.75" customHeight="1" x14ac:dyDescent="0.35">
      <c r="D65" s="10"/>
    </row>
    <row r="66" spans="4:4" ht="15.75" customHeight="1" x14ac:dyDescent="0.35">
      <c r="D66" s="10"/>
    </row>
    <row r="67" spans="4:4" ht="15.75" customHeight="1" x14ac:dyDescent="0.35">
      <c r="D67" s="10"/>
    </row>
    <row r="68" spans="4:4" ht="15.75" customHeight="1" x14ac:dyDescent="0.35">
      <c r="D68" s="10"/>
    </row>
    <row r="69" spans="4:4" ht="15.75" customHeight="1" x14ac:dyDescent="0.35">
      <c r="D69" s="10"/>
    </row>
    <row r="70" spans="4:4" ht="15.75" customHeight="1" x14ac:dyDescent="0.35">
      <c r="D70" s="10"/>
    </row>
    <row r="71" spans="4:4" ht="15.75" customHeight="1" x14ac:dyDescent="0.35">
      <c r="D71" s="10"/>
    </row>
    <row r="72" spans="4:4" ht="15.75" customHeight="1" x14ac:dyDescent="0.35">
      <c r="D72" s="10"/>
    </row>
    <row r="73" spans="4:4" ht="15.75" customHeight="1" x14ac:dyDescent="0.35">
      <c r="D73" s="10"/>
    </row>
    <row r="74" spans="4:4" ht="15.75" customHeight="1" x14ac:dyDescent="0.35">
      <c r="D74" s="10"/>
    </row>
    <row r="75" spans="4:4" ht="15.75" customHeight="1" x14ac:dyDescent="0.35">
      <c r="D75" s="10"/>
    </row>
    <row r="76" spans="4:4" ht="15.75" customHeight="1" x14ac:dyDescent="0.35">
      <c r="D76" s="10"/>
    </row>
    <row r="77" spans="4:4" ht="15.75" customHeight="1" x14ac:dyDescent="0.35">
      <c r="D77" s="10"/>
    </row>
    <row r="78" spans="4:4" ht="15.75" customHeight="1" x14ac:dyDescent="0.35">
      <c r="D78" s="10"/>
    </row>
    <row r="79" spans="4:4" ht="15.75" customHeight="1" x14ac:dyDescent="0.35">
      <c r="D79" s="10"/>
    </row>
    <row r="80" spans="4:4" ht="15.75" customHeight="1" x14ac:dyDescent="0.35">
      <c r="D80" s="10"/>
    </row>
    <row r="81" spans="4:4" ht="15.75" customHeight="1" x14ac:dyDescent="0.35">
      <c r="D81" s="10"/>
    </row>
    <row r="82" spans="4:4" ht="15.75" customHeight="1" x14ac:dyDescent="0.35">
      <c r="D82" s="10"/>
    </row>
    <row r="83" spans="4:4" ht="15.75" customHeight="1" x14ac:dyDescent="0.35">
      <c r="D83" s="10"/>
    </row>
    <row r="84" spans="4:4" ht="15.75" customHeight="1" x14ac:dyDescent="0.35">
      <c r="D84" s="10"/>
    </row>
    <row r="85" spans="4:4" ht="15.75" customHeight="1" x14ac:dyDescent="0.35">
      <c r="D85" s="10"/>
    </row>
    <row r="86" spans="4:4" ht="15.75" customHeight="1" x14ac:dyDescent="0.35">
      <c r="D86" s="10"/>
    </row>
    <row r="87" spans="4:4" ht="15.75" customHeight="1" x14ac:dyDescent="0.35">
      <c r="D87" s="10"/>
    </row>
    <row r="88" spans="4:4" ht="15.75" customHeight="1" x14ac:dyDescent="0.35">
      <c r="D88" s="10"/>
    </row>
    <row r="89" spans="4:4" ht="15.75" customHeight="1" x14ac:dyDescent="0.35">
      <c r="D89" s="10"/>
    </row>
    <row r="90" spans="4:4" ht="15.75" customHeight="1" x14ac:dyDescent="0.35">
      <c r="D90" s="10"/>
    </row>
    <row r="91" spans="4:4" ht="15.75" customHeight="1" x14ac:dyDescent="0.35">
      <c r="D91" s="10"/>
    </row>
    <row r="92" spans="4:4" ht="15.75" customHeight="1" x14ac:dyDescent="0.35">
      <c r="D92" s="10"/>
    </row>
    <row r="93" spans="4:4" ht="15.75" customHeight="1" x14ac:dyDescent="0.35">
      <c r="D93" s="10"/>
    </row>
    <row r="94" spans="4:4" ht="15.75" customHeight="1" x14ac:dyDescent="0.35">
      <c r="D94" s="10"/>
    </row>
    <row r="95" spans="4:4" ht="15.75" customHeight="1" x14ac:dyDescent="0.35">
      <c r="D95" s="10"/>
    </row>
    <row r="96" spans="4:4" ht="15.75" customHeight="1" x14ac:dyDescent="0.35">
      <c r="D96" s="10"/>
    </row>
    <row r="97" spans="4:4" ht="15.75" customHeight="1" x14ac:dyDescent="0.35">
      <c r="D97" s="10"/>
    </row>
    <row r="98" spans="4:4" ht="15.75" customHeight="1" x14ac:dyDescent="0.35">
      <c r="D98" s="10"/>
    </row>
    <row r="99" spans="4:4" ht="15.75" customHeight="1" x14ac:dyDescent="0.35">
      <c r="D99" s="10"/>
    </row>
    <row r="100" spans="4:4" ht="15.75" customHeight="1" x14ac:dyDescent="0.35">
      <c r="D100" s="10"/>
    </row>
    <row r="101" spans="4:4" ht="15.75" customHeight="1" x14ac:dyDescent="0.35">
      <c r="D101" s="10"/>
    </row>
    <row r="102" spans="4:4" ht="15.75" customHeight="1" x14ac:dyDescent="0.35">
      <c r="D102" s="10"/>
    </row>
    <row r="103" spans="4:4" ht="15.75" customHeight="1" x14ac:dyDescent="0.35">
      <c r="D103" s="10"/>
    </row>
    <row r="104" spans="4:4" ht="15.75" customHeight="1" x14ac:dyDescent="0.35">
      <c r="D104" s="10"/>
    </row>
    <row r="105" spans="4:4" ht="15.75" customHeight="1" x14ac:dyDescent="0.35">
      <c r="D105" s="10"/>
    </row>
    <row r="106" spans="4:4" ht="15.75" customHeight="1" x14ac:dyDescent="0.35">
      <c r="D106" s="10"/>
    </row>
    <row r="107" spans="4:4" ht="15.75" customHeight="1" x14ac:dyDescent="0.35">
      <c r="D107" s="10"/>
    </row>
    <row r="108" spans="4:4" ht="15.75" customHeight="1" x14ac:dyDescent="0.35">
      <c r="D108" s="10"/>
    </row>
    <row r="109" spans="4:4" ht="15.75" customHeight="1" x14ac:dyDescent="0.35">
      <c r="D109" s="10"/>
    </row>
    <row r="110" spans="4:4" ht="15.75" customHeight="1" x14ac:dyDescent="0.35">
      <c r="D110" s="10"/>
    </row>
    <row r="111" spans="4:4" ht="15.75" customHeight="1" x14ac:dyDescent="0.35">
      <c r="D111" s="10"/>
    </row>
    <row r="112" spans="4:4" ht="15.75" customHeight="1" x14ac:dyDescent="0.35">
      <c r="D112" s="10"/>
    </row>
    <row r="113" spans="4:4" ht="15.75" customHeight="1" x14ac:dyDescent="0.35">
      <c r="D113" s="10"/>
    </row>
    <row r="114" spans="4:4" ht="15.75" customHeight="1" x14ac:dyDescent="0.35">
      <c r="D114" s="10"/>
    </row>
    <row r="115" spans="4:4" ht="15.75" customHeight="1" x14ac:dyDescent="0.35">
      <c r="D115" s="10"/>
    </row>
    <row r="116" spans="4:4" ht="15.75" customHeight="1" x14ac:dyDescent="0.35">
      <c r="D116" s="10"/>
    </row>
    <row r="117" spans="4:4" ht="15.75" customHeight="1" x14ac:dyDescent="0.35">
      <c r="D117" s="10"/>
    </row>
    <row r="118" spans="4:4" ht="15.75" customHeight="1" x14ac:dyDescent="0.35">
      <c r="D118" s="10"/>
    </row>
    <row r="119" spans="4:4" ht="15.75" customHeight="1" x14ac:dyDescent="0.35">
      <c r="D119" s="10"/>
    </row>
    <row r="120" spans="4:4" ht="15.75" customHeight="1" x14ac:dyDescent="0.35">
      <c r="D120" s="10"/>
    </row>
    <row r="121" spans="4:4" ht="15.75" customHeight="1" x14ac:dyDescent="0.35">
      <c r="D121" s="10"/>
    </row>
    <row r="122" spans="4:4" ht="15.75" customHeight="1" x14ac:dyDescent="0.35">
      <c r="D122" s="10"/>
    </row>
    <row r="123" spans="4:4" ht="15.75" customHeight="1" x14ac:dyDescent="0.35">
      <c r="D123" s="10"/>
    </row>
    <row r="124" spans="4:4" ht="15.75" customHeight="1" x14ac:dyDescent="0.35">
      <c r="D124" s="10"/>
    </row>
    <row r="125" spans="4:4" ht="15.75" customHeight="1" x14ac:dyDescent="0.35">
      <c r="D125" s="10"/>
    </row>
    <row r="126" spans="4:4" ht="15.75" customHeight="1" x14ac:dyDescent="0.35">
      <c r="D126" s="10"/>
    </row>
    <row r="127" spans="4:4" ht="15.75" customHeight="1" x14ac:dyDescent="0.35">
      <c r="D127" s="10"/>
    </row>
    <row r="128" spans="4:4" ht="15.75" customHeight="1" x14ac:dyDescent="0.35">
      <c r="D128" s="10"/>
    </row>
    <row r="129" spans="4:4" ht="15.75" customHeight="1" x14ac:dyDescent="0.35">
      <c r="D129" s="10"/>
    </row>
    <row r="130" spans="4:4" ht="15.75" customHeight="1" x14ac:dyDescent="0.35">
      <c r="D130" s="10"/>
    </row>
    <row r="131" spans="4:4" ht="15.75" customHeight="1" x14ac:dyDescent="0.35">
      <c r="D131" s="10"/>
    </row>
    <row r="132" spans="4:4" ht="15.75" customHeight="1" x14ac:dyDescent="0.35">
      <c r="D132" s="10"/>
    </row>
    <row r="133" spans="4:4" ht="15.75" customHeight="1" x14ac:dyDescent="0.35">
      <c r="D133" s="10"/>
    </row>
    <row r="134" spans="4:4" ht="15.75" customHeight="1" x14ac:dyDescent="0.35">
      <c r="D134" s="10"/>
    </row>
    <row r="135" spans="4:4" ht="15.75" customHeight="1" x14ac:dyDescent="0.35">
      <c r="D135" s="10"/>
    </row>
    <row r="136" spans="4:4" ht="15.75" customHeight="1" x14ac:dyDescent="0.35">
      <c r="D136" s="10"/>
    </row>
    <row r="137" spans="4:4" ht="15.75" customHeight="1" x14ac:dyDescent="0.35">
      <c r="D137" s="10"/>
    </row>
    <row r="138" spans="4:4" ht="15.75" customHeight="1" x14ac:dyDescent="0.35">
      <c r="D138" s="10"/>
    </row>
    <row r="139" spans="4:4" ht="15.75" customHeight="1" x14ac:dyDescent="0.35">
      <c r="D139" s="10"/>
    </row>
    <row r="140" spans="4:4" ht="15.75" customHeight="1" x14ac:dyDescent="0.35">
      <c r="D140" s="10"/>
    </row>
    <row r="141" spans="4:4" ht="15.75" customHeight="1" x14ac:dyDescent="0.35">
      <c r="D141" s="10"/>
    </row>
    <row r="142" spans="4:4" ht="15.75" customHeight="1" x14ac:dyDescent="0.35">
      <c r="D142" s="10"/>
    </row>
    <row r="143" spans="4:4" ht="15.75" customHeight="1" x14ac:dyDescent="0.35">
      <c r="D143" s="10"/>
    </row>
    <row r="144" spans="4:4" ht="15.75" customHeight="1" x14ac:dyDescent="0.35">
      <c r="D144" s="10"/>
    </row>
    <row r="145" spans="4:4" ht="15.75" customHeight="1" x14ac:dyDescent="0.35">
      <c r="D145" s="10"/>
    </row>
    <row r="146" spans="4:4" ht="15.75" customHeight="1" x14ac:dyDescent="0.35">
      <c r="D146" s="10"/>
    </row>
    <row r="147" spans="4:4" ht="15.75" customHeight="1" x14ac:dyDescent="0.35">
      <c r="D147" s="10"/>
    </row>
    <row r="148" spans="4:4" ht="15.75" customHeight="1" x14ac:dyDescent="0.35">
      <c r="D148" s="10"/>
    </row>
    <row r="149" spans="4:4" ht="15.75" customHeight="1" x14ac:dyDescent="0.35">
      <c r="D149" s="10"/>
    </row>
    <row r="150" spans="4:4" ht="15.75" customHeight="1" x14ac:dyDescent="0.35">
      <c r="D150" s="10"/>
    </row>
    <row r="151" spans="4:4" ht="15.75" customHeight="1" x14ac:dyDescent="0.35">
      <c r="D151" s="10"/>
    </row>
    <row r="152" spans="4:4" ht="15.75" customHeight="1" x14ac:dyDescent="0.35">
      <c r="D152" s="10"/>
    </row>
    <row r="153" spans="4:4" ht="15.75" customHeight="1" x14ac:dyDescent="0.35">
      <c r="D153" s="10"/>
    </row>
    <row r="154" spans="4:4" ht="15.75" customHeight="1" x14ac:dyDescent="0.35">
      <c r="D154" s="10"/>
    </row>
    <row r="155" spans="4:4" ht="15.75" customHeight="1" x14ac:dyDescent="0.35">
      <c r="D155" s="10"/>
    </row>
    <row r="156" spans="4:4" ht="15.75" customHeight="1" x14ac:dyDescent="0.35">
      <c r="D156" s="10"/>
    </row>
    <row r="157" spans="4:4" ht="15.75" customHeight="1" x14ac:dyDescent="0.35">
      <c r="D157" s="10"/>
    </row>
    <row r="158" spans="4:4" ht="15.75" customHeight="1" x14ac:dyDescent="0.35">
      <c r="D158" s="10"/>
    </row>
    <row r="159" spans="4:4" ht="15.75" customHeight="1" x14ac:dyDescent="0.35">
      <c r="D159" s="10"/>
    </row>
    <row r="160" spans="4:4" ht="15.75" customHeight="1" x14ac:dyDescent="0.35">
      <c r="D160" s="10"/>
    </row>
    <row r="161" spans="4:4" ht="15.75" customHeight="1" x14ac:dyDescent="0.35">
      <c r="D161" s="10"/>
    </row>
    <row r="162" spans="4:4" ht="15.75" customHeight="1" x14ac:dyDescent="0.35">
      <c r="D162" s="10"/>
    </row>
    <row r="163" spans="4:4" ht="15.75" customHeight="1" x14ac:dyDescent="0.35">
      <c r="D163" s="10"/>
    </row>
    <row r="164" spans="4:4" ht="15.75" customHeight="1" x14ac:dyDescent="0.35">
      <c r="D164" s="10"/>
    </row>
    <row r="165" spans="4:4" ht="15.75" customHeight="1" x14ac:dyDescent="0.35">
      <c r="D165" s="10"/>
    </row>
    <row r="166" spans="4:4" ht="15.75" customHeight="1" x14ac:dyDescent="0.35">
      <c r="D166" s="10"/>
    </row>
    <row r="167" spans="4:4" ht="15.75" customHeight="1" x14ac:dyDescent="0.35">
      <c r="D167" s="10"/>
    </row>
    <row r="168" spans="4:4" ht="15.75" customHeight="1" x14ac:dyDescent="0.35">
      <c r="D168" s="10"/>
    </row>
    <row r="169" spans="4:4" ht="15.75" customHeight="1" x14ac:dyDescent="0.35">
      <c r="D169" s="10"/>
    </row>
    <row r="170" spans="4:4" ht="15.75" customHeight="1" x14ac:dyDescent="0.35">
      <c r="D170" s="10"/>
    </row>
    <row r="171" spans="4:4" ht="15.75" customHeight="1" x14ac:dyDescent="0.35">
      <c r="D171" s="10"/>
    </row>
    <row r="172" spans="4:4" ht="15.75" customHeight="1" x14ac:dyDescent="0.35">
      <c r="D172" s="10"/>
    </row>
    <row r="173" spans="4:4" ht="15.75" customHeight="1" x14ac:dyDescent="0.35">
      <c r="D173" s="10"/>
    </row>
    <row r="174" spans="4:4" ht="15.75" customHeight="1" x14ac:dyDescent="0.35">
      <c r="D174" s="10"/>
    </row>
    <row r="175" spans="4:4" ht="15.75" customHeight="1" x14ac:dyDescent="0.35">
      <c r="D175" s="10"/>
    </row>
    <row r="176" spans="4:4" ht="15.75" customHeight="1" x14ac:dyDescent="0.35">
      <c r="D176" s="10"/>
    </row>
    <row r="177" spans="4:4" ht="15.75" customHeight="1" x14ac:dyDescent="0.35">
      <c r="D177" s="10"/>
    </row>
    <row r="178" spans="4:4" ht="15.75" customHeight="1" x14ac:dyDescent="0.35">
      <c r="D178" s="10"/>
    </row>
    <row r="179" spans="4:4" ht="15.75" customHeight="1" x14ac:dyDescent="0.35">
      <c r="D179" s="10"/>
    </row>
    <row r="180" spans="4:4" ht="15.75" customHeight="1" x14ac:dyDescent="0.35">
      <c r="D180" s="10"/>
    </row>
    <row r="181" spans="4:4" ht="15.75" customHeight="1" x14ac:dyDescent="0.35">
      <c r="D181" s="10"/>
    </row>
    <row r="182" spans="4:4" ht="15.75" customHeight="1" x14ac:dyDescent="0.35">
      <c r="D182" s="10"/>
    </row>
    <row r="183" spans="4:4" ht="15.75" customHeight="1" x14ac:dyDescent="0.35">
      <c r="D183" s="10"/>
    </row>
    <row r="184" spans="4:4" ht="15.75" customHeight="1" x14ac:dyDescent="0.35">
      <c r="D184" s="10"/>
    </row>
    <row r="185" spans="4:4" ht="15.75" customHeight="1" x14ac:dyDescent="0.35">
      <c r="D185" s="10"/>
    </row>
    <row r="186" spans="4:4" ht="15.75" customHeight="1" x14ac:dyDescent="0.35">
      <c r="D186" s="10"/>
    </row>
    <row r="187" spans="4:4" ht="15.75" customHeight="1" x14ac:dyDescent="0.35">
      <c r="D187" s="10"/>
    </row>
    <row r="188" spans="4:4" ht="15.75" customHeight="1" x14ac:dyDescent="0.35">
      <c r="D188" s="10"/>
    </row>
    <row r="189" spans="4:4" ht="15.75" customHeight="1" x14ac:dyDescent="0.35">
      <c r="D189" s="10"/>
    </row>
    <row r="190" spans="4:4" ht="15.75" customHeight="1" x14ac:dyDescent="0.35">
      <c r="D190" s="10"/>
    </row>
    <row r="191" spans="4:4" ht="15.75" customHeight="1" x14ac:dyDescent="0.35">
      <c r="D191" s="10"/>
    </row>
    <row r="192" spans="4:4" ht="15.75" customHeight="1" x14ac:dyDescent="0.35">
      <c r="D192" s="10"/>
    </row>
    <row r="193" spans="4:4" ht="15.75" customHeight="1" x14ac:dyDescent="0.35">
      <c r="D193" s="10"/>
    </row>
    <row r="194" spans="4:4" ht="15.75" customHeight="1" x14ac:dyDescent="0.35">
      <c r="D194" s="10"/>
    </row>
    <row r="195" spans="4:4" ht="15.75" customHeight="1" x14ac:dyDescent="0.35">
      <c r="D195" s="10"/>
    </row>
    <row r="196" spans="4:4" ht="15.75" customHeight="1" x14ac:dyDescent="0.35">
      <c r="D196" s="10"/>
    </row>
    <row r="197" spans="4:4" ht="15.75" customHeight="1" x14ac:dyDescent="0.35">
      <c r="D197" s="10"/>
    </row>
    <row r="198" spans="4:4" ht="15.75" customHeight="1" x14ac:dyDescent="0.35">
      <c r="D198" s="10"/>
    </row>
    <row r="199" spans="4:4" ht="15.75" customHeight="1" x14ac:dyDescent="0.35">
      <c r="D199" s="10"/>
    </row>
    <row r="200" spans="4:4" ht="15.75" customHeight="1" x14ac:dyDescent="0.35">
      <c r="D200" s="10"/>
    </row>
    <row r="201" spans="4:4" ht="15.75" customHeight="1" x14ac:dyDescent="0.35">
      <c r="D201" s="10"/>
    </row>
    <row r="202" spans="4:4" ht="15.75" customHeight="1" x14ac:dyDescent="0.35">
      <c r="D202" s="10"/>
    </row>
    <row r="203" spans="4:4" ht="15.75" customHeight="1" x14ac:dyDescent="0.35">
      <c r="D203" s="10"/>
    </row>
    <row r="204" spans="4:4" ht="15.75" customHeight="1" x14ac:dyDescent="0.35">
      <c r="D204" s="10"/>
    </row>
    <row r="205" spans="4:4" ht="15.75" customHeight="1" x14ac:dyDescent="0.35">
      <c r="D205" s="10"/>
    </row>
    <row r="206" spans="4:4" ht="15.75" customHeight="1" x14ac:dyDescent="0.35">
      <c r="D206" s="10"/>
    </row>
    <row r="207" spans="4:4" ht="15.75" customHeight="1" x14ac:dyDescent="0.35">
      <c r="D207" s="10"/>
    </row>
    <row r="208" spans="4:4" ht="15.75" customHeight="1" x14ac:dyDescent="0.35">
      <c r="D208" s="10"/>
    </row>
    <row r="209" spans="4:4" ht="15.75" customHeight="1" x14ac:dyDescent="0.35">
      <c r="D209" s="10"/>
    </row>
    <row r="210" spans="4:4" ht="15.75" customHeight="1" x14ac:dyDescent="0.35">
      <c r="D210" s="10"/>
    </row>
    <row r="211" spans="4:4" ht="15.75" customHeight="1" x14ac:dyDescent="0.35">
      <c r="D211" s="10"/>
    </row>
    <row r="212" spans="4:4" ht="15.75" customHeight="1" x14ac:dyDescent="0.35">
      <c r="D212" s="10"/>
    </row>
    <row r="213" spans="4:4" ht="15.75" customHeight="1" x14ac:dyDescent="0.35">
      <c r="D213" s="10"/>
    </row>
    <row r="214" spans="4:4" ht="15.75" customHeight="1" x14ac:dyDescent="0.35">
      <c r="D214" s="10"/>
    </row>
    <row r="215" spans="4:4" ht="15.75" customHeight="1" x14ac:dyDescent="0.35">
      <c r="D215" s="10"/>
    </row>
    <row r="216" spans="4:4" ht="15.75" customHeight="1" x14ac:dyDescent="0.35">
      <c r="D216" s="10"/>
    </row>
    <row r="217" spans="4:4" ht="15.75" customHeight="1" x14ac:dyDescent="0.35">
      <c r="D217" s="10"/>
    </row>
    <row r="218" spans="4:4" ht="15.75" customHeight="1" x14ac:dyDescent="0.35">
      <c r="D218" s="10"/>
    </row>
    <row r="219" spans="4:4" ht="15.75" customHeight="1" x14ac:dyDescent="0.35">
      <c r="D219" s="10"/>
    </row>
    <row r="220" spans="4:4" ht="15.75" customHeight="1" x14ac:dyDescent="0.35">
      <c r="D220" s="10"/>
    </row>
    <row r="221" spans="4:4" ht="15.75" customHeight="1" x14ac:dyDescent="0.35">
      <c r="D221" s="10"/>
    </row>
    <row r="222" spans="4:4" ht="15.75" customHeight="1" x14ac:dyDescent="0.35">
      <c r="D222" s="10"/>
    </row>
    <row r="223" spans="4:4" ht="15.75" customHeight="1" x14ac:dyDescent="0.35">
      <c r="D223" s="10"/>
    </row>
    <row r="224" spans="4:4" ht="15.75" customHeight="1" x14ac:dyDescent="0.35">
      <c r="D224" s="10"/>
    </row>
    <row r="225" spans="4:4" ht="15.75" customHeight="1" x14ac:dyDescent="0.35">
      <c r="D225" s="10"/>
    </row>
    <row r="226" spans="4:4" ht="15.75" customHeight="1" x14ac:dyDescent="0.35">
      <c r="D226" s="10"/>
    </row>
    <row r="227" spans="4:4" ht="15.75" customHeight="1" x14ac:dyDescent="0.35">
      <c r="D227" s="10"/>
    </row>
    <row r="228" spans="4:4" ht="15.75" customHeight="1" x14ac:dyDescent="0.35">
      <c r="D228" s="10"/>
    </row>
    <row r="229" spans="4:4" ht="15.75" customHeight="1" x14ac:dyDescent="0.35">
      <c r="D229" s="10"/>
    </row>
    <row r="230" spans="4:4" ht="15.75" customHeight="1" x14ac:dyDescent="0.35">
      <c r="D230" s="10"/>
    </row>
    <row r="231" spans="4:4" ht="15.75" customHeight="1" x14ac:dyDescent="0.35">
      <c r="D231" s="10"/>
    </row>
    <row r="232" spans="4:4" ht="15.75" customHeight="1" x14ac:dyDescent="0.35">
      <c r="D232" s="10"/>
    </row>
    <row r="233" spans="4:4" ht="15.75" customHeight="1" x14ac:dyDescent="0.35">
      <c r="D233" s="10"/>
    </row>
    <row r="234" spans="4:4" ht="15.75" customHeight="1" x14ac:dyDescent="0.35">
      <c r="D234" s="10"/>
    </row>
    <row r="235" spans="4:4" ht="15.75" customHeight="1" x14ac:dyDescent="0.35">
      <c r="D235" s="10"/>
    </row>
    <row r="236" spans="4:4" ht="15.75" customHeight="1" x14ac:dyDescent="0.35">
      <c r="D236" s="10"/>
    </row>
    <row r="237" spans="4:4" ht="15.75" customHeight="1" x14ac:dyDescent="0.35">
      <c r="D237" s="10"/>
    </row>
    <row r="238" spans="4:4" ht="15.75" customHeight="1" x14ac:dyDescent="0.35">
      <c r="D238" s="10"/>
    </row>
    <row r="239" spans="4:4" ht="15.75" customHeight="1" x14ac:dyDescent="0.35">
      <c r="D239" s="10"/>
    </row>
    <row r="240" spans="4:4" ht="15.75" customHeight="1" x14ac:dyDescent="0.35">
      <c r="D240" s="10"/>
    </row>
    <row r="241" spans="4:4" ht="15.75" customHeight="1" x14ac:dyDescent="0.35">
      <c r="D241" s="10"/>
    </row>
    <row r="242" spans="4:4" ht="15.75" customHeight="1" x14ac:dyDescent="0.35">
      <c r="D242" s="10"/>
    </row>
    <row r="243" spans="4:4" ht="15.75" customHeight="1" x14ac:dyDescent="0.35">
      <c r="D243" s="10"/>
    </row>
    <row r="244" spans="4:4" ht="15.75" customHeight="1" x14ac:dyDescent="0.35">
      <c r="D244" s="10"/>
    </row>
    <row r="245" spans="4:4" ht="15.75" customHeight="1" x14ac:dyDescent="0.35">
      <c r="D245" s="10"/>
    </row>
    <row r="246" spans="4:4" ht="15.75" customHeight="1" x14ac:dyDescent="0.35">
      <c r="D246" s="10"/>
    </row>
    <row r="247" spans="4:4" ht="15.75" customHeight="1" x14ac:dyDescent="0.35">
      <c r="D247" s="10"/>
    </row>
    <row r="248" spans="4:4" ht="15.75" customHeight="1" x14ac:dyDescent="0.35">
      <c r="D248" s="10"/>
    </row>
    <row r="249" spans="4:4" ht="15.75" customHeight="1" x14ac:dyDescent="0.35">
      <c r="D249" s="10"/>
    </row>
    <row r="250" spans="4:4" ht="15.75" customHeight="1" x14ac:dyDescent="0.35"/>
    <row r="251" spans="4:4" ht="15.75" customHeight="1" x14ac:dyDescent="0.35"/>
    <row r="252" spans="4:4" ht="15.75" customHeight="1" x14ac:dyDescent="0.35"/>
    <row r="253" spans="4:4" ht="15.75" customHeight="1" x14ac:dyDescent="0.35"/>
    <row r="254" spans="4:4" ht="15.75" customHeight="1" x14ac:dyDescent="0.35"/>
    <row r="255" spans="4:4" ht="15.75" customHeight="1" x14ac:dyDescent="0.35"/>
    <row r="256" spans="4:4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8">
    <mergeCell ref="G37:J37"/>
    <mergeCell ref="M38:Y38"/>
    <mergeCell ref="E1:AH1"/>
    <mergeCell ref="G27:J27"/>
    <mergeCell ref="K27:N27"/>
    <mergeCell ref="G28:G29"/>
    <mergeCell ref="K28:K29"/>
    <mergeCell ref="Q28:U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BC9B-3025-46B1-A30D-0A399AF6E1C1}">
  <sheetPr>
    <outlinePr summaryBelow="0" summaryRight="0"/>
  </sheetPr>
  <dimension ref="A1:AH1000"/>
  <sheetViews>
    <sheetView zoomScale="61" workbookViewId="0">
      <pane xSplit="3" ySplit="1" topLeftCell="P33" activePane="bottomRight" state="frozen"/>
      <selection pane="topRight" activeCell="D1" sqref="D1"/>
      <selection pane="bottomLeft" activeCell="A2" sqref="A2"/>
      <selection pane="bottomRight" activeCell="E17" sqref="E17"/>
    </sheetView>
  </sheetViews>
  <sheetFormatPr defaultColWidth="14.453125" defaultRowHeight="15" customHeight="1" x14ac:dyDescent="0.35"/>
  <cols>
    <col min="1" max="1" width="3.7265625" customWidth="1"/>
    <col min="2" max="2" width="15.453125" customWidth="1"/>
    <col min="3" max="3" width="11.54296875" customWidth="1"/>
    <col min="4" max="4" width="13.453125" customWidth="1"/>
    <col min="5" max="5" width="12.453125" customWidth="1"/>
    <col min="6" max="6" width="14.90625" customWidth="1"/>
    <col min="7" max="7" width="13.81640625" customWidth="1"/>
    <col min="8" max="8" width="14.54296875" customWidth="1"/>
    <col min="9" max="10" width="12.453125" customWidth="1"/>
    <col min="11" max="11" width="13.81640625" customWidth="1"/>
    <col min="12" max="12" width="12.453125" customWidth="1"/>
    <col min="13" max="13" width="13.90625" customWidth="1"/>
    <col min="14" max="14" width="13.81640625" customWidth="1"/>
    <col min="15" max="15" width="12.7265625" customWidth="1"/>
    <col min="16" max="16" width="12.90625" customWidth="1"/>
    <col min="17" max="17" width="15.453125" customWidth="1"/>
    <col min="18" max="18" width="13" customWidth="1"/>
    <col min="19" max="20" width="12.453125" customWidth="1"/>
    <col min="21" max="21" width="12.54296875" customWidth="1"/>
    <col min="22" max="22" width="12.90625" customWidth="1"/>
    <col min="23" max="23" width="12.54296875" customWidth="1"/>
    <col min="24" max="24" width="12.6328125" customWidth="1"/>
    <col min="25" max="25" width="13" customWidth="1"/>
    <col min="26" max="26" width="13.36328125" customWidth="1"/>
    <col min="27" max="27" width="12.54296875" customWidth="1"/>
    <col min="28" max="28" width="13.1796875" customWidth="1"/>
    <col min="29" max="29" width="12.54296875" customWidth="1"/>
    <col min="30" max="30" width="12.81640625" customWidth="1"/>
    <col min="31" max="31" width="12.90625" customWidth="1"/>
    <col min="32" max="32" width="13.26953125" customWidth="1"/>
    <col min="33" max="33" width="12.7265625" customWidth="1"/>
    <col min="34" max="34" width="12.453125" customWidth="1"/>
  </cols>
  <sheetData>
    <row r="1" spans="1:34" ht="14.5" x14ac:dyDescent="0.35">
      <c r="A1" s="8"/>
      <c r="B1" s="9" t="s">
        <v>3308</v>
      </c>
      <c r="E1" s="132" t="s">
        <v>3309</v>
      </c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</row>
    <row r="2" spans="1:34" ht="14.5" x14ac:dyDescent="0.35">
      <c r="A2" s="9"/>
      <c r="C2" s="10"/>
      <c r="D2" s="10"/>
      <c r="E2" s="9" t="s">
        <v>3265</v>
      </c>
      <c r="F2" s="8" t="s">
        <v>3266</v>
      </c>
      <c r="G2" s="8" t="s">
        <v>3260</v>
      </c>
      <c r="H2" s="8" t="s">
        <v>3261</v>
      </c>
      <c r="I2" s="8" t="s">
        <v>3262</v>
      </c>
      <c r="J2" s="8" t="s">
        <v>3263</v>
      </c>
      <c r="K2" s="9" t="s">
        <v>3264</v>
      </c>
      <c r="L2" s="9" t="s">
        <v>3265</v>
      </c>
      <c r="M2" s="8" t="s">
        <v>3266</v>
      </c>
      <c r="N2" s="8" t="s">
        <v>3260</v>
      </c>
      <c r="O2" s="8" t="s">
        <v>3261</v>
      </c>
      <c r="P2" s="8" t="s">
        <v>3262</v>
      </c>
      <c r="Q2" s="8" t="s">
        <v>3263</v>
      </c>
      <c r="R2" s="9" t="s">
        <v>3264</v>
      </c>
      <c r="S2" s="9" t="s">
        <v>3265</v>
      </c>
      <c r="T2" s="8" t="s">
        <v>3266</v>
      </c>
      <c r="U2" s="8" t="s">
        <v>3260</v>
      </c>
      <c r="V2" s="8" t="s">
        <v>3261</v>
      </c>
      <c r="W2" s="8" t="s">
        <v>3262</v>
      </c>
      <c r="X2" s="8" t="s">
        <v>3263</v>
      </c>
      <c r="Y2" s="9" t="s">
        <v>3264</v>
      </c>
      <c r="Z2" s="9" t="s">
        <v>3265</v>
      </c>
      <c r="AA2" s="8" t="s">
        <v>3266</v>
      </c>
      <c r="AB2" s="8" t="s">
        <v>3260</v>
      </c>
      <c r="AC2" s="8" t="s">
        <v>3261</v>
      </c>
      <c r="AD2" s="8" t="s">
        <v>3262</v>
      </c>
      <c r="AE2" s="8" t="s">
        <v>3263</v>
      </c>
      <c r="AF2" s="9" t="s">
        <v>3264</v>
      </c>
      <c r="AG2" s="9" t="s">
        <v>3265</v>
      </c>
      <c r="AH2" s="8" t="s">
        <v>3266</v>
      </c>
    </row>
    <row r="3" spans="1:34" ht="14.5" x14ac:dyDescent="0.35">
      <c r="A3" s="9" t="s">
        <v>3267</v>
      </c>
      <c r="B3" s="8" t="s">
        <v>3268</v>
      </c>
      <c r="C3" s="8" t="s">
        <v>3269</v>
      </c>
      <c r="D3" s="8" t="s">
        <v>3270</v>
      </c>
      <c r="E3" s="11">
        <v>45536</v>
      </c>
      <c r="F3" s="11">
        <v>45537</v>
      </c>
      <c r="G3" s="11">
        <v>45538</v>
      </c>
      <c r="H3" s="11">
        <v>45539</v>
      </c>
      <c r="I3" s="11">
        <v>45540</v>
      </c>
      <c r="J3" s="11">
        <v>45541</v>
      </c>
      <c r="K3" s="11">
        <v>45542</v>
      </c>
      <c r="L3" s="11">
        <v>45543</v>
      </c>
      <c r="M3" s="11">
        <v>45544</v>
      </c>
      <c r="N3" s="11">
        <v>45545</v>
      </c>
      <c r="O3" s="11">
        <v>45546</v>
      </c>
      <c r="P3" s="11">
        <v>45547</v>
      </c>
      <c r="Q3" s="11">
        <v>45548</v>
      </c>
      <c r="R3" s="11">
        <v>45549</v>
      </c>
      <c r="S3" s="11">
        <v>45550</v>
      </c>
      <c r="T3" s="11">
        <v>45551</v>
      </c>
      <c r="U3" s="11">
        <v>45552</v>
      </c>
      <c r="V3" s="11">
        <v>45553</v>
      </c>
      <c r="W3" s="11">
        <v>45554</v>
      </c>
      <c r="X3" s="11">
        <v>45555</v>
      </c>
      <c r="Y3" s="11">
        <v>45556</v>
      </c>
      <c r="Z3" s="11">
        <v>45557</v>
      </c>
      <c r="AA3" s="11">
        <v>45558</v>
      </c>
      <c r="AB3" s="11">
        <v>45559</v>
      </c>
      <c r="AC3" s="11">
        <v>45560</v>
      </c>
      <c r="AD3" s="11">
        <v>45561</v>
      </c>
      <c r="AE3" s="11">
        <v>45562</v>
      </c>
      <c r="AF3" s="11">
        <v>45563</v>
      </c>
      <c r="AG3" s="11">
        <v>45564</v>
      </c>
      <c r="AH3" s="11">
        <v>45565</v>
      </c>
    </row>
    <row r="4" spans="1:34" ht="14.5" x14ac:dyDescent="0.35">
      <c r="A4" s="12">
        <v>1</v>
      </c>
      <c r="B4" s="13" t="s">
        <v>64</v>
      </c>
      <c r="C4" s="14">
        <v>101</v>
      </c>
      <c r="D4" s="15">
        <v>2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 t="s">
        <v>41</v>
      </c>
      <c r="P4" s="16" t="s">
        <v>41</v>
      </c>
      <c r="Q4" s="16" t="s">
        <v>41</v>
      </c>
      <c r="R4" s="16" t="s">
        <v>41</v>
      </c>
      <c r="S4" s="16" t="s">
        <v>41</v>
      </c>
      <c r="T4" s="16" t="s">
        <v>41</v>
      </c>
      <c r="U4" s="16"/>
      <c r="V4" s="16"/>
      <c r="W4" s="16"/>
      <c r="X4" s="42" t="s">
        <v>3272</v>
      </c>
      <c r="Y4" s="42" t="s">
        <v>3272</v>
      </c>
      <c r="Z4" s="42" t="s">
        <v>3272</v>
      </c>
      <c r="AA4" s="42" t="s">
        <v>3272</v>
      </c>
      <c r="AB4" s="27"/>
      <c r="AC4" s="16" t="s">
        <v>41</v>
      </c>
      <c r="AD4" s="16" t="s">
        <v>41</v>
      </c>
      <c r="AE4" s="16" t="s">
        <v>3272</v>
      </c>
      <c r="AF4" s="16"/>
      <c r="AG4" s="16"/>
      <c r="AH4" s="16"/>
    </row>
    <row r="5" spans="1:34" ht="14.5" x14ac:dyDescent="0.35">
      <c r="A5" s="12">
        <v>2</v>
      </c>
      <c r="B5" s="13" t="s">
        <v>64</v>
      </c>
      <c r="C5" s="14">
        <v>201</v>
      </c>
      <c r="D5" s="15">
        <v>2</v>
      </c>
      <c r="E5" s="16" t="s">
        <v>41</v>
      </c>
      <c r="F5" s="16" t="s">
        <v>41</v>
      </c>
      <c r="G5" s="16" t="s">
        <v>41</v>
      </c>
      <c r="H5" s="16" t="s">
        <v>41</v>
      </c>
      <c r="I5" s="12" t="s">
        <v>41</v>
      </c>
      <c r="J5" s="42" t="s">
        <v>41</v>
      </c>
      <c r="K5" s="42" t="s">
        <v>41</v>
      </c>
      <c r="L5" s="27" t="s">
        <v>3307</v>
      </c>
      <c r="M5" s="16" t="s">
        <v>41</v>
      </c>
      <c r="N5" s="16"/>
      <c r="O5" s="16"/>
      <c r="P5" s="16"/>
      <c r="Q5" s="16" t="s">
        <v>41</v>
      </c>
      <c r="R5" s="16" t="s">
        <v>3272</v>
      </c>
      <c r="S5" s="16" t="s">
        <v>41</v>
      </c>
      <c r="T5" s="16"/>
      <c r="U5" s="16" t="s">
        <v>3273</v>
      </c>
      <c r="V5" s="16" t="s">
        <v>41</v>
      </c>
      <c r="W5" s="16" t="s">
        <v>41</v>
      </c>
      <c r="X5" s="42" t="s">
        <v>3272</v>
      </c>
      <c r="Y5" s="42" t="s">
        <v>3272</v>
      </c>
      <c r="Z5" s="42" t="s">
        <v>3272</v>
      </c>
      <c r="AA5" s="42" t="s">
        <v>3272</v>
      </c>
      <c r="AB5" s="27"/>
      <c r="AC5" s="16" t="s">
        <v>41</v>
      </c>
      <c r="AD5" s="16" t="s">
        <v>3272</v>
      </c>
      <c r="AE5" s="16" t="s">
        <v>3272</v>
      </c>
      <c r="AF5" s="16" t="s">
        <v>3272</v>
      </c>
      <c r="AG5" s="16"/>
      <c r="AH5" s="16"/>
    </row>
    <row r="6" spans="1:34" ht="14.5" x14ac:dyDescent="0.35">
      <c r="A6" s="12">
        <v>3</v>
      </c>
      <c r="B6" s="13" t="s">
        <v>64</v>
      </c>
      <c r="C6" s="14">
        <v>301</v>
      </c>
      <c r="D6" s="15">
        <v>2</v>
      </c>
      <c r="E6" s="16"/>
      <c r="F6" s="16"/>
      <c r="G6" s="16" t="s">
        <v>41</v>
      </c>
      <c r="H6" s="16" t="s">
        <v>41</v>
      </c>
      <c r="I6" s="12" t="s">
        <v>41</v>
      </c>
      <c r="J6" s="16"/>
      <c r="K6" s="16"/>
      <c r="L6" s="28"/>
      <c r="N6" s="16"/>
      <c r="O6" s="16" t="s">
        <v>41</v>
      </c>
      <c r="P6" s="16" t="s">
        <v>41</v>
      </c>
      <c r="Q6" s="16" t="s">
        <v>41</v>
      </c>
      <c r="R6" s="43" t="s">
        <v>41</v>
      </c>
      <c r="S6" s="16" t="s">
        <v>3271</v>
      </c>
      <c r="T6" s="16"/>
      <c r="U6" s="16" t="s">
        <v>41</v>
      </c>
      <c r="V6" s="16" t="s">
        <v>3271</v>
      </c>
      <c r="W6" s="16" t="s">
        <v>3271</v>
      </c>
      <c r="X6" s="16" t="s">
        <v>3271</v>
      </c>
      <c r="Y6" s="16" t="s">
        <v>3274</v>
      </c>
      <c r="Z6" s="16" t="s">
        <v>3274</v>
      </c>
      <c r="AA6" s="16" t="s">
        <v>3274</v>
      </c>
      <c r="AB6" s="16" t="s">
        <v>3274</v>
      </c>
      <c r="AC6" s="16"/>
      <c r="AD6" s="16" t="s">
        <v>3272</v>
      </c>
      <c r="AE6" s="16" t="s">
        <v>3272</v>
      </c>
      <c r="AF6" s="16" t="s">
        <v>3272</v>
      </c>
      <c r="AG6" s="16" t="s">
        <v>3272</v>
      </c>
      <c r="AH6" s="16"/>
    </row>
    <row r="7" spans="1:34" ht="14.5" x14ac:dyDescent="0.35">
      <c r="A7" s="12">
        <v>4</v>
      </c>
      <c r="B7" s="13" t="s">
        <v>64</v>
      </c>
      <c r="C7" s="14">
        <v>401</v>
      </c>
      <c r="D7" s="15">
        <v>2</v>
      </c>
      <c r="E7" s="16" t="s">
        <v>41</v>
      </c>
      <c r="F7" s="16"/>
      <c r="G7" s="16"/>
      <c r="H7" s="16"/>
      <c r="I7" s="16"/>
      <c r="J7" s="44" t="s">
        <v>41</v>
      </c>
      <c r="K7" s="44" t="s">
        <v>41</v>
      </c>
      <c r="L7" s="44" t="s">
        <v>41</v>
      </c>
      <c r="M7" s="16" t="s">
        <v>41</v>
      </c>
      <c r="N7" s="16" t="s">
        <v>41</v>
      </c>
      <c r="O7" s="16"/>
      <c r="P7" s="17" t="s">
        <v>41</v>
      </c>
      <c r="Q7" s="17" t="s">
        <v>41</v>
      </c>
      <c r="R7" s="17" t="s">
        <v>41</v>
      </c>
      <c r="S7" s="17" t="s">
        <v>41</v>
      </c>
      <c r="T7" s="17" t="s">
        <v>41</v>
      </c>
      <c r="U7" s="16"/>
      <c r="V7" s="16" t="s">
        <v>3275</v>
      </c>
      <c r="W7" s="16"/>
      <c r="X7" s="16"/>
      <c r="Y7" s="16" t="s">
        <v>3273</v>
      </c>
      <c r="Z7" s="16" t="s">
        <v>41</v>
      </c>
      <c r="AA7" s="16"/>
      <c r="AB7" s="16" t="s">
        <v>3274</v>
      </c>
      <c r="AC7" s="16" t="s">
        <v>41</v>
      </c>
      <c r="AD7" s="16"/>
      <c r="AE7" s="16" t="s">
        <v>3272</v>
      </c>
      <c r="AF7" s="16" t="s">
        <v>3271</v>
      </c>
      <c r="AG7" s="16"/>
      <c r="AH7" s="16"/>
    </row>
    <row r="8" spans="1:34" ht="14.5" x14ac:dyDescent="0.35">
      <c r="A8" s="12">
        <v>5</v>
      </c>
      <c r="B8" s="13" t="s">
        <v>64</v>
      </c>
      <c r="C8" s="14">
        <v>501</v>
      </c>
      <c r="D8" s="15">
        <v>2</v>
      </c>
      <c r="E8" s="16"/>
      <c r="F8" s="16" t="s">
        <v>41</v>
      </c>
      <c r="G8" s="16"/>
      <c r="H8" s="16" t="s">
        <v>41</v>
      </c>
      <c r="I8" s="16"/>
      <c r="J8" s="27" t="s">
        <v>53</v>
      </c>
      <c r="K8" s="44" t="s">
        <v>41</v>
      </c>
      <c r="L8" s="44" t="s">
        <v>41</v>
      </c>
      <c r="M8" s="16"/>
      <c r="N8" s="45" t="s">
        <v>3272</v>
      </c>
      <c r="O8" s="45" t="s">
        <v>3272</v>
      </c>
      <c r="P8" s="16"/>
      <c r="Q8" s="16" t="s">
        <v>41</v>
      </c>
      <c r="R8" s="43" t="s">
        <v>41</v>
      </c>
      <c r="S8" s="16"/>
      <c r="T8" s="16"/>
      <c r="U8" s="16"/>
      <c r="V8" s="16" t="s">
        <v>41</v>
      </c>
      <c r="W8" s="16" t="s">
        <v>41</v>
      </c>
      <c r="X8" s="16"/>
      <c r="Y8" s="16" t="s">
        <v>41</v>
      </c>
      <c r="Z8" s="16" t="s">
        <v>41</v>
      </c>
      <c r="AA8" s="16"/>
      <c r="AC8" s="16" t="s">
        <v>41</v>
      </c>
      <c r="AD8" s="16"/>
      <c r="AE8" s="16" t="s">
        <v>41</v>
      </c>
      <c r="AF8" s="16" t="s">
        <v>41</v>
      </c>
      <c r="AG8" s="16" t="s">
        <v>41</v>
      </c>
      <c r="AH8" s="16" t="s">
        <v>41</v>
      </c>
    </row>
    <row r="9" spans="1:34" ht="14.5" x14ac:dyDescent="0.35">
      <c r="A9" s="12">
        <v>6</v>
      </c>
      <c r="B9" s="13" t="s">
        <v>64</v>
      </c>
      <c r="C9" s="14">
        <v>601</v>
      </c>
      <c r="D9" s="15">
        <v>2</v>
      </c>
      <c r="E9" s="46" t="s">
        <v>41</v>
      </c>
      <c r="F9" s="16" t="s">
        <v>41</v>
      </c>
      <c r="G9" s="16" t="s">
        <v>41</v>
      </c>
      <c r="H9" s="16" t="s">
        <v>41</v>
      </c>
      <c r="I9" s="16"/>
      <c r="J9" s="16"/>
      <c r="K9" s="16" t="s">
        <v>41</v>
      </c>
      <c r="L9" s="16"/>
      <c r="M9" s="16"/>
      <c r="N9" s="45" t="s">
        <v>3272</v>
      </c>
      <c r="O9" s="45" t="s">
        <v>3272</v>
      </c>
      <c r="P9" s="16"/>
      <c r="Q9" s="16"/>
      <c r="R9" s="16" t="s">
        <v>41</v>
      </c>
      <c r="S9" s="16" t="s">
        <v>41</v>
      </c>
      <c r="T9" s="16" t="s">
        <v>41</v>
      </c>
      <c r="U9" s="16" t="s">
        <v>41</v>
      </c>
      <c r="V9" s="16"/>
      <c r="X9" s="16" t="s">
        <v>3274</v>
      </c>
      <c r="Y9" s="16"/>
      <c r="Z9" s="16"/>
      <c r="AA9" s="16" t="s">
        <v>3273</v>
      </c>
      <c r="AB9" s="16"/>
      <c r="AC9" s="16"/>
      <c r="AD9" s="16"/>
      <c r="AE9" s="16" t="s">
        <v>41</v>
      </c>
      <c r="AF9" s="16" t="s">
        <v>41</v>
      </c>
      <c r="AG9" s="16"/>
      <c r="AH9" s="16"/>
    </row>
    <row r="10" spans="1:34" ht="14.5" x14ac:dyDescent="0.35">
      <c r="A10" s="18">
        <v>7</v>
      </c>
      <c r="B10" s="19" t="s">
        <v>59</v>
      </c>
      <c r="C10" s="20">
        <v>102</v>
      </c>
      <c r="D10" s="15">
        <v>2</v>
      </c>
      <c r="F10" s="16" t="s">
        <v>3272</v>
      </c>
      <c r="G10" s="16"/>
      <c r="H10" s="16"/>
      <c r="I10" s="16"/>
      <c r="K10" s="16" t="s">
        <v>41</v>
      </c>
      <c r="L10" s="16" t="s">
        <v>41</v>
      </c>
      <c r="M10" s="16"/>
      <c r="N10" s="16"/>
      <c r="O10" s="16"/>
      <c r="P10" s="16" t="s">
        <v>3272</v>
      </c>
      <c r="Q10" s="16"/>
      <c r="R10" s="43" t="s">
        <v>41</v>
      </c>
      <c r="S10" s="16"/>
      <c r="T10" s="16"/>
      <c r="U10" s="16"/>
      <c r="V10" s="16"/>
      <c r="W10" s="44" t="s">
        <v>41</v>
      </c>
      <c r="X10" s="44" t="s">
        <v>41</v>
      </c>
      <c r="Y10" s="12" t="s">
        <v>41</v>
      </c>
      <c r="Z10" s="12" t="s">
        <v>41</v>
      </c>
      <c r="AA10" s="16"/>
      <c r="AB10" s="16"/>
      <c r="AC10" s="16"/>
      <c r="AD10" s="16"/>
      <c r="AE10" s="16" t="s">
        <v>41</v>
      </c>
      <c r="AF10" s="16" t="s">
        <v>41</v>
      </c>
      <c r="AG10" s="16"/>
      <c r="AH10" s="16"/>
    </row>
    <row r="11" spans="1:34" ht="14.5" x14ac:dyDescent="0.35">
      <c r="A11" s="18">
        <v>8</v>
      </c>
      <c r="B11" s="19" t="s">
        <v>59</v>
      </c>
      <c r="C11" s="20">
        <v>202</v>
      </c>
      <c r="D11" s="15">
        <v>2</v>
      </c>
      <c r="E11" s="16"/>
      <c r="F11" s="16"/>
      <c r="G11" s="16"/>
      <c r="H11" s="16"/>
      <c r="I11" s="16"/>
      <c r="J11" s="16"/>
      <c r="K11" s="16"/>
      <c r="L11" s="16" t="s">
        <v>41</v>
      </c>
      <c r="M11" s="16" t="s">
        <v>41</v>
      </c>
      <c r="N11" s="16"/>
      <c r="O11" s="16"/>
      <c r="P11" s="16"/>
      <c r="Q11" s="16" t="s">
        <v>3271</v>
      </c>
      <c r="R11" s="16" t="s">
        <v>3271</v>
      </c>
      <c r="S11" s="16" t="s">
        <v>41</v>
      </c>
      <c r="T11" s="16"/>
      <c r="U11" s="16"/>
      <c r="V11" s="16"/>
      <c r="W11" s="16" t="s">
        <v>41</v>
      </c>
      <c r="X11" s="16" t="s">
        <v>3271</v>
      </c>
      <c r="Y11" s="16" t="s">
        <v>41</v>
      </c>
      <c r="Z11" s="16" t="s">
        <v>41</v>
      </c>
      <c r="AA11" s="16"/>
      <c r="AB11" s="16"/>
      <c r="AC11" s="47" t="s">
        <v>41</v>
      </c>
      <c r="AD11" s="16"/>
      <c r="AE11" s="48" t="s">
        <v>3272</v>
      </c>
      <c r="AF11" s="16" t="s">
        <v>3273</v>
      </c>
      <c r="AG11" s="16" t="s">
        <v>41</v>
      </c>
      <c r="AH11" s="16"/>
    </row>
    <row r="12" spans="1:34" ht="14.5" x14ac:dyDescent="0.35">
      <c r="A12" s="18">
        <v>9</v>
      </c>
      <c r="B12" s="19" t="s">
        <v>59</v>
      </c>
      <c r="C12" s="20">
        <v>302</v>
      </c>
      <c r="D12" s="15">
        <v>2</v>
      </c>
      <c r="E12" s="16"/>
      <c r="F12" s="16"/>
      <c r="G12" s="16"/>
      <c r="H12" s="16"/>
      <c r="I12" s="16"/>
      <c r="J12" s="16"/>
      <c r="K12" s="16" t="s">
        <v>41</v>
      </c>
      <c r="L12" s="16" t="s">
        <v>41</v>
      </c>
      <c r="M12" s="16"/>
      <c r="N12" s="16"/>
      <c r="O12" s="16"/>
      <c r="P12" s="16"/>
      <c r="Q12" s="16"/>
      <c r="R12" s="16" t="s">
        <v>41</v>
      </c>
      <c r="S12" s="16"/>
      <c r="T12" s="16"/>
      <c r="U12" s="16"/>
      <c r="V12" s="16"/>
      <c r="W12" s="16"/>
      <c r="X12" s="16"/>
      <c r="Y12" s="16" t="s">
        <v>41</v>
      </c>
      <c r="Z12" s="16" t="s">
        <v>41</v>
      </c>
      <c r="AA12" s="16" t="s">
        <v>41</v>
      </c>
      <c r="AB12" s="16"/>
      <c r="AC12" s="16"/>
      <c r="AD12" s="16"/>
      <c r="AE12" s="48" t="s">
        <v>3272</v>
      </c>
      <c r="AF12" s="16" t="s">
        <v>41</v>
      </c>
      <c r="AG12" s="16" t="s">
        <v>41</v>
      </c>
      <c r="AH12" s="16"/>
    </row>
    <row r="13" spans="1:34" ht="14.5" x14ac:dyDescent="0.35">
      <c r="A13" s="18">
        <v>10</v>
      </c>
      <c r="B13" s="19" t="s">
        <v>59</v>
      </c>
      <c r="C13" s="20">
        <v>402</v>
      </c>
      <c r="D13" s="15">
        <v>2</v>
      </c>
      <c r="E13" s="16" t="s">
        <v>3272</v>
      </c>
      <c r="F13" s="16"/>
      <c r="G13" s="16"/>
      <c r="H13" s="16"/>
      <c r="I13" s="16"/>
      <c r="J13" s="16"/>
      <c r="K13" s="16"/>
      <c r="L13" s="42" t="s">
        <v>41</v>
      </c>
      <c r="M13" s="42" t="s">
        <v>41</v>
      </c>
      <c r="N13" s="42" t="s">
        <v>41</v>
      </c>
      <c r="O13" s="16"/>
      <c r="P13" s="17" t="s">
        <v>41</v>
      </c>
      <c r="Q13" s="17" t="s">
        <v>41</v>
      </c>
      <c r="R13" s="17" t="s">
        <v>41</v>
      </c>
      <c r="S13" s="17" t="s">
        <v>41</v>
      </c>
      <c r="T13" s="17" t="s">
        <v>41</v>
      </c>
      <c r="U13" s="16"/>
      <c r="V13" s="16"/>
      <c r="W13" s="16" t="s">
        <v>41</v>
      </c>
      <c r="X13" s="12" t="s">
        <v>41</v>
      </c>
      <c r="Y13" s="12" t="s">
        <v>41</v>
      </c>
      <c r="Z13" s="16"/>
      <c r="AA13" s="16"/>
      <c r="AB13" s="16"/>
      <c r="AC13" s="16" t="s">
        <v>41</v>
      </c>
      <c r="AD13" s="16" t="s">
        <v>3271</v>
      </c>
      <c r="AE13" s="16" t="s">
        <v>3271</v>
      </c>
      <c r="AF13" s="16" t="s">
        <v>3272</v>
      </c>
      <c r="AG13" s="16" t="s">
        <v>3272</v>
      </c>
      <c r="AH13" s="16"/>
    </row>
    <row r="14" spans="1:34" ht="14.5" x14ac:dyDescent="0.35">
      <c r="A14" s="21">
        <v>11</v>
      </c>
      <c r="B14" s="22" t="s">
        <v>71</v>
      </c>
      <c r="C14" s="23">
        <v>502</v>
      </c>
      <c r="D14" s="15">
        <v>2</v>
      </c>
      <c r="E14" s="46" t="s">
        <v>41</v>
      </c>
      <c r="F14" s="16"/>
      <c r="G14" s="16"/>
      <c r="H14" s="16"/>
      <c r="I14" s="16" t="s">
        <v>3275</v>
      </c>
      <c r="J14" s="16"/>
      <c r="K14" s="16"/>
      <c r="L14" s="16"/>
      <c r="M14" s="16"/>
      <c r="N14" s="16"/>
      <c r="O14" s="16" t="s">
        <v>41</v>
      </c>
      <c r="P14" s="16" t="s">
        <v>41</v>
      </c>
      <c r="Q14" s="16" t="s">
        <v>41</v>
      </c>
      <c r="R14" s="16" t="s">
        <v>41</v>
      </c>
      <c r="S14" s="16" t="s">
        <v>41</v>
      </c>
      <c r="T14" s="16"/>
      <c r="U14" s="16" t="s">
        <v>41</v>
      </c>
      <c r="V14" s="16" t="s">
        <v>3271</v>
      </c>
      <c r="W14" s="16" t="s">
        <v>3271</v>
      </c>
      <c r="X14" s="16" t="s">
        <v>3271</v>
      </c>
      <c r="Y14" s="12" t="s">
        <v>41</v>
      </c>
      <c r="Z14" s="12" t="s">
        <v>41</v>
      </c>
      <c r="AA14" s="16"/>
      <c r="AB14" s="16"/>
      <c r="AC14" s="16"/>
      <c r="AD14" s="16"/>
      <c r="AE14" s="16" t="s">
        <v>3272</v>
      </c>
      <c r="AF14" s="16" t="s">
        <v>3272</v>
      </c>
      <c r="AG14" s="16"/>
      <c r="AH14" s="16"/>
    </row>
    <row r="15" spans="1:34" ht="14.5" x14ac:dyDescent="0.35">
      <c r="A15" s="21">
        <v>12</v>
      </c>
      <c r="B15" s="22" t="s">
        <v>71</v>
      </c>
      <c r="C15" s="23">
        <v>602</v>
      </c>
      <c r="D15" s="15">
        <v>2</v>
      </c>
      <c r="E15" s="46" t="s">
        <v>41</v>
      </c>
      <c r="F15" s="16"/>
      <c r="G15" s="16"/>
      <c r="H15" s="16"/>
      <c r="I15" s="16"/>
      <c r="J15" s="16" t="s">
        <v>41</v>
      </c>
      <c r="K15" s="16"/>
      <c r="L15" s="16" t="s">
        <v>41</v>
      </c>
      <c r="M15" s="16" t="s">
        <v>41</v>
      </c>
      <c r="N15" s="16"/>
      <c r="O15" s="16"/>
      <c r="P15" s="16"/>
      <c r="Q15" s="16"/>
      <c r="R15" s="16" t="s">
        <v>3273</v>
      </c>
      <c r="S15" s="16"/>
      <c r="T15" s="16"/>
      <c r="U15" s="16"/>
      <c r="V15" s="16"/>
      <c r="W15" s="16"/>
      <c r="X15" s="16" t="s">
        <v>41</v>
      </c>
      <c r="Y15" s="16" t="s">
        <v>41</v>
      </c>
      <c r="Z15" s="16"/>
      <c r="AA15" s="16"/>
      <c r="AB15" s="16"/>
      <c r="AC15" s="16"/>
      <c r="AD15" s="16"/>
      <c r="AE15" s="16" t="s">
        <v>3272</v>
      </c>
      <c r="AF15" s="16" t="s">
        <v>3271</v>
      </c>
      <c r="AG15" s="16" t="s">
        <v>41</v>
      </c>
      <c r="AH15" s="16" t="s">
        <v>41</v>
      </c>
    </row>
    <row r="16" spans="1:34" ht="14.5" x14ac:dyDescent="0.35">
      <c r="A16" s="21">
        <v>13</v>
      </c>
      <c r="B16" s="22" t="s">
        <v>71</v>
      </c>
      <c r="C16" s="23">
        <v>702</v>
      </c>
      <c r="D16" s="15">
        <v>2</v>
      </c>
      <c r="E16" s="46" t="s">
        <v>41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 t="s">
        <v>41</v>
      </c>
      <c r="R16" s="16" t="s">
        <v>3272</v>
      </c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 t="s">
        <v>3276</v>
      </c>
      <c r="AG16" s="16" t="s">
        <v>3276</v>
      </c>
      <c r="AH16" s="16" t="s">
        <v>3276</v>
      </c>
    </row>
    <row r="17" spans="1:34" ht="14.5" x14ac:dyDescent="0.35">
      <c r="A17" s="24">
        <v>14</v>
      </c>
      <c r="B17" s="25" t="s">
        <v>29</v>
      </c>
      <c r="C17" s="26">
        <v>103</v>
      </c>
      <c r="D17" s="15">
        <v>2</v>
      </c>
      <c r="E17" s="16"/>
      <c r="G17" s="16" t="s">
        <v>3272</v>
      </c>
      <c r="H17" s="16" t="s">
        <v>3272</v>
      </c>
      <c r="I17" s="16"/>
      <c r="J17" s="16"/>
      <c r="K17" s="16"/>
      <c r="L17" s="16"/>
      <c r="M17" s="16"/>
      <c r="N17" s="16"/>
      <c r="O17" s="16"/>
      <c r="P17" s="16"/>
      <c r="Q17" s="16" t="s">
        <v>3272</v>
      </c>
      <c r="R17" s="16" t="s">
        <v>41</v>
      </c>
      <c r="S17" s="16"/>
      <c r="T17" s="16"/>
      <c r="U17" s="16"/>
      <c r="V17" s="16"/>
      <c r="W17" s="44" t="s">
        <v>41</v>
      </c>
      <c r="X17" s="44" t="s">
        <v>41</v>
      </c>
      <c r="Y17" s="16"/>
      <c r="Z17" s="16" t="s">
        <v>3272</v>
      </c>
      <c r="AA17" s="16"/>
      <c r="AB17" s="16"/>
      <c r="AC17" s="16"/>
      <c r="AD17" s="16"/>
      <c r="AE17" s="16" t="s">
        <v>3275</v>
      </c>
      <c r="AF17" s="16" t="s">
        <v>3275</v>
      </c>
      <c r="AG17" s="16" t="s">
        <v>3275</v>
      </c>
      <c r="AH17" s="16" t="s">
        <v>41</v>
      </c>
    </row>
    <row r="18" spans="1:34" ht="14.5" x14ac:dyDescent="0.35">
      <c r="A18" s="24">
        <v>15</v>
      </c>
      <c r="B18" s="25" t="s">
        <v>29</v>
      </c>
      <c r="C18" s="26">
        <v>203</v>
      </c>
      <c r="D18" s="15">
        <v>2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 t="s">
        <v>3275</v>
      </c>
      <c r="S18" s="16" t="s">
        <v>3275</v>
      </c>
      <c r="T18" s="16"/>
      <c r="U18" s="16"/>
      <c r="V18" s="16" t="s">
        <v>41</v>
      </c>
      <c r="W18" s="16" t="s">
        <v>41</v>
      </c>
      <c r="X18" s="16"/>
      <c r="Y18" s="16" t="s">
        <v>3275</v>
      </c>
      <c r="Z18" s="16" t="s">
        <v>41</v>
      </c>
      <c r="AA18" s="16" t="s">
        <v>41</v>
      </c>
      <c r="AB18" s="16" t="s">
        <v>41</v>
      </c>
      <c r="AC18" s="47" t="s">
        <v>41</v>
      </c>
      <c r="AD18" s="16"/>
      <c r="AE18" s="16" t="s">
        <v>41</v>
      </c>
      <c r="AF18" s="16" t="s">
        <v>41</v>
      </c>
      <c r="AG18" s="16" t="s">
        <v>41</v>
      </c>
      <c r="AH18" s="16"/>
    </row>
    <row r="19" spans="1:34" ht="14.5" x14ac:dyDescent="0.35">
      <c r="A19" s="24">
        <v>16</v>
      </c>
      <c r="B19" s="25" t="s">
        <v>29</v>
      </c>
      <c r="C19" s="26">
        <v>303</v>
      </c>
      <c r="D19" s="15">
        <v>2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 t="s">
        <v>3275</v>
      </c>
      <c r="S19" s="16" t="s">
        <v>3275</v>
      </c>
      <c r="T19" s="16" t="s">
        <v>3275</v>
      </c>
      <c r="U19" s="16"/>
      <c r="V19" s="16"/>
      <c r="W19" s="16" t="s">
        <v>3272</v>
      </c>
      <c r="X19" s="16" t="s">
        <v>3272</v>
      </c>
      <c r="Y19" s="16" t="s">
        <v>3272</v>
      </c>
      <c r="Z19" s="16" t="s">
        <v>3272</v>
      </c>
      <c r="AA19" s="16"/>
      <c r="AB19" s="16"/>
      <c r="AC19" s="16"/>
      <c r="AD19" s="16"/>
      <c r="AE19" s="16"/>
      <c r="AF19" s="16" t="s">
        <v>3272</v>
      </c>
      <c r="AG19" s="16"/>
      <c r="AH19" s="16" t="s">
        <v>41</v>
      </c>
    </row>
    <row r="20" spans="1:34" ht="14.5" x14ac:dyDescent="0.35">
      <c r="A20" s="24">
        <v>17</v>
      </c>
      <c r="B20" s="25" t="s">
        <v>29</v>
      </c>
      <c r="C20" s="26">
        <v>403</v>
      </c>
      <c r="D20" s="15">
        <v>2</v>
      </c>
      <c r="E20" s="16" t="s">
        <v>41</v>
      </c>
      <c r="F20" s="16" t="s">
        <v>41</v>
      </c>
      <c r="G20" s="16" t="s">
        <v>41</v>
      </c>
      <c r="H20" s="16" t="s">
        <v>41</v>
      </c>
      <c r="I20" s="16" t="s">
        <v>41</v>
      </c>
      <c r="J20" s="16"/>
      <c r="K20" s="16" t="s">
        <v>41</v>
      </c>
      <c r="L20" s="16"/>
      <c r="M20" s="16" t="s">
        <v>41</v>
      </c>
      <c r="N20" s="16" t="s">
        <v>41</v>
      </c>
      <c r="O20" s="16" t="s">
        <v>41</v>
      </c>
      <c r="P20" s="16"/>
      <c r="Q20" s="16" t="s">
        <v>3275</v>
      </c>
      <c r="R20" s="16" t="s">
        <v>3275</v>
      </c>
      <c r="S20" s="16" t="s">
        <v>3275</v>
      </c>
      <c r="T20" s="16" t="s">
        <v>3275</v>
      </c>
      <c r="U20" s="16"/>
      <c r="V20" s="16"/>
      <c r="W20" s="16"/>
      <c r="X20" s="12" t="s">
        <v>41</v>
      </c>
      <c r="Y20" s="12" t="s">
        <v>41</v>
      </c>
      <c r="Z20" s="16"/>
      <c r="AA20" s="16"/>
      <c r="AB20" s="16" t="s">
        <v>41</v>
      </c>
      <c r="AC20" s="16" t="s">
        <v>3271</v>
      </c>
      <c r="AD20" s="16" t="s">
        <v>3271</v>
      </c>
      <c r="AE20" s="16" t="s">
        <v>3271</v>
      </c>
      <c r="AF20" s="16" t="s">
        <v>3271</v>
      </c>
      <c r="AG20" s="16" t="s">
        <v>3271</v>
      </c>
      <c r="AH20" s="16"/>
    </row>
    <row r="21" spans="1:34" ht="15.75" customHeight="1" x14ac:dyDescent="0.35">
      <c r="A21" s="24">
        <v>18</v>
      </c>
      <c r="B21" s="25" t="s">
        <v>29</v>
      </c>
      <c r="C21" s="26">
        <v>503</v>
      </c>
      <c r="D21" s="15">
        <v>2</v>
      </c>
      <c r="E21" s="46" t="s">
        <v>41</v>
      </c>
      <c r="F21" s="16"/>
      <c r="G21" s="16"/>
      <c r="H21" s="16" t="s">
        <v>41</v>
      </c>
      <c r="I21" s="16" t="s">
        <v>41</v>
      </c>
      <c r="J21" s="16" t="s">
        <v>41</v>
      </c>
      <c r="K21" s="16" t="s">
        <v>41</v>
      </c>
      <c r="L21" s="16" t="s">
        <v>41</v>
      </c>
      <c r="M21" s="16"/>
      <c r="N21" s="16"/>
      <c r="O21" s="36" t="s">
        <v>41</v>
      </c>
      <c r="P21" s="36" t="s">
        <v>41</v>
      </c>
      <c r="Q21" s="36" t="s">
        <v>41</v>
      </c>
      <c r="R21" s="36" t="s">
        <v>41</v>
      </c>
      <c r="S21" s="36" t="s">
        <v>41</v>
      </c>
      <c r="T21" s="36" t="s">
        <v>41</v>
      </c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 t="s">
        <v>41</v>
      </c>
      <c r="AG21" s="16"/>
      <c r="AH21" s="16"/>
    </row>
    <row r="22" spans="1:34" ht="15.75" customHeight="1" x14ac:dyDescent="0.35">
      <c r="A22" s="24">
        <v>19</v>
      </c>
      <c r="B22" s="25" t="s">
        <v>29</v>
      </c>
      <c r="C22" s="26">
        <v>603</v>
      </c>
      <c r="D22" s="15">
        <v>2</v>
      </c>
      <c r="E22" s="16" t="s">
        <v>41</v>
      </c>
      <c r="F22" s="16" t="s">
        <v>41</v>
      </c>
      <c r="G22" s="16"/>
      <c r="H22" s="16"/>
      <c r="I22" s="16"/>
      <c r="J22" s="16" t="s">
        <v>41</v>
      </c>
      <c r="K22" s="16" t="s">
        <v>41</v>
      </c>
      <c r="L22" s="16" t="s">
        <v>41</v>
      </c>
      <c r="M22" s="16" t="s">
        <v>41</v>
      </c>
      <c r="N22" s="16"/>
      <c r="O22" s="36" t="s">
        <v>41</v>
      </c>
      <c r="P22" s="36" t="s">
        <v>41</v>
      </c>
      <c r="Q22" s="36" t="s">
        <v>41</v>
      </c>
      <c r="R22" s="36" t="s">
        <v>41</v>
      </c>
      <c r="S22" s="36" t="s">
        <v>41</v>
      </c>
      <c r="T22" s="36" t="s">
        <v>41</v>
      </c>
      <c r="U22" s="16"/>
      <c r="V22" s="16"/>
      <c r="W22" s="16"/>
      <c r="X22" s="16"/>
      <c r="Y22" s="16" t="s">
        <v>3271</v>
      </c>
      <c r="Z22" s="16"/>
      <c r="AA22" s="16"/>
      <c r="AB22" s="16"/>
      <c r="AC22" s="16"/>
      <c r="AD22" s="16"/>
      <c r="AE22" s="16" t="s">
        <v>41</v>
      </c>
      <c r="AF22" s="16" t="s">
        <v>41</v>
      </c>
      <c r="AG22" s="16"/>
      <c r="AH22" s="16"/>
    </row>
    <row r="23" spans="1:34" ht="15.75" customHeight="1" x14ac:dyDescent="0.35">
      <c r="A23" s="24">
        <v>20</v>
      </c>
      <c r="B23" s="25" t="s">
        <v>29</v>
      </c>
      <c r="C23" s="26">
        <v>703</v>
      </c>
      <c r="D23" s="15">
        <v>2</v>
      </c>
      <c r="E23" s="16" t="s">
        <v>3276</v>
      </c>
      <c r="F23" s="16" t="s">
        <v>3276</v>
      </c>
      <c r="G23" s="16" t="s">
        <v>3276</v>
      </c>
      <c r="H23" s="16" t="s">
        <v>3276</v>
      </c>
      <c r="I23" s="16" t="s">
        <v>3276</v>
      </c>
      <c r="J23" s="16" t="s">
        <v>3276</v>
      </c>
      <c r="K23" s="16" t="s">
        <v>3276</v>
      </c>
      <c r="L23" s="16" t="s">
        <v>3276</v>
      </c>
      <c r="M23" s="16" t="s">
        <v>3276</v>
      </c>
      <c r="N23" s="16" t="s">
        <v>3276</v>
      </c>
      <c r="O23" s="16" t="s">
        <v>3276</v>
      </c>
      <c r="P23" s="16" t="s">
        <v>3276</v>
      </c>
      <c r="Q23" s="16" t="s">
        <v>3276</v>
      </c>
      <c r="R23" s="16" t="s">
        <v>3276</v>
      </c>
      <c r="S23" s="16" t="s">
        <v>3276</v>
      </c>
      <c r="T23" s="16" t="s">
        <v>3276</v>
      </c>
      <c r="U23" s="16" t="s">
        <v>3276</v>
      </c>
      <c r="V23" s="16" t="s">
        <v>3276</v>
      </c>
      <c r="W23" s="16" t="s">
        <v>3276</v>
      </c>
      <c r="X23" s="16" t="s">
        <v>3276</v>
      </c>
      <c r="Y23" s="16" t="s">
        <v>3276</v>
      </c>
      <c r="Z23" s="16" t="s">
        <v>3276</v>
      </c>
      <c r="AA23" s="16" t="s">
        <v>3276</v>
      </c>
      <c r="AB23" s="16" t="s">
        <v>3276</v>
      </c>
      <c r="AC23" s="16" t="s">
        <v>3276</v>
      </c>
      <c r="AD23" s="16" t="s">
        <v>3276</v>
      </c>
      <c r="AE23" s="16" t="s">
        <v>3276</v>
      </c>
      <c r="AF23" s="16" t="s">
        <v>3276</v>
      </c>
      <c r="AG23" s="16" t="s">
        <v>3276</v>
      </c>
      <c r="AH23" s="16" t="s">
        <v>3276</v>
      </c>
    </row>
    <row r="24" spans="1:34" ht="15.75" customHeight="1" x14ac:dyDescent="0.35">
      <c r="A24" s="27">
        <v>21</v>
      </c>
      <c r="B24" s="28" t="s">
        <v>232</v>
      </c>
      <c r="C24" s="28" t="s">
        <v>232</v>
      </c>
      <c r="D24" s="15">
        <v>1</v>
      </c>
      <c r="E24" s="16" t="s">
        <v>3276</v>
      </c>
      <c r="F24" s="16" t="s">
        <v>3276</v>
      </c>
      <c r="G24" s="16" t="s">
        <v>3276</v>
      </c>
      <c r="H24" s="16" t="s">
        <v>3276</v>
      </c>
      <c r="I24" s="16" t="s">
        <v>3276</v>
      </c>
      <c r="J24" s="16" t="s">
        <v>3276</v>
      </c>
      <c r="K24" s="16" t="s">
        <v>3276</v>
      </c>
      <c r="L24" s="16" t="s">
        <v>3276</v>
      </c>
      <c r="M24" s="16" t="s">
        <v>3276</v>
      </c>
      <c r="N24" s="16" t="s">
        <v>3276</v>
      </c>
      <c r="O24" s="16" t="s">
        <v>3276</v>
      </c>
      <c r="P24" s="16" t="s">
        <v>3276</v>
      </c>
      <c r="Q24" s="16" t="s">
        <v>3276</v>
      </c>
      <c r="R24" s="16" t="s">
        <v>3276</v>
      </c>
      <c r="S24" s="16" t="s">
        <v>3276</v>
      </c>
      <c r="T24" s="16" t="s">
        <v>3276</v>
      </c>
      <c r="U24" s="16" t="s">
        <v>3276</v>
      </c>
      <c r="V24" s="16" t="s">
        <v>3276</v>
      </c>
      <c r="W24" s="16" t="s">
        <v>3276</v>
      </c>
      <c r="X24" s="16" t="s">
        <v>3276</v>
      </c>
      <c r="Y24" s="16" t="s">
        <v>3276</v>
      </c>
      <c r="Z24" s="16" t="s">
        <v>3276</v>
      </c>
      <c r="AA24" s="16" t="s">
        <v>3276</v>
      </c>
      <c r="AB24" s="16" t="s">
        <v>3276</v>
      </c>
      <c r="AC24" s="16" t="s">
        <v>3276</v>
      </c>
      <c r="AD24" s="16" t="s">
        <v>3276</v>
      </c>
      <c r="AE24" s="16" t="s">
        <v>3276</v>
      </c>
      <c r="AF24" s="16" t="s">
        <v>3276</v>
      </c>
      <c r="AG24" s="16" t="s">
        <v>3276</v>
      </c>
      <c r="AH24" s="16" t="s">
        <v>3276</v>
      </c>
    </row>
    <row r="25" spans="1:34" ht="15.75" customHeight="1" x14ac:dyDescent="0.35">
      <c r="D25" s="10"/>
    </row>
    <row r="26" spans="1:34" ht="15.75" customHeight="1" x14ac:dyDescent="0.35">
      <c r="D26" s="10"/>
    </row>
    <row r="27" spans="1:34" ht="15.75" customHeight="1" x14ac:dyDescent="0.35">
      <c r="D27" s="10"/>
      <c r="G27" s="133" t="s">
        <v>3277</v>
      </c>
      <c r="H27" s="127"/>
      <c r="I27" s="127"/>
      <c r="J27" s="128"/>
      <c r="K27" s="134" t="s">
        <v>3278</v>
      </c>
      <c r="L27" s="127"/>
      <c r="M27" s="127"/>
      <c r="N27" s="128"/>
      <c r="Q27" s="135" t="s">
        <v>3250</v>
      </c>
      <c r="R27" s="108"/>
      <c r="S27" s="108"/>
      <c r="T27" s="108"/>
      <c r="U27" s="108"/>
    </row>
    <row r="28" spans="1:34" ht="15.75" customHeight="1" x14ac:dyDescent="0.35">
      <c r="B28" s="29" t="s">
        <v>3279</v>
      </c>
      <c r="C28" s="16" t="s">
        <v>3253</v>
      </c>
      <c r="D28" s="30" t="s">
        <v>3280</v>
      </c>
      <c r="E28" s="16" t="s">
        <v>3254</v>
      </c>
      <c r="G28" s="136" t="s">
        <v>3281</v>
      </c>
      <c r="H28" s="30" t="s">
        <v>3253</v>
      </c>
      <c r="I28" s="30" t="s">
        <v>3280</v>
      </c>
      <c r="J28" s="30" t="s">
        <v>3254</v>
      </c>
      <c r="K28" s="136" t="s">
        <v>3281</v>
      </c>
      <c r="L28" s="30" t="s">
        <v>3253</v>
      </c>
      <c r="M28" s="30" t="s">
        <v>3280</v>
      </c>
      <c r="N28" s="30" t="s">
        <v>3254</v>
      </c>
      <c r="Q28" s="33" t="s">
        <v>3279</v>
      </c>
      <c r="R28" s="30" t="s">
        <v>3253</v>
      </c>
      <c r="S28" s="30" t="s">
        <v>3254</v>
      </c>
      <c r="T28" s="30" t="s">
        <v>3285</v>
      </c>
      <c r="U28" s="30" t="s">
        <v>3256</v>
      </c>
    </row>
    <row r="29" spans="1:34" ht="15.75" customHeight="1" x14ac:dyDescent="0.35">
      <c r="B29" s="16" t="s">
        <v>3282</v>
      </c>
      <c r="C29" s="16">
        <v>21</v>
      </c>
      <c r="D29" s="30">
        <f t="shared" ref="D29:D34" si="0">C29*7</f>
        <v>147</v>
      </c>
      <c r="E29" s="16">
        <f t="shared" ref="E29:E34" si="1">C29*30</f>
        <v>630</v>
      </c>
      <c r="G29" s="137"/>
      <c r="H29" s="32">
        <v>45536</v>
      </c>
      <c r="I29" s="30" t="s">
        <v>3310</v>
      </c>
      <c r="J29" s="30" t="s">
        <v>3311</v>
      </c>
      <c r="K29" s="137"/>
      <c r="L29" s="32">
        <v>45536</v>
      </c>
      <c r="M29" s="30" t="s">
        <v>3310</v>
      </c>
      <c r="N29" s="30" t="s">
        <v>3311</v>
      </c>
      <c r="Q29" s="36" t="s">
        <v>3282</v>
      </c>
      <c r="R29" s="16">
        <v>20</v>
      </c>
      <c r="S29" s="16">
        <v>630</v>
      </c>
      <c r="T29" s="28">
        <f>SUM(T30:T33)</f>
        <v>270</v>
      </c>
      <c r="U29" s="49">
        <f t="shared" ref="U29:U33" si="2">T29/S29</f>
        <v>0.42857142857142855</v>
      </c>
    </row>
    <row r="30" spans="1:34" ht="15.75" customHeight="1" x14ac:dyDescent="0.35">
      <c r="B30" s="16" t="s">
        <v>64</v>
      </c>
      <c r="C30" s="16">
        <v>6</v>
      </c>
      <c r="D30" s="30">
        <f t="shared" si="0"/>
        <v>42</v>
      </c>
      <c r="E30" s="16">
        <f t="shared" si="1"/>
        <v>180</v>
      </c>
      <c r="G30" s="16" t="s">
        <v>64</v>
      </c>
      <c r="H30" s="16">
        <f>COUNTA(E4:E9)</f>
        <v>3</v>
      </c>
      <c r="I30" s="16">
        <f>COUNTA(J4:P9)</f>
        <v>22</v>
      </c>
      <c r="J30" s="16">
        <f>COUNTA(E4:AH9)</f>
        <v>107</v>
      </c>
      <c r="K30" s="16" t="s">
        <v>64</v>
      </c>
      <c r="L30" s="16">
        <f>COUNTBLANK(E4:E9)</f>
        <v>3</v>
      </c>
      <c r="M30" s="16">
        <f>COUNTBLANK(J4:P9)</f>
        <v>20</v>
      </c>
      <c r="N30" s="35">
        <f>COUNTBLANK(E4:AH9)</f>
        <v>73</v>
      </c>
      <c r="O30" s="28">
        <f t="shared" ref="O30:O34" si="3">J30+N30</f>
        <v>180</v>
      </c>
      <c r="Q30" s="16" t="s">
        <v>64</v>
      </c>
      <c r="R30" s="16">
        <v>6</v>
      </c>
      <c r="S30" s="16">
        <v>180</v>
      </c>
      <c r="T30" s="16">
        <v>107</v>
      </c>
      <c r="U30" s="49">
        <f t="shared" si="2"/>
        <v>0.59444444444444444</v>
      </c>
    </row>
    <row r="31" spans="1:34" ht="15.75" customHeight="1" x14ac:dyDescent="0.35">
      <c r="B31" s="16" t="s">
        <v>59</v>
      </c>
      <c r="C31" s="16">
        <v>4</v>
      </c>
      <c r="D31" s="30">
        <f t="shared" si="0"/>
        <v>28</v>
      </c>
      <c r="E31" s="16">
        <f t="shared" si="1"/>
        <v>120</v>
      </c>
      <c r="G31" s="16" t="s">
        <v>59</v>
      </c>
      <c r="H31" s="35">
        <f>COUNTA(E10:E13)</f>
        <v>1</v>
      </c>
      <c r="I31" s="16"/>
      <c r="J31" s="16">
        <f>COUNTA(E10:AH13)</f>
        <v>50</v>
      </c>
      <c r="K31" s="16" t="s">
        <v>59</v>
      </c>
      <c r="L31" s="35">
        <f>COUNTBLANK(I10:I14)</f>
        <v>4</v>
      </c>
      <c r="M31" s="16"/>
      <c r="N31" s="16">
        <f>COUNTBLANK(E10:AH13)</f>
        <v>70</v>
      </c>
      <c r="O31" s="28">
        <f t="shared" si="3"/>
        <v>120</v>
      </c>
      <c r="Q31" s="16" t="s">
        <v>59</v>
      </c>
      <c r="R31" s="16">
        <v>4</v>
      </c>
      <c r="S31" s="16">
        <v>120</v>
      </c>
      <c r="T31" s="16">
        <v>50</v>
      </c>
      <c r="U31" s="49">
        <f t="shared" si="2"/>
        <v>0.41666666666666669</v>
      </c>
    </row>
    <row r="32" spans="1:34" ht="15.75" customHeight="1" x14ac:dyDescent="0.35">
      <c r="B32" s="16" t="s">
        <v>71</v>
      </c>
      <c r="C32" s="16">
        <v>3</v>
      </c>
      <c r="D32" s="30">
        <f t="shared" si="0"/>
        <v>21</v>
      </c>
      <c r="E32" s="16">
        <f t="shared" si="1"/>
        <v>90</v>
      </c>
      <c r="G32" s="16" t="s">
        <v>71</v>
      </c>
      <c r="H32" s="35">
        <f>COUNTA(E14:E16)</f>
        <v>3</v>
      </c>
      <c r="I32" s="16"/>
      <c r="J32" s="16">
        <f>COUNTA(E14:AH16)</f>
        <v>32</v>
      </c>
      <c r="K32" s="16" t="s">
        <v>71</v>
      </c>
      <c r="L32" s="35">
        <f>COUNTBLANK(I14:I16)</f>
        <v>2</v>
      </c>
      <c r="M32" s="16"/>
      <c r="N32" s="16">
        <f>COUNTBLANK(E14:AH16)</f>
        <v>58</v>
      </c>
      <c r="O32" s="28">
        <f t="shared" si="3"/>
        <v>90</v>
      </c>
      <c r="Q32" s="16" t="s">
        <v>71</v>
      </c>
      <c r="R32" s="16">
        <v>3</v>
      </c>
      <c r="S32" s="16">
        <v>90</v>
      </c>
      <c r="T32" s="16">
        <v>32</v>
      </c>
      <c r="U32" s="49">
        <f t="shared" si="2"/>
        <v>0.35555555555555557</v>
      </c>
    </row>
    <row r="33" spans="2:26" ht="15.75" customHeight="1" x14ac:dyDescent="0.35">
      <c r="B33" s="16" t="s">
        <v>3286</v>
      </c>
      <c r="C33" s="16">
        <v>7</v>
      </c>
      <c r="D33" s="30">
        <f t="shared" si="0"/>
        <v>49</v>
      </c>
      <c r="E33" s="16">
        <f t="shared" si="1"/>
        <v>210</v>
      </c>
      <c r="G33" s="16" t="s">
        <v>3286</v>
      </c>
      <c r="H33" s="35">
        <v>3</v>
      </c>
      <c r="I33" s="16"/>
      <c r="J33" s="16">
        <v>81</v>
      </c>
      <c r="K33" s="16" t="s">
        <v>3286</v>
      </c>
      <c r="L33" s="35">
        <v>3</v>
      </c>
      <c r="M33" s="16"/>
      <c r="N33" s="16">
        <f>COUNTBLANK(E17:AH22)</f>
        <v>99</v>
      </c>
      <c r="O33" s="28">
        <f t="shared" si="3"/>
        <v>180</v>
      </c>
      <c r="Q33" s="16" t="s">
        <v>3286</v>
      </c>
      <c r="R33" s="16">
        <v>7</v>
      </c>
      <c r="S33" s="16">
        <v>210</v>
      </c>
      <c r="T33" s="16">
        <v>81</v>
      </c>
      <c r="U33" s="49">
        <f t="shared" si="2"/>
        <v>0.38571428571428573</v>
      </c>
    </row>
    <row r="34" spans="2:26" ht="15.75" customHeight="1" x14ac:dyDescent="0.35">
      <c r="B34" s="16" t="s">
        <v>3287</v>
      </c>
      <c r="C34" s="16">
        <v>1</v>
      </c>
      <c r="D34" s="30">
        <f t="shared" si="0"/>
        <v>7</v>
      </c>
      <c r="E34" s="16">
        <f t="shared" si="1"/>
        <v>30</v>
      </c>
      <c r="G34" s="16" t="s">
        <v>3287</v>
      </c>
      <c r="H34" s="16">
        <f>COUNTA(E24)</f>
        <v>1</v>
      </c>
      <c r="I34" s="16"/>
      <c r="J34" s="16"/>
      <c r="K34" s="16" t="s">
        <v>3287</v>
      </c>
      <c r="L34" s="16">
        <f>COUNTBLANK(I24)</f>
        <v>0</v>
      </c>
      <c r="M34" s="16"/>
      <c r="N34" s="16"/>
      <c r="O34" s="28">
        <f t="shared" si="3"/>
        <v>0</v>
      </c>
    </row>
    <row r="35" spans="2:26" ht="15.75" customHeight="1" x14ac:dyDescent="0.35">
      <c r="D35" s="10"/>
      <c r="H35" s="8"/>
      <c r="I35" s="8"/>
      <c r="J35" s="8"/>
    </row>
    <row r="36" spans="2:26" ht="15.75" customHeight="1" x14ac:dyDescent="0.35">
      <c r="D36" s="10"/>
      <c r="G36" s="8"/>
      <c r="H36" s="8"/>
      <c r="I36" s="8"/>
      <c r="J36" s="8"/>
    </row>
    <row r="37" spans="2:26" ht="15.75" customHeight="1" x14ac:dyDescent="0.35">
      <c r="D37" s="10"/>
      <c r="G37" s="126" t="s">
        <v>3288</v>
      </c>
      <c r="H37" s="127"/>
      <c r="I37" s="127"/>
      <c r="J37" s="128"/>
    </row>
    <row r="38" spans="2:26" ht="15.75" customHeight="1" x14ac:dyDescent="0.35">
      <c r="B38" s="40" t="s">
        <v>3289</v>
      </c>
      <c r="C38" s="40" t="s">
        <v>3290</v>
      </c>
      <c r="D38" s="8"/>
      <c r="G38" s="40" t="s">
        <v>3290</v>
      </c>
      <c r="H38" s="40" t="s">
        <v>3253</v>
      </c>
      <c r="I38" s="40" t="s">
        <v>3280</v>
      </c>
      <c r="J38" s="40" t="s">
        <v>3254</v>
      </c>
      <c r="M38" s="129" t="s">
        <v>3291</v>
      </c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1"/>
    </row>
    <row r="39" spans="2:26" ht="15.75" customHeight="1" x14ac:dyDescent="0.35">
      <c r="B39" s="16" t="s">
        <v>3272</v>
      </c>
      <c r="C39" s="16" t="s">
        <v>3292</v>
      </c>
      <c r="D39" s="10"/>
      <c r="G39" s="16" t="s">
        <v>3292</v>
      </c>
      <c r="H39" s="16"/>
      <c r="I39" s="16"/>
      <c r="J39" s="16">
        <f t="shared" ref="J39:J48" si="4">COUNTIF($E$4:$AH$24,B39)</f>
        <v>42</v>
      </c>
      <c r="M39" s="31" t="s">
        <v>3281</v>
      </c>
      <c r="N39" s="40" t="s">
        <v>3293</v>
      </c>
      <c r="O39" s="40" t="s">
        <v>3292</v>
      </c>
      <c r="P39" s="40" t="s">
        <v>3294</v>
      </c>
      <c r="Q39" s="40" t="s">
        <v>3295</v>
      </c>
      <c r="R39" s="40" t="s">
        <v>3296</v>
      </c>
      <c r="S39" s="40" t="s">
        <v>3297</v>
      </c>
      <c r="T39" s="40" t="s">
        <v>3298</v>
      </c>
      <c r="U39" s="40" t="s">
        <v>3299</v>
      </c>
      <c r="V39" s="40" t="s">
        <v>3300</v>
      </c>
      <c r="W39" s="40" t="s">
        <v>3301</v>
      </c>
      <c r="X39" s="40" t="s">
        <v>3302</v>
      </c>
      <c r="Y39" s="29" t="s">
        <v>3303</v>
      </c>
    </row>
    <row r="40" spans="2:26" ht="15.75" customHeight="1" x14ac:dyDescent="0.35">
      <c r="B40" s="16" t="s">
        <v>3273</v>
      </c>
      <c r="C40" s="16" t="s">
        <v>3294</v>
      </c>
      <c r="D40" s="10"/>
      <c r="G40" s="16" t="s">
        <v>3294</v>
      </c>
      <c r="H40" s="16"/>
      <c r="I40" s="16"/>
      <c r="J40" s="16">
        <f t="shared" si="4"/>
        <v>5</v>
      </c>
      <c r="M40" s="16" t="s">
        <v>64</v>
      </c>
      <c r="N40" s="41">
        <v>107</v>
      </c>
      <c r="O40" s="37">
        <f t="shared" ref="O40:Y40" si="5">COUNTIF($E$4:$AI$9,O44)</f>
        <v>22</v>
      </c>
      <c r="P40" s="37">
        <f t="shared" si="5"/>
        <v>3</v>
      </c>
      <c r="Q40" s="37">
        <f t="shared" si="5"/>
        <v>1</v>
      </c>
      <c r="R40" s="37">
        <f t="shared" si="5"/>
        <v>68</v>
      </c>
      <c r="S40" s="37">
        <f t="shared" si="5"/>
        <v>6</v>
      </c>
      <c r="T40" s="37">
        <f t="shared" si="5"/>
        <v>0</v>
      </c>
      <c r="U40" s="37">
        <f t="shared" si="5"/>
        <v>0</v>
      </c>
      <c r="V40" s="37">
        <f t="shared" si="5"/>
        <v>5</v>
      </c>
      <c r="W40" s="37">
        <f t="shared" si="5"/>
        <v>0</v>
      </c>
      <c r="X40" s="37">
        <f t="shared" si="5"/>
        <v>1</v>
      </c>
      <c r="Y40" s="37">
        <f t="shared" si="5"/>
        <v>1</v>
      </c>
      <c r="Z40" s="28">
        <f t="shared" ref="Z40:Z44" si="6">SUM(O40:Y40)</f>
        <v>107</v>
      </c>
    </row>
    <row r="41" spans="2:26" ht="15.75" customHeight="1" x14ac:dyDescent="0.35">
      <c r="B41" s="16" t="s">
        <v>3275</v>
      </c>
      <c r="C41" s="16" t="s">
        <v>3295</v>
      </c>
      <c r="D41" s="10"/>
      <c r="G41" s="16" t="s">
        <v>3295</v>
      </c>
      <c r="H41" s="16"/>
      <c r="I41" s="16"/>
      <c r="J41" s="16">
        <f t="shared" si="4"/>
        <v>15</v>
      </c>
      <c r="M41" s="16" t="s">
        <v>59</v>
      </c>
      <c r="N41" s="41">
        <v>50</v>
      </c>
      <c r="O41" s="37">
        <f t="shared" ref="O41:Y41" si="7">COUNTIF($E$10:$AI$13,O44)</f>
        <v>7</v>
      </c>
      <c r="P41" s="37">
        <f t="shared" si="7"/>
        <v>1</v>
      </c>
      <c r="Q41" s="37">
        <f t="shared" si="7"/>
        <v>0</v>
      </c>
      <c r="R41" s="37">
        <f t="shared" si="7"/>
        <v>37</v>
      </c>
      <c r="S41" s="37">
        <f t="shared" si="7"/>
        <v>0</v>
      </c>
      <c r="T41" s="37">
        <f t="shared" si="7"/>
        <v>0</v>
      </c>
      <c r="U41" s="37">
        <f t="shared" si="7"/>
        <v>0</v>
      </c>
      <c r="V41" s="37">
        <f t="shared" si="7"/>
        <v>5</v>
      </c>
      <c r="W41" s="37">
        <f t="shared" si="7"/>
        <v>0</v>
      </c>
      <c r="X41" s="37">
        <f t="shared" si="7"/>
        <v>0</v>
      </c>
      <c r="Y41" s="37">
        <f t="shared" si="7"/>
        <v>0</v>
      </c>
      <c r="Z41" s="28">
        <f t="shared" si="6"/>
        <v>50</v>
      </c>
    </row>
    <row r="42" spans="2:26" ht="15.75" customHeight="1" x14ac:dyDescent="0.35">
      <c r="B42" s="16" t="s">
        <v>41</v>
      </c>
      <c r="C42" s="16" t="s">
        <v>3296</v>
      </c>
      <c r="D42" s="10"/>
      <c r="G42" s="16" t="s">
        <v>3296</v>
      </c>
      <c r="H42" s="16"/>
      <c r="I42" s="16"/>
      <c r="J42" s="16">
        <f t="shared" si="4"/>
        <v>177</v>
      </c>
      <c r="M42" s="16" t="s">
        <v>71</v>
      </c>
      <c r="N42" s="41">
        <v>32</v>
      </c>
      <c r="O42" s="37">
        <f t="shared" ref="O42:Y42" si="8">COUNTIF($E$14:$AI$16,O44)</f>
        <v>4</v>
      </c>
      <c r="P42" s="37">
        <f t="shared" si="8"/>
        <v>1</v>
      </c>
      <c r="Q42" s="37">
        <f t="shared" si="8"/>
        <v>1</v>
      </c>
      <c r="R42" s="37">
        <f t="shared" si="8"/>
        <v>19</v>
      </c>
      <c r="S42" s="37">
        <f t="shared" si="8"/>
        <v>0</v>
      </c>
      <c r="T42" s="37">
        <f t="shared" si="8"/>
        <v>0</v>
      </c>
      <c r="U42" s="37">
        <f t="shared" si="8"/>
        <v>0</v>
      </c>
      <c r="V42" s="37">
        <f t="shared" si="8"/>
        <v>4</v>
      </c>
      <c r="W42" s="37">
        <f t="shared" si="8"/>
        <v>0</v>
      </c>
      <c r="X42" s="37">
        <f t="shared" si="8"/>
        <v>0</v>
      </c>
      <c r="Y42" s="37">
        <f t="shared" si="8"/>
        <v>0</v>
      </c>
      <c r="Z42" s="28">
        <f t="shared" si="6"/>
        <v>29</v>
      </c>
    </row>
    <row r="43" spans="2:26" ht="15.75" customHeight="1" x14ac:dyDescent="0.35">
      <c r="B43" s="16" t="s">
        <v>3274</v>
      </c>
      <c r="C43" s="16" t="s">
        <v>3297</v>
      </c>
      <c r="D43" s="10"/>
      <c r="G43" s="16" t="s">
        <v>3297</v>
      </c>
      <c r="H43" s="16"/>
      <c r="I43" s="16"/>
      <c r="J43" s="16">
        <f t="shared" si="4"/>
        <v>6</v>
      </c>
      <c r="M43" s="16" t="s">
        <v>3286</v>
      </c>
      <c r="N43" s="41">
        <v>81</v>
      </c>
      <c r="O43" s="37">
        <f t="shared" ref="O43:Y43" si="9">COUNTIF($E$17:$AI$23,O44)</f>
        <v>9</v>
      </c>
      <c r="P43" s="37">
        <f t="shared" si="9"/>
        <v>0</v>
      </c>
      <c r="Q43" s="37">
        <f t="shared" si="9"/>
        <v>13</v>
      </c>
      <c r="R43" s="37">
        <f t="shared" si="9"/>
        <v>53</v>
      </c>
      <c r="S43" s="37">
        <f t="shared" si="9"/>
        <v>0</v>
      </c>
      <c r="T43" s="37">
        <f t="shared" si="9"/>
        <v>0</v>
      </c>
      <c r="U43" s="37">
        <f t="shared" si="9"/>
        <v>0</v>
      </c>
      <c r="V43" s="37">
        <f t="shared" si="9"/>
        <v>6</v>
      </c>
      <c r="W43" s="37">
        <f t="shared" si="9"/>
        <v>0</v>
      </c>
      <c r="X43" s="37">
        <f t="shared" si="9"/>
        <v>0</v>
      </c>
      <c r="Y43" s="37">
        <f t="shared" si="9"/>
        <v>0</v>
      </c>
      <c r="Z43" s="28">
        <f t="shared" si="6"/>
        <v>81</v>
      </c>
    </row>
    <row r="44" spans="2:26" ht="15.75" customHeight="1" x14ac:dyDescent="0.35">
      <c r="B44" s="16" t="s">
        <v>3304</v>
      </c>
      <c r="C44" s="16" t="s">
        <v>3298</v>
      </c>
      <c r="D44" s="10"/>
      <c r="G44" s="16" t="s">
        <v>3298</v>
      </c>
      <c r="H44" s="16"/>
      <c r="I44" s="16"/>
      <c r="J44" s="16">
        <f t="shared" si="4"/>
        <v>0</v>
      </c>
      <c r="M44" s="28"/>
      <c r="N44" s="28"/>
      <c r="O44" s="28" t="s">
        <v>3272</v>
      </c>
      <c r="P44" s="28" t="s">
        <v>3273</v>
      </c>
      <c r="Q44" s="28" t="s">
        <v>3275</v>
      </c>
      <c r="R44" s="28" t="s">
        <v>41</v>
      </c>
      <c r="S44" s="28" t="s">
        <v>3274</v>
      </c>
      <c r="T44" s="28" t="s">
        <v>3304</v>
      </c>
      <c r="U44" s="28" t="s">
        <v>3305</v>
      </c>
      <c r="V44" s="28" t="s">
        <v>3271</v>
      </c>
      <c r="W44" s="28" t="s">
        <v>3306</v>
      </c>
      <c r="X44" s="28" t="s">
        <v>53</v>
      </c>
      <c r="Y44" s="28" t="s">
        <v>3307</v>
      </c>
      <c r="Z44" s="28">
        <f t="shared" si="6"/>
        <v>0</v>
      </c>
    </row>
    <row r="45" spans="2:26" ht="15.75" customHeight="1" x14ac:dyDescent="0.35">
      <c r="B45" s="16" t="s">
        <v>3305</v>
      </c>
      <c r="C45" s="16" t="s">
        <v>3299</v>
      </c>
      <c r="D45" s="10"/>
      <c r="G45" s="16" t="s">
        <v>3299</v>
      </c>
      <c r="H45" s="16"/>
      <c r="I45" s="16"/>
      <c r="J45" s="16">
        <f t="shared" si="4"/>
        <v>0</v>
      </c>
    </row>
    <row r="46" spans="2:26" ht="15.75" customHeight="1" x14ac:dyDescent="0.35">
      <c r="B46" s="16" t="s">
        <v>3271</v>
      </c>
      <c r="C46" s="16" t="s">
        <v>3300</v>
      </c>
      <c r="D46" s="10"/>
      <c r="G46" s="16" t="s">
        <v>3300</v>
      </c>
      <c r="H46" s="16"/>
      <c r="I46" s="16"/>
      <c r="J46" s="16">
        <f t="shared" si="4"/>
        <v>20</v>
      </c>
    </row>
    <row r="47" spans="2:26" ht="15.75" customHeight="1" x14ac:dyDescent="0.35">
      <c r="B47" s="16" t="s">
        <v>3306</v>
      </c>
      <c r="C47" s="16" t="s">
        <v>3301</v>
      </c>
      <c r="D47" s="10"/>
      <c r="G47" s="16" t="s">
        <v>3301</v>
      </c>
      <c r="H47" s="16"/>
      <c r="I47" s="16"/>
      <c r="J47" s="16">
        <f t="shared" si="4"/>
        <v>0</v>
      </c>
    </row>
    <row r="48" spans="2:26" ht="15.75" customHeight="1" x14ac:dyDescent="0.35">
      <c r="B48" s="16" t="s">
        <v>53</v>
      </c>
      <c r="C48" s="16" t="s">
        <v>3302</v>
      </c>
      <c r="D48" s="10"/>
      <c r="G48" s="16" t="s">
        <v>3302</v>
      </c>
      <c r="H48" s="16"/>
      <c r="I48" s="16"/>
      <c r="J48" s="16">
        <f t="shared" si="4"/>
        <v>1</v>
      </c>
    </row>
    <row r="49" spans="2:10" ht="15.75" customHeight="1" x14ac:dyDescent="0.35">
      <c r="B49" s="16" t="s">
        <v>3307</v>
      </c>
      <c r="C49" s="16" t="s">
        <v>3303</v>
      </c>
      <c r="D49" s="10"/>
      <c r="G49" s="16" t="s">
        <v>3303</v>
      </c>
      <c r="H49" s="16"/>
      <c r="I49" s="16"/>
      <c r="J49" s="16">
        <f>COUNTIF($E$4:$AI$24,B49)</f>
        <v>1</v>
      </c>
    </row>
    <row r="50" spans="2:10" ht="15.75" customHeight="1" x14ac:dyDescent="0.35">
      <c r="D50" s="10"/>
    </row>
    <row r="51" spans="2:10" ht="15.75" customHeight="1" x14ac:dyDescent="0.35">
      <c r="D51" s="10"/>
    </row>
    <row r="52" spans="2:10" ht="15.75" customHeight="1" x14ac:dyDescent="0.35">
      <c r="D52" s="10"/>
    </row>
    <row r="53" spans="2:10" ht="15.75" customHeight="1" x14ac:dyDescent="0.35">
      <c r="D53" s="10"/>
    </row>
    <row r="54" spans="2:10" ht="15.75" customHeight="1" x14ac:dyDescent="0.35">
      <c r="D54" s="10"/>
    </row>
    <row r="55" spans="2:10" ht="15.75" customHeight="1" x14ac:dyDescent="0.35">
      <c r="D55" s="10"/>
    </row>
    <row r="56" spans="2:10" ht="15.75" customHeight="1" x14ac:dyDescent="0.35">
      <c r="D56" s="10"/>
    </row>
    <row r="57" spans="2:10" ht="15.75" customHeight="1" x14ac:dyDescent="0.35">
      <c r="D57" s="10"/>
    </row>
    <row r="58" spans="2:10" ht="15.75" customHeight="1" x14ac:dyDescent="0.35">
      <c r="D58" s="10"/>
    </row>
    <row r="59" spans="2:10" ht="15.75" customHeight="1" x14ac:dyDescent="0.35">
      <c r="D59" s="10"/>
    </row>
    <row r="60" spans="2:10" ht="15.75" customHeight="1" x14ac:dyDescent="0.35">
      <c r="D60" s="10"/>
    </row>
    <row r="61" spans="2:10" ht="15.75" customHeight="1" x14ac:dyDescent="0.35">
      <c r="D61" s="10"/>
    </row>
    <row r="62" spans="2:10" ht="15.75" customHeight="1" x14ac:dyDescent="0.35">
      <c r="D62" s="10"/>
    </row>
    <row r="63" spans="2:10" ht="15.75" customHeight="1" x14ac:dyDescent="0.35">
      <c r="D63" s="10"/>
    </row>
    <row r="64" spans="2:10" ht="15.75" customHeight="1" x14ac:dyDescent="0.35">
      <c r="D64" s="10"/>
    </row>
    <row r="65" spans="4:4" ht="15.75" customHeight="1" x14ac:dyDescent="0.35">
      <c r="D65" s="10"/>
    </row>
    <row r="66" spans="4:4" ht="15.75" customHeight="1" x14ac:dyDescent="0.35">
      <c r="D66" s="10"/>
    </row>
    <row r="67" spans="4:4" ht="15.75" customHeight="1" x14ac:dyDescent="0.35">
      <c r="D67" s="10"/>
    </row>
    <row r="68" spans="4:4" ht="15.75" customHeight="1" x14ac:dyDescent="0.35">
      <c r="D68" s="10"/>
    </row>
    <row r="69" spans="4:4" ht="15.75" customHeight="1" x14ac:dyDescent="0.35">
      <c r="D69" s="10"/>
    </row>
    <row r="70" spans="4:4" ht="15.75" customHeight="1" x14ac:dyDescent="0.35">
      <c r="D70" s="10"/>
    </row>
    <row r="71" spans="4:4" ht="15.75" customHeight="1" x14ac:dyDescent="0.35">
      <c r="D71" s="10"/>
    </row>
    <row r="72" spans="4:4" ht="15.75" customHeight="1" x14ac:dyDescent="0.35">
      <c r="D72" s="10"/>
    </row>
    <row r="73" spans="4:4" ht="15.75" customHeight="1" x14ac:dyDescent="0.35">
      <c r="D73" s="10"/>
    </row>
    <row r="74" spans="4:4" ht="15.75" customHeight="1" x14ac:dyDescent="0.35">
      <c r="D74" s="10"/>
    </row>
    <row r="75" spans="4:4" ht="15.75" customHeight="1" x14ac:dyDescent="0.35">
      <c r="D75" s="10"/>
    </row>
    <row r="76" spans="4:4" ht="15.75" customHeight="1" x14ac:dyDescent="0.35">
      <c r="D76" s="10"/>
    </row>
    <row r="77" spans="4:4" ht="15.75" customHeight="1" x14ac:dyDescent="0.35">
      <c r="D77" s="10"/>
    </row>
    <row r="78" spans="4:4" ht="15.75" customHeight="1" x14ac:dyDescent="0.35">
      <c r="D78" s="10"/>
    </row>
    <row r="79" spans="4:4" ht="15.75" customHeight="1" x14ac:dyDescent="0.35">
      <c r="D79" s="10"/>
    </row>
    <row r="80" spans="4:4" ht="15.75" customHeight="1" x14ac:dyDescent="0.35">
      <c r="D80" s="10"/>
    </row>
    <row r="81" spans="4:4" ht="15.75" customHeight="1" x14ac:dyDescent="0.35">
      <c r="D81" s="10"/>
    </row>
    <row r="82" spans="4:4" ht="15.75" customHeight="1" x14ac:dyDescent="0.35">
      <c r="D82" s="10"/>
    </row>
    <row r="83" spans="4:4" ht="15.75" customHeight="1" x14ac:dyDescent="0.35">
      <c r="D83" s="10"/>
    </row>
    <row r="84" spans="4:4" ht="15.75" customHeight="1" x14ac:dyDescent="0.35">
      <c r="D84" s="10"/>
    </row>
    <row r="85" spans="4:4" ht="15.75" customHeight="1" x14ac:dyDescent="0.35">
      <c r="D85" s="10"/>
    </row>
    <row r="86" spans="4:4" ht="15.75" customHeight="1" x14ac:dyDescent="0.35">
      <c r="D86" s="10"/>
    </row>
    <row r="87" spans="4:4" ht="15.75" customHeight="1" x14ac:dyDescent="0.35">
      <c r="D87" s="10"/>
    </row>
    <row r="88" spans="4:4" ht="15.75" customHeight="1" x14ac:dyDescent="0.35">
      <c r="D88" s="10"/>
    </row>
    <row r="89" spans="4:4" ht="15.75" customHeight="1" x14ac:dyDescent="0.35">
      <c r="D89" s="10"/>
    </row>
    <row r="90" spans="4:4" ht="15.75" customHeight="1" x14ac:dyDescent="0.35">
      <c r="D90" s="10"/>
    </row>
    <row r="91" spans="4:4" ht="15.75" customHeight="1" x14ac:dyDescent="0.35">
      <c r="D91" s="10"/>
    </row>
    <row r="92" spans="4:4" ht="15.75" customHeight="1" x14ac:dyDescent="0.35">
      <c r="D92" s="10"/>
    </row>
    <row r="93" spans="4:4" ht="15.75" customHeight="1" x14ac:dyDescent="0.35">
      <c r="D93" s="10"/>
    </row>
    <row r="94" spans="4:4" ht="15.75" customHeight="1" x14ac:dyDescent="0.35">
      <c r="D94" s="10"/>
    </row>
    <row r="95" spans="4:4" ht="15.75" customHeight="1" x14ac:dyDescent="0.35">
      <c r="D95" s="10"/>
    </row>
    <row r="96" spans="4:4" ht="15.75" customHeight="1" x14ac:dyDescent="0.35">
      <c r="D96" s="10"/>
    </row>
    <row r="97" spans="4:4" ht="15.75" customHeight="1" x14ac:dyDescent="0.35">
      <c r="D97" s="10"/>
    </row>
    <row r="98" spans="4:4" ht="15.75" customHeight="1" x14ac:dyDescent="0.35">
      <c r="D98" s="10"/>
    </row>
    <row r="99" spans="4:4" ht="15.75" customHeight="1" x14ac:dyDescent="0.35">
      <c r="D99" s="10"/>
    </row>
    <row r="100" spans="4:4" ht="15.75" customHeight="1" x14ac:dyDescent="0.35">
      <c r="D100" s="10"/>
    </row>
    <row r="101" spans="4:4" ht="15.75" customHeight="1" x14ac:dyDescent="0.35">
      <c r="D101" s="10"/>
    </row>
    <row r="102" spans="4:4" ht="15.75" customHeight="1" x14ac:dyDescent="0.35">
      <c r="D102" s="10"/>
    </row>
    <row r="103" spans="4:4" ht="15.75" customHeight="1" x14ac:dyDescent="0.35">
      <c r="D103" s="10"/>
    </row>
    <row r="104" spans="4:4" ht="15.75" customHeight="1" x14ac:dyDescent="0.35">
      <c r="D104" s="10"/>
    </row>
    <row r="105" spans="4:4" ht="15.75" customHeight="1" x14ac:dyDescent="0.35">
      <c r="D105" s="10"/>
    </row>
    <row r="106" spans="4:4" ht="15.75" customHeight="1" x14ac:dyDescent="0.35">
      <c r="D106" s="10"/>
    </row>
    <row r="107" spans="4:4" ht="15.75" customHeight="1" x14ac:dyDescent="0.35">
      <c r="D107" s="10"/>
    </row>
    <row r="108" spans="4:4" ht="15.75" customHeight="1" x14ac:dyDescent="0.35">
      <c r="D108" s="10"/>
    </row>
    <row r="109" spans="4:4" ht="15.75" customHeight="1" x14ac:dyDescent="0.35">
      <c r="D109" s="10"/>
    </row>
    <row r="110" spans="4:4" ht="15.75" customHeight="1" x14ac:dyDescent="0.35">
      <c r="D110" s="10"/>
    </row>
    <row r="111" spans="4:4" ht="15.75" customHeight="1" x14ac:dyDescent="0.35">
      <c r="D111" s="10"/>
    </row>
    <row r="112" spans="4:4" ht="15.75" customHeight="1" x14ac:dyDescent="0.35">
      <c r="D112" s="10"/>
    </row>
    <row r="113" spans="4:4" ht="15.75" customHeight="1" x14ac:dyDescent="0.35">
      <c r="D113" s="10"/>
    </row>
    <row r="114" spans="4:4" ht="15.75" customHeight="1" x14ac:dyDescent="0.35">
      <c r="D114" s="10"/>
    </row>
    <row r="115" spans="4:4" ht="15.75" customHeight="1" x14ac:dyDescent="0.35">
      <c r="D115" s="10"/>
    </row>
    <row r="116" spans="4:4" ht="15.75" customHeight="1" x14ac:dyDescent="0.35">
      <c r="D116" s="10"/>
    </row>
    <row r="117" spans="4:4" ht="15.75" customHeight="1" x14ac:dyDescent="0.35">
      <c r="D117" s="10"/>
    </row>
    <row r="118" spans="4:4" ht="15.75" customHeight="1" x14ac:dyDescent="0.35">
      <c r="D118" s="10"/>
    </row>
    <row r="119" spans="4:4" ht="15.75" customHeight="1" x14ac:dyDescent="0.35">
      <c r="D119" s="10"/>
    </row>
    <row r="120" spans="4:4" ht="15.75" customHeight="1" x14ac:dyDescent="0.35">
      <c r="D120" s="10"/>
    </row>
    <row r="121" spans="4:4" ht="15.75" customHeight="1" x14ac:dyDescent="0.35">
      <c r="D121" s="10"/>
    </row>
    <row r="122" spans="4:4" ht="15.75" customHeight="1" x14ac:dyDescent="0.35">
      <c r="D122" s="10"/>
    </row>
    <row r="123" spans="4:4" ht="15.75" customHeight="1" x14ac:dyDescent="0.35">
      <c r="D123" s="10"/>
    </row>
    <row r="124" spans="4:4" ht="15.75" customHeight="1" x14ac:dyDescent="0.35">
      <c r="D124" s="10"/>
    </row>
    <row r="125" spans="4:4" ht="15.75" customHeight="1" x14ac:dyDescent="0.35">
      <c r="D125" s="10"/>
    </row>
    <row r="126" spans="4:4" ht="15.75" customHeight="1" x14ac:dyDescent="0.35">
      <c r="D126" s="10"/>
    </row>
    <row r="127" spans="4:4" ht="15.75" customHeight="1" x14ac:dyDescent="0.35">
      <c r="D127" s="10"/>
    </row>
    <row r="128" spans="4:4" ht="15.75" customHeight="1" x14ac:dyDescent="0.35">
      <c r="D128" s="10"/>
    </row>
    <row r="129" spans="4:4" ht="15.75" customHeight="1" x14ac:dyDescent="0.35">
      <c r="D129" s="10"/>
    </row>
    <row r="130" spans="4:4" ht="15.75" customHeight="1" x14ac:dyDescent="0.35">
      <c r="D130" s="10"/>
    </row>
    <row r="131" spans="4:4" ht="15.75" customHeight="1" x14ac:dyDescent="0.35">
      <c r="D131" s="10"/>
    </row>
    <row r="132" spans="4:4" ht="15.75" customHeight="1" x14ac:dyDescent="0.35">
      <c r="D132" s="10"/>
    </row>
    <row r="133" spans="4:4" ht="15.75" customHeight="1" x14ac:dyDescent="0.35">
      <c r="D133" s="10"/>
    </row>
    <row r="134" spans="4:4" ht="15.75" customHeight="1" x14ac:dyDescent="0.35">
      <c r="D134" s="10"/>
    </row>
    <row r="135" spans="4:4" ht="15.75" customHeight="1" x14ac:dyDescent="0.35">
      <c r="D135" s="10"/>
    </row>
    <row r="136" spans="4:4" ht="15.75" customHeight="1" x14ac:dyDescent="0.35">
      <c r="D136" s="10"/>
    </row>
    <row r="137" spans="4:4" ht="15.75" customHeight="1" x14ac:dyDescent="0.35">
      <c r="D137" s="10"/>
    </row>
    <row r="138" spans="4:4" ht="15.75" customHeight="1" x14ac:dyDescent="0.35">
      <c r="D138" s="10"/>
    </row>
    <row r="139" spans="4:4" ht="15.75" customHeight="1" x14ac:dyDescent="0.35">
      <c r="D139" s="10"/>
    </row>
    <row r="140" spans="4:4" ht="15.75" customHeight="1" x14ac:dyDescent="0.35">
      <c r="D140" s="10"/>
    </row>
    <row r="141" spans="4:4" ht="15.75" customHeight="1" x14ac:dyDescent="0.35">
      <c r="D141" s="10"/>
    </row>
    <row r="142" spans="4:4" ht="15.75" customHeight="1" x14ac:dyDescent="0.35">
      <c r="D142" s="10"/>
    </row>
    <row r="143" spans="4:4" ht="15.75" customHeight="1" x14ac:dyDescent="0.35">
      <c r="D143" s="10"/>
    </row>
    <row r="144" spans="4:4" ht="15.75" customHeight="1" x14ac:dyDescent="0.35">
      <c r="D144" s="10"/>
    </row>
    <row r="145" spans="4:4" ht="15.75" customHeight="1" x14ac:dyDescent="0.35">
      <c r="D145" s="10"/>
    </row>
    <row r="146" spans="4:4" ht="15.75" customHeight="1" x14ac:dyDescent="0.35">
      <c r="D146" s="10"/>
    </row>
    <row r="147" spans="4:4" ht="15.75" customHeight="1" x14ac:dyDescent="0.35">
      <c r="D147" s="10"/>
    </row>
    <row r="148" spans="4:4" ht="15.75" customHeight="1" x14ac:dyDescent="0.35">
      <c r="D148" s="10"/>
    </row>
    <row r="149" spans="4:4" ht="15.75" customHeight="1" x14ac:dyDescent="0.35">
      <c r="D149" s="10"/>
    </row>
    <row r="150" spans="4:4" ht="15.75" customHeight="1" x14ac:dyDescent="0.35">
      <c r="D150" s="10"/>
    </row>
    <row r="151" spans="4:4" ht="15.75" customHeight="1" x14ac:dyDescent="0.35">
      <c r="D151" s="10"/>
    </row>
    <row r="152" spans="4:4" ht="15.75" customHeight="1" x14ac:dyDescent="0.35">
      <c r="D152" s="10"/>
    </row>
    <row r="153" spans="4:4" ht="15.75" customHeight="1" x14ac:dyDescent="0.35">
      <c r="D153" s="10"/>
    </row>
    <row r="154" spans="4:4" ht="15.75" customHeight="1" x14ac:dyDescent="0.35">
      <c r="D154" s="10"/>
    </row>
    <row r="155" spans="4:4" ht="15.75" customHeight="1" x14ac:dyDescent="0.35">
      <c r="D155" s="10"/>
    </row>
    <row r="156" spans="4:4" ht="15.75" customHeight="1" x14ac:dyDescent="0.35">
      <c r="D156" s="10"/>
    </row>
    <row r="157" spans="4:4" ht="15.75" customHeight="1" x14ac:dyDescent="0.35">
      <c r="D157" s="10"/>
    </row>
    <row r="158" spans="4:4" ht="15.75" customHeight="1" x14ac:dyDescent="0.35">
      <c r="D158" s="10"/>
    </row>
    <row r="159" spans="4:4" ht="15.75" customHeight="1" x14ac:dyDescent="0.35">
      <c r="D159" s="10"/>
    </row>
    <row r="160" spans="4:4" ht="15.75" customHeight="1" x14ac:dyDescent="0.35">
      <c r="D160" s="10"/>
    </row>
    <row r="161" spans="4:4" ht="15.75" customHeight="1" x14ac:dyDescent="0.35">
      <c r="D161" s="10"/>
    </row>
    <row r="162" spans="4:4" ht="15.75" customHeight="1" x14ac:dyDescent="0.35">
      <c r="D162" s="10"/>
    </row>
    <row r="163" spans="4:4" ht="15.75" customHeight="1" x14ac:dyDescent="0.35">
      <c r="D163" s="10"/>
    </row>
    <row r="164" spans="4:4" ht="15.75" customHeight="1" x14ac:dyDescent="0.35">
      <c r="D164" s="10"/>
    </row>
    <row r="165" spans="4:4" ht="15.75" customHeight="1" x14ac:dyDescent="0.35">
      <c r="D165" s="10"/>
    </row>
    <row r="166" spans="4:4" ht="15.75" customHeight="1" x14ac:dyDescent="0.35">
      <c r="D166" s="10"/>
    </row>
    <row r="167" spans="4:4" ht="15.75" customHeight="1" x14ac:dyDescent="0.35">
      <c r="D167" s="10"/>
    </row>
    <row r="168" spans="4:4" ht="15.75" customHeight="1" x14ac:dyDescent="0.35">
      <c r="D168" s="10"/>
    </row>
    <row r="169" spans="4:4" ht="15.75" customHeight="1" x14ac:dyDescent="0.35">
      <c r="D169" s="10"/>
    </row>
    <row r="170" spans="4:4" ht="15.75" customHeight="1" x14ac:dyDescent="0.35">
      <c r="D170" s="10"/>
    </row>
    <row r="171" spans="4:4" ht="15.75" customHeight="1" x14ac:dyDescent="0.35">
      <c r="D171" s="10"/>
    </row>
    <row r="172" spans="4:4" ht="15.75" customHeight="1" x14ac:dyDescent="0.35">
      <c r="D172" s="10"/>
    </row>
    <row r="173" spans="4:4" ht="15.75" customHeight="1" x14ac:dyDescent="0.35">
      <c r="D173" s="10"/>
    </row>
    <row r="174" spans="4:4" ht="15.75" customHeight="1" x14ac:dyDescent="0.35">
      <c r="D174" s="10"/>
    </row>
    <row r="175" spans="4:4" ht="15.75" customHeight="1" x14ac:dyDescent="0.35">
      <c r="D175" s="10"/>
    </row>
    <row r="176" spans="4:4" ht="15.75" customHeight="1" x14ac:dyDescent="0.35">
      <c r="D176" s="10"/>
    </row>
    <row r="177" spans="4:4" ht="15.75" customHeight="1" x14ac:dyDescent="0.35">
      <c r="D177" s="10"/>
    </row>
    <row r="178" spans="4:4" ht="15.75" customHeight="1" x14ac:dyDescent="0.35">
      <c r="D178" s="10"/>
    </row>
    <row r="179" spans="4:4" ht="15.75" customHeight="1" x14ac:dyDescent="0.35">
      <c r="D179" s="10"/>
    </row>
    <row r="180" spans="4:4" ht="15.75" customHeight="1" x14ac:dyDescent="0.35">
      <c r="D180" s="10"/>
    </row>
    <row r="181" spans="4:4" ht="15.75" customHeight="1" x14ac:dyDescent="0.35">
      <c r="D181" s="10"/>
    </row>
    <row r="182" spans="4:4" ht="15.75" customHeight="1" x14ac:dyDescent="0.35">
      <c r="D182" s="10"/>
    </row>
    <row r="183" spans="4:4" ht="15.75" customHeight="1" x14ac:dyDescent="0.35">
      <c r="D183" s="10"/>
    </row>
    <row r="184" spans="4:4" ht="15.75" customHeight="1" x14ac:dyDescent="0.35">
      <c r="D184" s="10"/>
    </row>
    <row r="185" spans="4:4" ht="15.75" customHeight="1" x14ac:dyDescent="0.35">
      <c r="D185" s="10"/>
    </row>
    <row r="186" spans="4:4" ht="15.75" customHeight="1" x14ac:dyDescent="0.35">
      <c r="D186" s="10"/>
    </row>
    <row r="187" spans="4:4" ht="15.75" customHeight="1" x14ac:dyDescent="0.35">
      <c r="D187" s="10"/>
    </row>
    <row r="188" spans="4:4" ht="15.75" customHeight="1" x14ac:dyDescent="0.35">
      <c r="D188" s="10"/>
    </row>
    <row r="189" spans="4:4" ht="15.75" customHeight="1" x14ac:dyDescent="0.35">
      <c r="D189" s="10"/>
    </row>
    <row r="190" spans="4:4" ht="15.75" customHeight="1" x14ac:dyDescent="0.35">
      <c r="D190" s="10"/>
    </row>
    <row r="191" spans="4:4" ht="15.75" customHeight="1" x14ac:dyDescent="0.35">
      <c r="D191" s="10"/>
    </row>
    <row r="192" spans="4:4" ht="15.75" customHeight="1" x14ac:dyDescent="0.35">
      <c r="D192" s="10"/>
    </row>
    <row r="193" spans="4:4" ht="15.75" customHeight="1" x14ac:dyDescent="0.35">
      <c r="D193" s="10"/>
    </row>
    <row r="194" spans="4:4" ht="15.75" customHeight="1" x14ac:dyDescent="0.35">
      <c r="D194" s="10"/>
    </row>
    <row r="195" spans="4:4" ht="15.75" customHeight="1" x14ac:dyDescent="0.35">
      <c r="D195" s="10"/>
    </row>
    <row r="196" spans="4:4" ht="15.75" customHeight="1" x14ac:dyDescent="0.35">
      <c r="D196" s="10"/>
    </row>
    <row r="197" spans="4:4" ht="15.75" customHeight="1" x14ac:dyDescent="0.35">
      <c r="D197" s="10"/>
    </row>
    <row r="198" spans="4:4" ht="15.75" customHeight="1" x14ac:dyDescent="0.35">
      <c r="D198" s="10"/>
    </row>
    <row r="199" spans="4:4" ht="15.75" customHeight="1" x14ac:dyDescent="0.35">
      <c r="D199" s="10"/>
    </row>
    <row r="200" spans="4:4" ht="15.75" customHeight="1" x14ac:dyDescent="0.35">
      <c r="D200" s="10"/>
    </row>
    <row r="201" spans="4:4" ht="15.75" customHeight="1" x14ac:dyDescent="0.35">
      <c r="D201" s="10"/>
    </row>
    <row r="202" spans="4:4" ht="15.75" customHeight="1" x14ac:dyDescent="0.35">
      <c r="D202" s="10"/>
    </row>
    <row r="203" spans="4:4" ht="15.75" customHeight="1" x14ac:dyDescent="0.35">
      <c r="D203" s="10"/>
    </row>
    <row r="204" spans="4:4" ht="15.75" customHeight="1" x14ac:dyDescent="0.35">
      <c r="D204" s="10"/>
    </row>
    <row r="205" spans="4:4" ht="15.75" customHeight="1" x14ac:dyDescent="0.35">
      <c r="D205" s="10"/>
    </row>
    <row r="206" spans="4:4" ht="15.75" customHeight="1" x14ac:dyDescent="0.35">
      <c r="D206" s="10"/>
    </row>
    <row r="207" spans="4:4" ht="15.75" customHeight="1" x14ac:dyDescent="0.35">
      <c r="D207" s="10"/>
    </row>
    <row r="208" spans="4:4" ht="15.75" customHeight="1" x14ac:dyDescent="0.35">
      <c r="D208" s="10"/>
    </row>
    <row r="209" spans="4:4" ht="15.75" customHeight="1" x14ac:dyDescent="0.35">
      <c r="D209" s="10"/>
    </row>
    <row r="210" spans="4:4" ht="15.75" customHeight="1" x14ac:dyDescent="0.35">
      <c r="D210" s="10"/>
    </row>
    <row r="211" spans="4:4" ht="15.75" customHeight="1" x14ac:dyDescent="0.35">
      <c r="D211" s="10"/>
    </row>
    <row r="212" spans="4:4" ht="15.75" customHeight="1" x14ac:dyDescent="0.35">
      <c r="D212" s="10"/>
    </row>
    <row r="213" spans="4:4" ht="15.75" customHeight="1" x14ac:dyDescent="0.35">
      <c r="D213" s="10"/>
    </row>
    <row r="214" spans="4:4" ht="15.75" customHeight="1" x14ac:dyDescent="0.35">
      <c r="D214" s="10"/>
    </row>
    <row r="215" spans="4:4" ht="15.75" customHeight="1" x14ac:dyDescent="0.35">
      <c r="D215" s="10"/>
    </row>
    <row r="216" spans="4:4" ht="15.75" customHeight="1" x14ac:dyDescent="0.35">
      <c r="D216" s="10"/>
    </row>
    <row r="217" spans="4:4" ht="15.75" customHeight="1" x14ac:dyDescent="0.35">
      <c r="D217" s="10"/>
    </row>
    <row r="218" spans="4:4" ht="15.75" customHeight="1" x14ac:dyDescent="0.35">
      <c r="D218" s="10"/>
    </row>
    <row r="219" spans="4:4" ht="15.75" customHeight="1" x14ac:dyDescent="0.35">
      <c r="D219" s="10"/>
    </row>
    <row r="220" spans="4:4" ht="15.75" customHeight="1" x14ac:dyDescent="0.35">
      <c r="D220" s="10"/>
    </row>
    <row r="221" spans="4:4" ht="15.75" customHeight="1" x14ac:dyDescent="0.35">
      <c r="D221" s="10"/>
    </row>
    <row r="222" spans="4:4" ht="15.75" customHeight="1" x14ac:dyDescent="0.35">
      <c r="D222" s="10"/>
    </row>
    <row r="223" spans="4:4" ht="15.75" customHeight="1" x14ac:dyDescent="0.35">
      <c r="D223" s="10"/>
    </row>
    <row r="224" spans="4:4" ht="15.75" customHeight="1" x14ac:dyDescent="0.35">
      <c r="D224" s="10"/>
    </row>
    <row r="225" spans="4:4" ht="15.75" customHeight="1" x14ac:dyDescent="0.35">
      <c r="D225" s="10"/>
    </row>
    <row r="226" spans="4:4" ht="15.75" customHeight="1" x14ac:dyDescent="0.35">
      <c r="D226" s="10"/>
    </row>
    <row r="227" spans="4:4" ht="15.75" customHeight="1" x14ac:dyDescent="0.35">
      <c r="D227" s="10"/>
    </row>
    <row r="228" spans="4:4" ht="15.75" customHeight="1" x14ac:dyDescent="0.35">
      <c r="D228" s="10"/>
    </row>
    <row r="229" spans="4:4" ht="15.75" customHeight="1" x14ac:dyDescent="0.35">
      <c r="D229" s="10"/>
    </row>
    <row r="230" spans="4:4" ht="15.75" customHeight="1" x14ac:dyDescent="0.35">
      <c r="D230" s="10"/>
    </row>
    <row r="231" spans="4:4" ht="15.75" customHeight="1" x14ac:dyDescent="0.35">
      <c r="D231" s="10"/>
    </row>
    <row r="232" spans="4:4" ht="15.75" customHeight="1" x14ac:dyDescent="0.35">
      <c r="D232" s="10"/>
    </row>
    <row r="233" spans="4:4" ht="15.75" customHeight="1" x14ac:dyDescent="0.35">
      <c r="D233" s="10"/>
    </row>
    <row r="234" spans="4:4" ht="15.75" customHeight="1" x14ac:dyDescent="0.35">
      <c r="D234" s="10"/>
    </row>
    <row r="235" spans="4:4" ht="15.75" customHeight="1" x14ac:dyDescent="0.35">
      <c r="D235" s="10"/>
    </row>
    <row r="236" spans="4:4" ht="15.75" customHeight="1" x14ac:dyDescent="0.35">
      <c r="D236" s="10"/>
    </row>
    <row r="237" spans="4:4" ht="15.75" customHeight="1" x14ac:dyDescent="0.35">
      <c r="D237" s="10"/>
    </row>
    <row r="238" spans="4:4" ht="15.75" customHeight="1" x14ac:dyDescent="0.35">
      <c r="D238" s="10"/>
    </row>
    <row r="239" spans="4:4" ht="15.75" customHeight="1" x14ac:dyDescent="0.35">
      <c r="D239" s="10"/>
    </row>
    <row r="240" spans="4:4" ht="15.75" customHeight="1" x14ac:dyDescent="0.35">
      <c r="D240" s="10"/>
    </row>
    <row r="241" spans="4:4" ht="15.75" customHeight="1" x14ac:dyDescent="0.35">
      <c r="D241" s="10"/>
    </row>
    <row r="242" spans="4:4" ht="15.75" customHeight="1" x14ac:dyDescent="0.35">
      <c r="D242" s="10"/>
    </row>
    <row r="243" spans="4:4" ht="15.75" customHeight="1" x14ac:dyDescent="0.35">
      <c r="D243" s="10"/>
    </row>
    <row r="244" spans="4:4" ht="15.75" customHeight="1" x14ac:dyDescent="0.35">
      <c r="D244" s="10"/>
    </row>
    <row r="245" spans="4:4" ht="15.75" customHeight="1" x14ac:dyDescent="0.35">
      <c r="D245" s="10"/>
    </row>
    <row r="246" spans="4:4" ht="15.75" customHeight="1" x14ac:dyDescent="0.35">
      <c r="D246" s="10"/>
    </row>
    <row r="247" spans="4:4" ht="15.75" customHeight="1" x14ac:dyDescent="0.35">
      <c r="D247" s="10"/>
    </row>
    <row r="248" spans="4:4" ht="15.75" customHeight="1" x14ac:dyDescent="0.35">
      <c r="D248" s="10"/>
    </row>
    <row r="249" spans="4:4" ht="15.75" customHeight="1" x14ac:dyDescent="0.35">
      <c r="D249" s="10"/>
    </row>
    <row r="250" spans="4:4" ht="15.75" customHeight="1" x14ac:dyDescent="0.35"/>
    <row r="251" spans="4:4" ht="15.75" customHeight="1" x14ac:dyDescent="0.35"/>
    <row r="252" spans="4:4" ht="15.75" customHeight="1" x14ac:dyDescent="0.35"/>
    <row r="253" spans="4:4" ht="15.75" customHeight="1" x14ac:dyDescent="0.35"/>
    <row r="254" spans="4:4" ht="15.75" customHeight="1" x14ac:dyDescent="0.35"/>
    <row r="255" spans="4:4" ht="15.75" customHeight="1" x14ac:dyDescent="0.35"/>
    <row r="256" spans="4:4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8">
    <mergeCell ref="G37:J37"/>
    <mergeCell ref="M38:Y38"/>
    <mergeCell ref="E1:AH1"/>
    <mergeCell ref="G27:J27"/>
    <mergeCell ref="K27:N27"/>
    <mergeCell ref="Q27:U27"/>
    <mergeCell ref="G28:G29"/>
    <mergeCell ref="K28:K29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85489-2DAC-4FF3-B069-980C5BDDBBE4}">
  <sheetPr>
    <outlinePr summaryBelow="0" summaryRight="0"/>
  </sheetPr>
  <dimension ref="A1:AI1000"/>
  <sheetViews>
    <sheetView zoomScale="65" workbookViewId="0">
      <pane xSplit="3" ySplit="1" topLeftCell="O34" activePane="bottomRight" state="frozen"/>
      <selection pane="topRight" activeCell="D1" sqref="D1"/>
      <selection pane="bottomLeft" activeCell="A2" sqref="A2"/>
      <selection pane="bottomRight" activeCell="V17" sqref="V17"/>
    </sheetView>
  </sheetViews>
  <sheetFormatPr defaultColWidth="14.453125" defaultRowHeight="15" customHeight="1" x14ac:dyDescent="0.35"/>
  <cols>
    <col min="1" max="1" width="3.7265625" customWidth="1"/>
    <col min="2" max="2" width="15.453125" customWidth="1"/>
    <col min="3" max="3" width="11.54296875" customWidth="1"/>
    <col min="4" max="4" width="13.453125" customWidth="1"/>
    <col min="5" max="6" width="11.81640625" customWidth="1"/>
    <col min="7" max="7" width="13.81640625" customWidth="1"/>
    <col min="8" max="8" width="11.81640625" customWidth="1"/>
    <col min="9" max="10" width="12.453125" customWidth="1"/>
    <col min="11" max="11" width="13.81640625" customWidth="1"/>
    <col min="12" max="12" width="12.453125" customWidth="1"/>
    <col min="13" max="14" width="11.81640625" customWidth="1"/>
    <col min="15" max="15" width="12" customWidth="1"/>
    <col min="16" max="16" width="10.81640625" customWidth="1"/>
    <col min="17" max="20" width="10.7265625" customWidth="1"/>
    <col min="21" max="21" width="10.54296875" customWidth="1"/>
    <col min="22" max="25" width="11.54296875" customWidth="1"/>
    <col min="26" max="28" width="12.08984375" customWidth="1"/>
    <col min="29" max="34" width="11.81640625" customWidth="1"/>
  </cols>
  <sheetData>
    <row r="1" spans="1:35" ht="14.5" x14ac:dyDescent="0.35">
      <c r="A1" s="8"/>
      <c r="B1" s="9" t="s">
        <v>3258</v>
      </c>
      <c r="E1" s="132" t="s">
        <v>3318</v>
      </c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</row>
    <row r="2" spans="1:35" ht="14.5" x14ac:dyDescent="0.35">
      <c r="A2" s="9"/>
      <c r="C2" s="10"/>
      <c r="D2" s="10"/>
      <c r="E2" s="8" t="s">
        <v>3266</v>
      </c>
      <c r="F2" s="8" t="s">
        <v>3260</v>
      </c>
      <c r="G2" s="8" t="s">
        <v>3261</v>
      </c>
      <c r="H2" s="8" t="s">
        <v>3262</v>
      </c>
      <c r="I2" s="8" t="s">
        <v>3263</v>
      </c>
      <c r="J2" s="9" t="s">
        <v>3264</v>
      </c>
      <c r="K2" s="9" t="s">
        <v>3265</v>
      </c>
      <c r="L2" s="8" t="s">
        <v>3266</v>
      </c>
      <c r="M2" s="8" t="s">
        <v>3260</v>
      </c>
      <c r="N2" s="8" t="s">
        <v>3261</v>
      </c>
      <c r="O2" s="8" t="s">
        <v>3262</v>
      </c>
      <c r="P2" s="8" t="s">
        <v>3263</v>
      </c>
      <c r="Q2" s="9" t="s">
        <v>3264</v>
      </c>
      <c r="R2" s="9" t="s">
        <v>3265</v>
      </c>
      <c r="S2" s="8" t="s">
        <v>3266</v>
      </c>
      <c r="T2" s="8" t="s">
        <v>3260</v>
      </c>
      <c r="U2" s="8" t="s">
        <v>3261</v>
      </c>
      <c r="V2" s="8" t="s">
        <v>3262</v>
      </c>
      <c r="W2" s="8" t="s">
        <v>3263</v>
      </c>
      <c r="X2" s="9" t="s">
        <v>3264</v>
      </c>
      <c r="Y2" s="9" t="s">
        <v>3265</v>
      </c>
      <c r="Z2" s="8" t="s">
        <v>3266</v>
      </c>
      <c r="AA2" s="8" t="s">
        <v>3260</v>
      </c>
      <c r="AB2" s="8" t="s">
        <v>3261</v>
      </c>
      <c r="AC2" s="8" t="s">
        <v>3262</v>
      </c>
      <c r="AD2" s="8" t="s">
        <v>3263</v>
      </c>
      <c r="AE2" s="9" t="s">
        <v>3264</v>
      </c>
      <c r="AF2" s="9" t="s">
        <v>3265</v>
      </c>
      <c r="AG2" s="8" t="s">
        <v>3266</v>
      </c>
      <c r="AH2" s="8" t="s">
        <v>3260</v>
      </c>
      <c r="AI2" s="8" t="s">
        <v>3261</v>
      </c>
    </row>
    <row r="3" spans="1:35" ht="14.5" x14ac:dyDescent="0.35">
      <c r="A3" s="9" t="s">
        <v>3267</v>
      </c>
      <c r="B3" s="8" t="s">
        <v>3268</v>
      </c>
      <c r="C3" s="8" t="s">
        <v>3269</v>
      </c>
      <c r="D3" s="8" t="s">
        <v>3270</v>
      </c>
      <c r="E3" s="11">
        <v>45474</v>
      </c>
      <c r="F3" s="63">
        <v>45475</v>
      </c>
      <c r="G3" s="11">
        <v>45476</v>
      </c>
      <c r="H3" s="63">
        <v>45477</v>
      </c>
      <c r="I3" s="11">
        <v>45478</v>
      </c>
      <c r="J3" s="63">
        <v>45479</v>
      </c>
      <c r="K3" s="11">
        <v>45480</v>
      </c>
      <c r="L3" s="63">
        <v>45481</v>
      </c>
      <c r="M3" s="11">
        <v>45482</v>
      </c>
      <c r="N3" s="63">
        <v>45483</v>
      </c>
      <c r="O3" s="11">
        <v>45484</v>
      </c>
      <c r="P3" s="63">
        <v>45485</v>
      </c>
      <c r="Q3" s="11">
        <v>45486</v>
      </c>
      <c r="R3" s="63">
        <v>45487</v>
      </c>
      <c r="S3" s="11">
        <v>45488</v>
      </c>
      <c r="T3" s="63">
        <v>45489</v>
      </c>
      <c r="U3" s="11">
        <v>45490</v>
      </c>
      <c r="V3" s="63">
        <v>45491</v>
      </c>
      <c r="W3" s="11">
        <v>45492</v>
      </c>
      <c r="X3" s="63">
        <v>45493</v>
      </c>
      <c r="Y3" s="11">
        <v>45494</v>
      </c>
      <c r="Z3" s="63">
        <v>45495</v>
      </c>
      <c r="AA3" s="11">
        <v>45496</v>
      </c>
      <c r="AB3" s="63">
        <v>45497</v>
      </c>
      <c r="AC3" s="11">
        <v>45498</v>
      </c>
      <c r="AD3" s="63">
        <v>45499</v>
      </c>
      <c r="AE3" s="11">
        <v>45500</v>
      </c>
      <c r="AF3" s="63">
        <v>45501</v>
      </c>
      <c r="AG3" s="11">
        <v>45502</v>
      </c>
      <c r="AH3" s="63">
        <v>45503</v>
      </c>
      <c r="AI3" s="11">
        <v>45504</v>
      </c>
    </row>
    <row r="4" spans="1:35" ht="14.5" x14ac:dyDescent="0.35">
      <c r="A4" s="12">
        <v>1</v>
      </c>
      <c r="B4" s="13" t="s">
        <v>64</v>
      </c>
      <c r="C4" s="14">
        <v>101</v>
      </c>
      <c r="D4" s="15">
        <v>2</v>
      </c>
      <c r="E4" s="16"/>
      <c r="F4" s="16" t="s">
        <v>41</v>
      </c>
      <c r="G4" s="16"/>
      <c r="H4" s="16"/>
      <c r="I4" s="16" t="s">
        <v>41</v>
      </c>
      <c r="J4" s="16" t="s">
        <v>41</v>
      </c>
      <c r="K4" s="16" t="s">
        <v>41</v>
      </c>
      <c r="L4" s="55" t="s">
        <v>41</v>
      </c>
      <c r="M4" s="55" t="s">
        <v>41</v>
      </c>
      <c r="N4" s="16" t="s">
        <v>41</v>
      </c>
      <c r="O4" s="16" t="s">
        <v>41</v>
      </c>
      <c r="P4" s="16"/>
      <c r="Q4" s="16"/>
      <c r="R4" s="16" t="s">
        <v>41</v>
      </c>
      <c r="S4" s="16"/>
      <c r="T4" s="16" t="s">
        <v>41</v>
      </c>
      <c r="U4" s="16" t="s">
        <v>41</v>
      </c>
      <c r="V4" s="16" t="s">
        <v>3273</v>
      </c>
      <c r="W4" s="16"/>
      <c r="X4" s="16" t="s">
        <v>41</v>
      </c>
      <c r="Y4" s="27" t="s">
        <v>53</v>
      </c>
      <c r="Z4" s="27" t="s">
        <v>53</v>
      </c>
      <c r="AA4" s="16"/>
      <c r="AB4" s="50" t="s">
        <v>41</v>
      </c>
      <c r="AC4" s="50" t="s">
        <v>41</v>
      </c>
      <c r="AD4" s="16"/>
      <c r="AE4" s="16" t="s">
        <v>41</v>
      </c>
      <c r="AF4" s="27" t="s">
        <v>3272</v>
      </c>
      <c r="AG4" s="16" t="s">
        <v>41</v>
      </c>
      <c r="AH4" s="16"/>
      <c r="AI4" s="16"/>
    </row>
    <row r="5" spans="1:35" ht="14.5" x14ac:dyDescent="0.35">
      <c r="A5" s="12">
        <v>2</v>
      </c>
      <c r="B5" s="13" t="s">
        <v>64</v>
      </c>
      <c r="C5" s="14">
        <v>201</v>
      </c>
      <c r="D5" s="15">
        <v>2</v>
      </c>
      <c r="E5" s="16" t="s">
        <v>3273</v>
      </c>
      <c r="F5" s="16" t="s">
        <v>3273</v>
      </c>
      <c r="G5" s="54" t="s">
        <v>41</v>
      </c>
      <c r="H5" s="54" t="s">
        <v>41</v>
      </c>
      <c r="I5" s="54" t="s">
        <v>41</v>
      </c>
      <c r="J5" s="16" t="s">
        <v>3273</v>
      </c>
      <c r="K5" s="16" t="s">
        <v>41</v>
      </c>
      <c r="L5" s="16"/>
      <c r="M5" s="16"/>
      <c r="N5" s="16" t="s">
        <v>41</v>
      </c>
      <c r="O5" s="53" t="s">
        <v>3272</v>
      </c>
      <c r="P5" s="16"/>
      <c r="Q5" s="16" t="s">
        <v>41</v>
      </c>
      <c r="R5" s="16" t="s">
        <v>41</v>
      </c>
      <c r="S5" s="16" t="s">
        <v>41</v>
      </c>
      <c r="T5" s="16" t="s">
        <v>41</v>
      </c>
      <c r="U5" s="16" t="s">
        <v>41</v>
      </c>
      <c r="V5" s="61" t="s">
        <v>41</v>
      </c>
      <c r="W5" s="61" t="s">
        <v>41</v>
      </c>
      <c r="X5" s="61" t="s">
        <v>41</v>
      </c>
      <c r="Y5" s="61" t="s">
        <v>41</v>
      </c>
      <c r="Z5" s="36" t="s">
        <v>3275</v>
      </c>
      <c r="AA5" s="36" t="s">
        <v>3275</v>
      </c>
      <c r="AB5" s="50" t="s">
        <v>41</v>
      </c>
      <c r="AC5" s="50" t="s">
        <v>41</v>
      </c>
      <c r="AD5" s="16" t="s">
        <v>41</v>
      </c>
      <c r="AE5" s="16" t="s">
        <v>41</v>
      </c>
      <c r="AF5" s="16" t="s">
        <v>41</v>
      </c>
      <c r="AG5" s="16" t="s">
        <v>41</v>
      </c>
      <c r="AH5" s="16" t="s">
        <v>41</v>
      </c>
      <c r="AI5" s="16" t="s">
        <v>41</v>
      </c>
    </row>
    <row r="6" spans="1:35" ht="14.5" x14ac:dyDescent="0.35">
      <c r="A6" s="12">
        <v>3</v>
      </c>
      <c r="B6" s="13" t="s">
        <v>64</v>
      </c>
      <c r="C6" s="14">
        <v>301</v>
      </c>
      <c r="D6" s="15">
        <v>2</v>
      </c>
      <c r="E6" s="16" t="s">
        <v>41</v>
      </c>
      <c r="F6" s="16" t="s">
        <v>41</v>
      </c>
      <c r="G6" s="16" t="s">
        <v>41</v>
      </c>
      <c r="H6" s="16" t="s">
        <v>41</v>
      </c>
      <c r="I6" s="16" t="s">
        <v>41</v>
      </c>
      <c r="J6" s="16"/>
      <c r="K6" s="16" t="s">
        <v>41</v>
      </c>
      <c r="L6" s="16" t="s">
        <v>41</v>
      </c>
      <c r="M6" s="16" t="s">
        <v>41</v>
      </c>
      <c r="N6" s="16"/>
      <c r="O6" s="53" t="s">
        <v>3272</v>
      </c>
      <c r="P6" s="16"/>
      <c r="Q6" s="16" t="s">
        <v>41</v>
      </c>
      <c r="R6" s="16"/>
      <c r="S6" s="16" t="s">
        <v>41</v>
      </c>
      <c r="T6" s="16"/>
      <c r="U6" s="16" t="s">
        <v>41</v>
      </c>
      <c r="V6" s="16" t="s">
        <v>41</v>
      </c>
      <c r="W6" s="16" t="s">
        <v>41</v>
      </c>
      <c r="X6" s="16" t="s">
        <v>41</v>
      </c>
      <c r="Y6" s="16" t="s">
        <v>41</v>
      </c>
      <c r="Z6" s="36" t="s">
        <v>3275</v>
      </c>
      <c r="AA6" s="36" t="s">
        <v>3275</v>
      </c>
      <c r="AB6" s="50" t="s">
        <v>41</v>
      </c>
      <c r="AC6" s="50" t="s">
        <v>41</v>
      </c>
      <c r="AD6" s="16" t="s">
        <v>3273</v>
      </c>
      <c r="AE6" s="16" t="s">
        <v>3273</v>
      </c>
      <c r="AF6" s="16" t="s">
        <v>3273</v>
      </c>
      <c r="AG6" s="16" t="s">
        <v>3273</v>
      </c>
      <c r="AH6" s="16" t="s">
        <v>3273</v>
      </c>
      <c r="AI6" s="16" t="s">
        <v>3273</v>
      </c>
    </row>
    <row r="7" spans="1:35" ht="14.5" x14ac:dyDescent="0.35">
      <c r="A7" s="12">
        <v>4</v>
      </c>
      <c r="B7" s="13" t="s">
        <v>64</v>
      </c>
      <c r="C7" s="14">
        <v>401</v>
      </c>
      <c r="D7" s="15">
        <v>2</v>
      </c>
      <c r="E7" s="16" t="s">
        <v>41</v>
      </c>
      <c r="F7" s="16" t="s">
        <v>41</v>
      </c>
      <c r="G7" s="16" t="s">
        <v>41</v>
      </c>
      <c r="H7" s="16" t="s">
        <v>41</v>
      </c>
      <c r="I7" s="16" t="s">
        <v>41</v>
      </c>
      <c r="J7" s="16" t="s">
        <v>41</v>
      </c>
      <c r="K7" s="16" t="s">
        <v>41</v>
      </c>
      <c r="L7" s="16" t="s">
        <v>41</v>
      </c>
      <c r="M7" s="16" t="s">
        <v>41</v>
      </c>
      <c r="N7" s="16" t="s">
        <v>41</v>
      </c>
      <c r="O7" s="16" t="s">
        <v>41</v>
      </c>
      <c r="P7" s="16" t="s">
        <v>41</v>
      </c>
      <c r="Q7" s="16" t="s">
        <v>41</v>
      </c>
      <c r="R7" s="16" t="s">
        <v>41</v>
      </c>
      <c r="S7" s="16" t="s">
        <v>41</v>
      </c>
      <c r="T7" s="16" t="s">
        <v>41</v>
      </c>
      <c r="U7" s="16" t="s">
        <v>41</v>
      </c>
      <c r="V7" s="16" t="s">
        <v>41</v>
      </c>
      <c r="W7" s="16" t="s">
        <v>41</v>
      </c>
      <c r="X7" s="16" t="s">
        <v>41</v>
      </c>
      <c r="Y7" s="16" t="s">
        <v>41</v>
      </c>
      <c r="Z7" s="16" t="s">
        <v>41</v>
      </c>
      <c r="AA7" s="16" t="s">
        <v>41</v>
      </c>
      <c r="AB7" s="16" t="s">
        <v>41</v>
      </c>
      <c r="AC7" s="16" t="s">
        <v>41</v>
      </c>
      <c r="AD7" s="16" t="s">
        <v>41</v>
      </c>
      <c r="AE7" s="16" t="s">
        <v>41</v>
      </c>
      <c r="AF7" s="16" t="s">
        <v>41</v>
      </c>
      <c r="AG7" s="16" t="s">
        <v>41</v>
      </c>
      <c r="AH7" s="16" t="s">
        <v>41</v>
      </c>
      <c r="AI7" s="16" t="s">
        <v>41</v>
      </c>
    </row>
    <row r="8" spans="1:35" ht="14.5" x14ac:dyDescent="0.35">
      <c r="A8" s="12">
        <v>5</v>
      </c>
      <c r="B8" s="13" t="s">
        <v>64</v>
      </c>
      <c r="C8" s="14">
        <v>501</v>
      </c>
      <c r="D8" s="15">
        <v>2</v>
      </c>
      <c r="E8" s="16" t="s">
        <v>41</v>
      </c>
      <c r="F8" s="16" t="s">
        <v>41</v>
      </c>
      <c r="G8" s="16" t="s">
        <v>41</v>
      </c>
      <c r="H8" s="16" t="s">
        <v>41</v>
      </c>
      <c r="I8" s="16" t="s">
        <v>41</v>
      </c>
      <c r="J8" s="16" t="s">
        <v>41</v>
      </c>
      <c r="K8" s="16"/>
      <c r="L8" s="16" t="s">
        <v>3273</v>
      </c>
      <c r="M8" s="16" t="s">
        <v>3273</v>
      </c>
      <c r="N8" s="16" t="s">
        <v>3273</v>
      </c>
      <c r="O8" s="16" t="s">
        <v>41</v>
      </c>
      <c r="P8" s="16"/>
      <c r="Q8" s="16" t="s">
        <v>3273</v>
      </c>
      <c r="R8" s="16" t="s">
        <v>41</v>
      </c>
      <c r="S8" s="16" t="s">
        <v>3274</v>
      </c>
      <c r="T8" s="16" t="s">
        <v>3274</v>
      </c>
      <c r="U8" s="16" t="s">
        <v>3273</v>
      </c>
      <c r="V8" s="16" t="s">
        <v>3273</v>
      </c>
      <c r="W8" s="16" t="s">
        <v>3273</v>
      </c>
      <c r="X8" s="16" t="s">
        <v>3273</v>
      </c>
      <c r="Y8" s="16" t="s">
        <v>3273</v>
      </c>
      <c r="Z8" s="16"/>
      <c r="AA8" s="16" t="s">
        <v>3273</v>
      </c>
      <c r="AB8" s="16" t="s">
        <v>3273</v>
      </c>
      <c r="AC8" s="16" t="s">
        <v>3273</v>
      </c>
      <c r="AD8" s="16" t="s">
        <v>3273</v>
      </c>
      <c r="AE8" s="16" t="s">
        <v>3273</v>
      </c>
      <c r="AF8" s="16" t="s">
        <v>3273</v>
      </c>
      <c r="AG8" s="16" t="s">
        <v>3273</v>
      </c>
      <c r="AH8" s="16" t="s">
        <v>3273</v>
      </c>
      <c r="AI8" s="16" t="s">
        <v>3273</v>
      </c>
    </row>
    <row r="9" spans="1:35" ht="14.5" x14ac:dyDescent="0.35">
      <c r="A9" s="12">
        <v>6</v>
      </c>
      <c r="B9" s="13" t="s">
        <v>64</v>
      </c>
      <c r="C9" s="14">
        <v>601</v>
      </c>
      <c r="D9" s="15">
        <v>2</v>
      </c>
      <c r="E9" s="16" t="s">
        <v>3273</v>
      </c>
      <c r="F9" s="16" t="s">
        <v>3273</v>
      </c>
      <c r="G9" s="16" t="s">
        <v>3273</v>
      </c>
      <c r="H9" s="16" t="s">
        <v>3273</v>
      </c>
      <c r="I9" s="16" t="s">
        <v>3273</v>
      </c>
      <c r="J9" s="16" t="s">
        <v>3273</v>
      </c>
      <c r="K9" s="16" t="s">
        <v>3273</v>
      </c>
      <c r="L9" s="16" t="s">
        <v>3273</v>
      </c>
      <c r="M9" s="16" t="s">
        <v>3273</v>
      </c>
      <c r="N9" s="16" t="s">
        <v>3273</v>
      </c>
      <c r="O9" s="16" t="s">
        <v>3273</v>
      </c>
      <c r="P9" s="43" t="s">
        <v>41</v>
      </c>
      <c r="Q9" s="16" t="s">
        <v>41</v>
      </c>
      <c r="R9" s="16" t="s">
        <v>41</v>
      </c>
      <c r="S9" s="16" t="s">
        <v>3273</v>
      </c>
      <c r="T9" s="16" t="s">
        <v>41</v>
      </c>
      <c r="U9" s="16" t="s">
        <v>41</v>
      </c>
      <c r="V9" s="16" t="s">
        <v>41</v>
      </c>
      <c r="W9" s="16" t="s">
        <v>41</v>
      </c>
      <c r="X9" s="16" t="s">
        <v>41</v>
      </c>
      <c r="Y9" s="16" t="s">
        <v>41</v>
      </c>
      <c r="Z9" s="16"/>
      <c r="AA9" s="16"/>
      <c r="AB9" s="16"/>
      <c r="AC9" s="16" t="s">
        <v>41</v>
      </c>
      <c r="AD9" s="16" t="s">
        <v>41</v>
      </c>
      <c r="AE9" s="16" t="s">
        <v>41</v>
      </c>
      <c r="AF9" s="16" t="s">
        <v>41</v>
      </c>
      <c r="AG9" s="16" t="s">
        <v>41</v>
      </c>
      <c r="AH9" s="16" t="s">
        <v>3273</v>
      </c>
      <c r="AI9" s="16" t="s">
        <v>3273</v>
      </c>
    </row>
    <row r="10" spans="1:35" ht="14.5" x14ac:dyDescent="0.35">
      <c r="A10" s="18">
        <v>7</v>
      </c>
      <c r="B10" s="19" t="s">
        <v>59</v>
      </c>
      <c r="C10" s="20">
        <v>102</v>
      </c>
      <c r="D10" s="15">
        <v>2</v>
      </c>
      <c r="E10" s="64" t="s">
        <v>3275</v>
      </c>
      <c r="F10" s="64" t="s">
        <v>3275</v>
      </c>
      <c r="G10" s="16"/>
      <c r="H10" s="16" t="s">
        <v>41</v>
      </c>
      <c r="I10" s="16" t="s">
        <v>41</v>
      </c>
      <c r="J10" s="16" t="s">
        <v>41</v>
      </c>
      <c r="K10" s="16"/>
      <c r="L10" s="55" t="s">
        <v>41</v>
      </c>
      <c r="M10" s="55" t="s">
        <v>41</v>
      </c>
      <c r="N10" s="16"/>
      <c r="O10" s="53" t="s">
        <v>3272</v>
      </c>
      <c r="P10" s="16"/>
      <c r="Q10" s="16" t="s">
        <v>41</v>
      </c>
      <c r="R10" s="16" t="s">
        <v>41</v>
      </c>
      <c r="S10" s="16"/>
      <c r="T10" s="16" t="s">
        <v>41</v>
      </c>
      <c r="U10" s="16"/>
      <c r="V10" s="16"/>
      <c r="W10" s="16" t="s">
        <v>41</v>
      </c>
      <c r="X10" s="16" t="s">
        <v>41</v>
      </c>
      <c r="Y10" s="16" t="s">
        <v>41</v>
      </c>
      <c r="Z10" s="16" t="s">
        <v>41</v>
      </c>
      <c r="AA10" s="16"/>
      <c r="AB10" s="16" t="s">
        <v>41</v>
      </c>
      <c r="AC10" s="16" t="s">
        <v>41</v>
      </c>
      <c r="AD10" s="16" t="s">
        <v>41</v>
      </c>
      <c r="AE10" s="16" t="s">
        <v>41</v>
      </c>
      <c r="AF10" s="16" t="s">
        <v>41</v>
      </c>
      <c r="AG10" s="16" t="s">
        <v>41</v>
      </c>
      <c r="AH10" s="16"/>
      <c r="AI10" s="16" t="s">
        <v>41</v>
      </c>
    </row>
    <row r="11" spans="1:35" ht="14.5" x14ac:dyDescent="0.35">
      <c r="A11" s="18">
        <v>8</v>
      </c>
      <c r="B11" s="19" t="s">
        <v>59</v>
      </c>
      <c r="C11" s="20">
        <v>202</v>
      </c>
      <c r="D11" s="15">
        <v>2</v>
      </c>
      <c r="E11" s="16" t="s">
        <v>41</v>
      </c>
      <c r="F11" s="16" t="s">
        <v>41</v>
      </c>
      <c r="G11" s="54" t="s">
        <v>41</v>
      </c>
      <c r="H11" s="54" t="s">
        <v>41</v>
      </c>
      <c r="I11" s="54" t="s">
        <v>41</v>
      </c>
      <c r="J11" s="16" t="s">
        <v>41</v>
      </c>
      <c r="K11" s="16" t="s">
        <v>41</v>
      </c>
      <c r="L11" s="16" t="s">
        <v>41</v>
      </c>
      <c r="M11" s="16"/>
      <c r="N11" s="16"/>
      <c r="O11" s="65" t="s">
        <v>41</v>
      </c>
      <c r="P11" s="16" t="s">
        <v>41</v>
      </c>
      <c r="Q11" s="16" t="s">
        <v>41</v>
      </c>
      <c r="R11" s="16"/>
      <c r="S11" s="16"/>
      <c r="T11" s="16"/>
      <c r="U11" s="16"/>
      <c r="V11" s="61" t="s">
        <v>41</v>
      </c>
      <c r="W11" s="61" t="s">
        <v>41</v>
      </c>
      <c r="X11" s="61" t="s">
        <v>41</v>
      </c>
      <c r="Y11" s="61" t="s">
        <v>41</v>
      </c>
      <c r="Z11" s="36" t="s">
        <v>3275</v>
      </c>
      <c r="AA11" s="16" t="s">
        <v>41</v>
      </c>
      <c r="AB11" s="50" t="s">
        <v>41</v>
      </c>
      <c r="AC11" s="50" t="s">
        <v>41</v>
      </c>
      <c r="AD11" s="16" t="s">
        <v>41</v>
      </c>
      <c r="AE11" s="16" t="s">
        <v>3271</v>
      </c>
      <c r="AF11" s="16" t="s">
        <v>3271</v>
      </c>
      <c r="AG11" s="16" t="s">
        <v>3271</v>
      </c>
      <c r="AH11" s="16"/>
      <c r="AI11" s="16" t="s">
        <v>41</v>
      </c>
    </row>
    <row r="12" spans="1:35" ht="14.5" x14ac:dyDescent="0.35">
      <c r="A12" s="18">
        <v>9</v>
      </c>
      <c r="B12" s="19" t="s">
        <v>59</v>
      </c>
      <c r="C12" s="20">
        <v>302</v>
      </c>
      <c r="D12" s="15">
        <v>2</v>
      </c>
      <c r="E12" s="16" t="s">
        <v>41</v>
      </c>
      <c r="F12" s="16" t="s">
        <v>41</v>
      </c>
      <c r="G12" s="16" t="s">
        <v>41</v>
      </c>
      <c r="H12" s="16" t="s">
        <v>41</v>
      </c>
      <c r="I12" s="16" t="s">
        <v>41</v>
      </c>
      <c r="J12" s="16" t="s">
        <v>41</v>
      </c>
      <c r="K12" s="16" t="s">
        <v>41</v>
      </c>
      <c r="L12" s="16"/>
      <c r="M12" s="16" t="s">
        <v>41</v>
      </c>
      <c r="N12" s="16"/>
      <c r="O12" s="16" t="s">
        <v>3273</v>
      </c>
      <c r="P12" s="16" t="s">
        <v>3273</v>
      </c>
      <c r="Q12" s="16" t="s">
        <v>3273</v>
      </c>
      <c r="R12" s="16" t="s">
        <v>3273</v>
      </c>
      <c r="S12" s="16"/>
      <c r="T12" s="16"/>
      <c r="U12" s="16" t="s">
        <v>3273</v>
      </c>
      <c r="V12" s="16"/>
      <c r="W12" s="16" t="s">
        <v>41</v>
      </c>
      <c r="X12" s="27" t="s">
        <v>3272</v>
      </c>
      <c r="Y12" s="16"/>
      <c r="Z12" s="36" t="s">
        <v>3275</v>
      </c>
      <c r="AA12" s="36" t="s">
        <v>3275</v>
      </c>
      <c r="AB12" s="50" t="s">
        <v>41</v>
      </c>
      <c r="AC12" s="50" t="s">
        <v>41</v>
      </c>
      <c r="AD12" s="27" t="s">
        <v>3272</v>
      </c>
      <c r="AE12" s="16" t="s">
        <v>41</v>
      </c>
      <c r="AF12" s="16" t="s">
        <v>41</v>
      </c>
      <c r="AG12" s="16"/>
      <c r="AH12" s="16"/>
      <c r="AI12" s="16" t="s">
        <v>41</v>
      </c>
    </row>
    <row r="13" spans="1:35" ht="14.5" x14ac:dyDescent="0.35">
      <c r="A13" s="18">
        <v>10</v>
      </c>
      <c r="B13" s="19" t="s">
        <v>59</v>
      </c>
      <c r="C13" s="20">
        <v>402</v>
      </c>
      <c r="D13" s="15">
        <v>2</v>
      </c>
      <c r="E13" s="64" t="s">
        <v>3275</v>
      </c>
      <c r="F13" s="64" t="s">
        <v>3275</v>
      </c>
      <c r="G13" s="16"/>
      <c r="H13" s="16" t="s">
        <v>41</v>
      </c>
      <c r="I13" s="16"/>
      <c r="J13" s="16"/>
      <c r="K13" s="16"/>
      <c r="L13" s="66" t="s">
        <v>41</v>
      </c>
      <c r="M13" s="66" t="s">
        <v>41</v>
      </c>
      <c r="N13" s="66" t="s">
        <v>41</v>
      </c>
      <c r="O13" s="53" t="s">
        <v>3272</v>
      </c>
      <c r="P13" s="16"/>
      <c r="Q13" s="67" t="s">
        <v>3272</v>
      </c>
      <c r="R13" s="16"/>
      <c r="S13" s="16"/>
      <c r="T13" s="16"/>
      <c r="U13" s="16"/>
      <c r="V13" s="16" t="s">
        <v>41</v>
      </c>
      <c r="W13" s="16" t="s">
        <v>41</v>
      </c>
      <c r="X13" s="16" t="s">
        <v>41</v>
      </c>
      <c r="Y13" s="16" t="s">
        <v>41</v>
      </c>
      <c r="Z13" s="36" t="s">
        <v>3275</v>
      </c>
      <c r="AA13" s="36" t="s">
        <v>3275</v>
      </c>
      <c r="AB13" s="50" t="s">
        <v>41</v>
      </c>
      <c r="AC13" s="16"/>
      <c r="AD13" s="44" t="s">
        <v>41</v>
      </c>
      <c r="AE13" s="44" t="s">
        <v>41</v>
      </c>
      <c r="AF13" s="44" t="s">
        <v>41</v>
      </c>
      <c r="AG13" s="27" t="s">
        <v>3272</v>
      </c>
      <c r="AH13" s="16"/>
      <c r="AI13" s="16" t="s">
        <v>41</v>
      </c>
    </row>
    <row r="14" spans="1:35" ht="14.5" x14ac:dyDescent="0.35">
      <c r="A14" s="21">
        <v>11</v>
      </c>
      <c r="B14" s="22" t="s">
        <v>71</v>
      </c>
      <c r="C14" s="23">
        <v>502</v>
      </c>
      <c r="D14" s="15">
        <v>2</v>
      </c>
      <c r="E14" s="64" t="s">
        <v>3275</v>
      </c>
      <c r="F14" s="64" t="s">
        <v>3275</v>
      </c>
      <c r="G14" s="16"/>
      <c r="H14" s="16" t="s">
        <v>41</v>
      </c>
      <c r="I14" s="16" t="s">
        <v>41</v>
      </c>
      <c r="J14" s="16" t="s">
        <v>41</v>
      </c>
      <c r="K14" s="16"/>
      <c r="L14" s="16" t="s">
        <v>41</v>
      </c>
      <c r="M14" s="16" t="s">
        <v>3274</v>
      </c>
      <c r="N14" s="16" t="s">
        <v>3274</v>
      </c>
      <c r="O14" s="16" t="s">
        <v>3274</v>
      </c>
      <c r="P14" s="16" t="s">
        <v>3274</v>
      </c>
      <c r="Q14" s="16" t="s">
        <v>3274</v>
      </c>
      <c r="R14" s="16" t="s">
        <v>3273</v>
      </c>
      <c r="S14" s="16" t="s">
        <v>3273</v>
      </c>
      <c r="T14" s="16" t="s">
        <v>3273</v>
      </c>
      <c r="U14" s="16" t="s">
        <v>3274</v>
      </c>
      <c r="V14" s="16"/>
      <c r="W14" s="16" t="s">
        <v>41</v>
      </c>
      <c r="X14" s="16" t="s">
        <v>41</v>
      </c>
      <c r="Y14" s="16" t="s">
        <v>41</v>
      </c>
      <c r="Z14" s="16"/>
      <c r="AA14" s="16"/>
      <c r="AB14" s="50" t="s">
        <v>41</v>
      </c>
      <c r="AC14" s="50" t="s">
        <v>41</v>
      </c>
      <c r="AD14" s="16" t="s">
        <v>41</v>
      </c>
      <c r="AE14" s="16" t="s">
        <v>41</v>
      </c>
      <c r="AF14" s="16" t="s">
        <v>41</v>
      </c>
      <c r="AG14" s="16" t="s">
        <v>41</v>
      </c>
      <c r="AH14" s="16"/>
      <c r="AI14" s="16" t="s">
        <v>41</v>
      </c>
    </row>
    <row r="15" spans="1:35" ht="14.5" x14ac:dyDescent="0.35">
      <c r="A15" s="21">
        <v>12</v>
      </c>
      <c r="B15" s="22" t="s">
        <v>71</v>
      </c>
      <c r="C15" s="23">
        <v>602</v>
      </c>
      <c r="D15" s="15">
        <v>2</v>
      </c>
      <c r="E15" s="16" t="s">
        <v>41</v>
      </c>
      <c r="F15" s="16" t="s">
        <v>3275</v>
      </c>
      <c r="G15" s="16"/>
      <c r="H15" s="16"/>
      <c r="I15" s="16" t="s">
        <v>41</v>
      </c>
      <c r="J15" s="16" t="s">
        <v>41</v>
      </c>
      <c r="K15" s="16"/>
      <c r="L15" s="16"/>
      <c r="M15" s="16"/>
      <c r="N15" s="16" t="s">
        <v>41</v>
      </c>
      <c r="O15" s="53" t="s">
        <v>3272</v>
      </c>
      <c r="P15" s="43" t="s">
        <v>41</v>
      </c>
      <c r="Q15" s="67" t="s">
        <v>3272</v>
      </c>
      <c r="R15" s="16"/>
      <c r="S15" s="16" t="s">
        <v>41</v>
      </c>
      <c r="T15" s="16" t="s">
        <v>41</v>
      </c>
      <c r="U15" s="16"/>
      <c r="V15" s="16" t="s">
        <v>41</v>
      </c>
      <c r="W15" s="16" t="s">
        <v>41</v>
      </c>
      <c r="X15" s="16" t="s">
        <v>41</v>
      </c>
      <c r="Y15" s="16" t="s">
        <v>41</v>
      </c>
      <c r="Z15" s="16" t="s">
        <v>41</v>
      </c>
      <c r="AA15" s="16" t="s">
        <v>41</v>
      </c>
      <c r="AB15" s="21" t="s">
        <v>41</v>
      </c>
      <c r="AC15" s="21" t="s">
        <v>41</v>
      </c>
      <c r="AD15" s="16"/>
      <c r="AE15" s="16" t="s">
        <v>41</v>
      </c>
      <c r="AF15" s="16" t="s">
        <v>41</v>
      </c>
      <c r="AG15" s="16" t="s">
        <v>41</v>
      </c>
      <c r="AH15" s="16"/>
      <c r="AI15" s="16"/>
    </row>
    <row r="16" spans="1:35" ht="14.5" x14ac:dyDescent="0.35">
      <c r="A16" s="21">
        <v>13</v>
      </c>
      <c r="B16" s="22" t="s">
        <v>71</v>
      </c>
      <c r="C16" s="23">
        <v>702</v>
      </c>
      <c r="D16" s="15">
        <v>2</v>
      </c>
      <c r="E16" s="16"/>
      <c r="F16" s="16"/>
      <c r="G16" s="16"/>
      <c r="H16" s="16"/>
      <c r="I16" s="16"/>
      <c r="J16" s="16" t="s">
        <v>3274</v>
      </c>
      <c r="K16" s="16" t="s">
        <v>3272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 t="s">
        <v>41</v>
      </c>
      <c r="Z16" s="16"/>
      <c r="AA16" s="16"/>
      <c r="AB16" s="16" t="s">
        <v>41</v>
      </c>
      <c r="AC16" s="16" t="s">
        <v>41</v>
      </c>
      <c r="AD16" s="16"/>
      <c r="AE16" s="58" t="s">
        <v>41</v>
      </c>
      <c r="AF16" s="16" t="s">
        <v>41</v>
      </c>
      <c r="AG16" s="16"/>
      <c r="AH16" s="16"/>
      <c r="AI16" s="16"/>
    </row>
    <row r="17" spans="1:35" ht="14.5" x14ac:dyDescent="0.35">
      <c r="A17" s="24">
        <v>14</v>
      </c>
      <c r="B17" s="25" t="s">
        <v>29</v>
      </c>
      <c r="C17" s="26">
        <v>103</v>
      </c>
      <c r="D17" s="15">
        <v>2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 t="s">
        <v>41</v>
      </c>
      <c r="S17" s="16" t="s">
        <v>41</v>
      </c>
      <c r="T17" s="16" t="s">
        <v>41</v>
      </c>
      <c r="U17" s="16" t="s">
        <v>41</v>
      </c>
      <c r="V17" s="16" t="s">
        <v>41</v>
      </c>
      <c r="W17" s="16"/>
      <c r="X17" s="16"/>
      <c r="Y17" s="16" t="s">
        <v>41</v>
      </c>
      <c r="Z17" s="36" t="s">
        <v>3275</v>
      </c>
      <c r="AA17" s="36" t="s">
        <v>3275</v>
      </c>
      <c r="AB17" s="50" t="s">
        <v>41</v>
      </c>
      <c r="AC17" s="50" t="s">
        <v>41</v>
      </c>
      <c r="AD17" s="16"/>
      <c r="AE17" s="16"/>
      <c r="AF17" s="16"/>
      <c r="AG17" s="16"/>
      <c r="AH17" s="16"/>
      <c r="AI17" s="16"/>
    </row>
    <row r="18" spans="1:35" ht="14.5" x14ac:dyDescent="0.35">
      <c r="A18" s="24">
        <v>15</v>
      </c>
      <c r="B18" s="25" t="s">
        <v>29</v>
      </c>
      <c r="C18" s="26">
        <v>203</v>
      </c>
      <c r="D18" s="15">
        <v>2</v>
      </c>
      <c r="E18" s="16" t="s">
        <v>3274</v>
      </c>
      <c r="F18" s="16"/>
      <c r="G18" s="16"/>
      <c r="H18" s="16"/>
      <c r="I18" s="16" t="s">
        <v>41</v>
      </c>
      <c r="J18" s="16" t="s">
        <v>41</v>
      </c>
      <c r="K18" s="16" t="s">
        <v>41</v>
      </c>
      <c r="L18" s="16" t="s">
        <v>41</v>
      </c>
      <c r="M18" s="16" t="s">
        <v>41</v>
      </c>
      <c r="N18" s="16" t="s">
        <v>41</v>
      </c>
      <c r="O18" s="65" t="s">
        <v>41</v>
      </c>
      <c r="P18" s="16" t="s">
        <v>41</v>
      </c>
      <c r="Q18" s="16" t="s">
        <v>41</v>
      </c>
      <c r="R18" s="16" t="s">
        <v>41</v>
      </c>
      <c r="S18" s="16" t="s">
        <v>41</v>
      </c>
      <c r="T18" s="16" t="s">
        <v>41</v>
      </c>
      <c r="U18" s="16"/>
      <c r="V18" s="16"/>
      <c r="W18" s="16"/>
      <c r="X18" s="16"/>
      <c r="Y18" s="16"/>
      <c r="Z18" s="36" t="s">
        <v>3275</v>
      </c>
      <c r="AA18" s="36" t="s">
        <v>3275</v>
      </c>
      <c r="AB18" s="16"/>
      <c r="AC18" s="16"/>
      <c r="AD18" s="16"/>
      <c r="AE18" s="16" t="s">
        <v>41</v>
      </c>
      <c r="AF18" s="16"/>
      <c r="AG18" s="16"/>
      <c r="AH18" s="16"/>
      <c r="AI18" s="16"/>
    </row>
    <row r="19" spans="1:35" ht="14.5" x14ac:dyDescent="0.35">
      <c r="A19" s="24">
        <v>16</v>
      </c>
      <c r="B19" s="25" t="s">
        <v>29</v>
      </c>
      <c r="C19" s="26">
        <v>303</v>
      </c>
      <c r="D19" s="15">
        <v>2</v>
      </c>
      <c r="E19" s="68" t="s">
        <v>41</v>
      </c>
      <c r="F19" s="16"/>
      <c r="G19" s="16"/>
      <c r="H19" s="16"/>
      <c r="I19" s="16" t="s">
        <v>41</v>
      </c>
      <c r="J19" s="16" t="s">
        <v>41</v>
      </c>
      <c r="K19" s="16" t="s">
        <v>41</v>
      </c>
      <c r="L19" s="16" t="s">
        <v>41</v>
      </c>
      <c r="M19" s="16" t="s">
        <v>41</v>
      </c>
      <c r="N19" s="16" t="s">
        <v>41</v>
      </c>
      <c r="O19" s="16" t="s">
        <v>41</v>
      </c>
      <c r="P19" s="16" t="s">
        <v>41</v>
      </c>
      <c r="Q19" s="16" t="s">
        <v>41</v>
      </c>
      <c r="R19" s="16" t="s">
        <v>41</v>
      </c>
      <c r="S19" s="16" t="s">
        <v>41</v>
      </c>
      <c r="T19" s="16" t="s">
        <v>41</v>
      </c>
      <c r="U19" s="16" t="s">
        <v>41</v>
      </c>
      <c r="V19" s="16" t="s">
        <v>41</v>
      </c>
      <c r="W19" s="16" t="s">
        <v>41</v>
      </c>
      <c r="X19" s="16" t="s">
        <v>41</v>
      </c>
      <c r="Y19" s="16" t="s">
        <v>41</v>
      </c>
      <c r="Z19" s="16" t="s">
        <v>41</v>
      </c>
      <c r="AA19" s="16" t="s">
        <v>41</v>
      </c>
      <c r="AB19" s="16" t="s">
        <v>41</v>
      </c>
      <c r="AC19" s="16" t="s">
        <v>41</v>
      </c>
      <c r="AD19" s="16"/>
      <c r="AE19" s="16"/>
      <c r="AF19" s="16"/>
      <c r="AG19" s="16"/>
      <c r="AH19" s="16"/>
      <c r="AI19" s="16"/>
    </row>
    <row r="20" spans="1:35" ht="14.5" x14ac:dyDescent="0.35">
      <c r="A20" s="24">
        <v>17</v>
      </c>
      <c r="B20" s="25" t="s">
        <v>29</v>
      </c>
      <c r="C20" s="26">
        <v>403</v>
      </c>
      <c r="D20" s="15">
        <v>2</v>
      </c>
      <c r="E20" s="16"/>
      <c r="F20" s="16" t="s">
        <v>41</v>
      </c>
      <c r="G20" s="16" t="s">
        <v>41</v>
      </c>
      <c r="H20" s="16" t="s">
        <v>41</v>
      </c>
      <c r="I20" s="16" t="s">
        <v>41</v>
      </c>
      <c r="J20" s="16" t="s">
        <v>41</v>
      </c>
      <c r="K20" s="16"/>
      <c r="L20" s="66" t="s">
        <v>41</v>
      </c>
      <c r="M20" s="66" t="s">
        <v>41</v>
      </c>
      <c r="N20" s="66" t="s">
        <v>41</v>
      </c>
      <c r="O20" s="16" t="s">
        <v>41</v>
      </c>
      <c r="P20" s="16" t="s">
        <v>41</v>
      </c>
      <c r="Q20" s="67" t="s">
        <v>3272</v>
      </c>
      <c r="R20" s="16" t="s">
        <v>41</v>
      </c>
      <c r="S20" s="16" t="s">
        <v>41</v>
      </c>
      <c r="T20" s="16" t="s">
        <v>3273</v>
      </c>
      <c r="U20" s="16" t="s">
        <v>3273</v>
      </c>
      <c r="V20" s="16" t="s">
        <v>41</v>
      </c>
      <c r="W20" s="16"/>
      <c r="X20" s="16"/>
      <c r="Y20" s="16" t="s">
        <v>41</v>
      </c>
      <c r="Z20" s="16" t="s">
        <v>41</v>
      </c>
      <c r="AA20" s="16" t="s">
        <v>41</v>
      </c>
      <c r="AB20" s="16"/>
      <c r="AC20" s="16" t="s">
        <v>41</v>
      </c>
      <c r="AD20" s="44" t="s">
        <v>41</v>
      </c>
      <c r="AE20" s="44" t="s">
        <v>41</v>
      </c>
      <c r="AF20" s="44" t="s">
        <v>41</v>
      </c>
      <c r="AG20" s="16"/>
      <c r="AH20" s="16"/>
      <c r="AI20" s="16"/>
    </row>
    <row r="21" spans="1:35" ht="15.75" customHeight="1" x14ac:dyDescent="0.35">
      <c r="A21" s="24">
        <v>18</v>
      </c>
      <c r="B21" s="25" t="s">
        <v>29</v>
      </c>
      <c r="C21" s="26">
        <v>503</v>
      </c>
      <c r="D21" s="15">
        <v>2</v>
      </c>
      <c r="E21" s="68" t="s">
        <v>41</v>
      </c>
      <c r="F21" s="16"/>
      <c r="G21" s="16" t="s">
        <v>41</v>
      </c>
      <c r="H21" s="16"/>
      <c r="I21" s="16" t="s">
        <v>3273</v>
      </c>
      <c r="J21" s="16" t="s">
        <v>3273</v>
      </c>
      <c r="K21" s="16" t="s">
        <v>3273</v>
      </c>
      <c r="L21" s="16" t="s">
        <v>41</v>
      </c>
      <c r="M21" s="16" t="s">
        <v>41</v>
      </c>
      <c r="N21" s="16" t="s">
        <v>41</v>
      </c>
      <c r="O21" s="16" t="s">
        <v>41</v>
      </c>
      <c r="P21" s="16" t="s">
        <v>41</v>
      </c>
      <c r="Q21" s="16" t="s">
        <v>41</v>
      </c>
      <c r="R21" s="16" t="s">
        <v>41</v>
      </c>
      <c r="S21" s="16"/>
      <c r="T21" s="46" t="s">
        <v>41</v>
      </c>
      <c r="U21" s="16" t="s">
        <v>3273</v>
      </c>
      <c r="V21" s="16"/>
      <c r="W21" s="16" t="s">
        <v>41</v>
      </c>
      <c r="X21" s="16" t="s">
        <v>3275</v>
      </c>
      <c r="Y21" s="16" t="s">
        <v>3273</v>
      </c>
      <c r="Z21" s="16"/>
      <c r="AA21" s="16" t="s">
        <v>41</v>
      </c>
      <c r="AB21" s="16" t="s">
        <v>41</v>
      </c>
      <c r="AC21" s="16" t="s">
        <v>41</v>
      </c>
      <c r="AD21" s="16"/>
      <c r="AE21" s="58" t="s">
        <v>41</v>
      </c>
      <c r="AF21" s="16"/>
      <c r="AG21" s="64" t="s">
        <v>41</v>
      </c>
      <c r="AH21" s="64" t="s">
        <v>41</v>
      </c>
      <c r="AI21" s="16"/>
    </row>
    <row r="22" spans="1:35" ht="15.75" customHeight="1" x14ac:dyDescent="0.35">
      <c r="A22" s="24">
        <v>19</v>
      </c>
      <c r="B22" s="25" t="s">
        <v>29</v>
      </c>
      <c r="C22" s="26">
        <v>603</v>
      </c>
      <c r="D22" s="15">
        <v>2</v>
      </c>
      <c r="E22" s="16" t="s">
        <v>41</v>
      </c>
      <c r="F22" s="16" t="s">
        <v>41</v>
      </c>
      <c r="G22" s="16" t="s">
        <v>41</v>
      </c>
      <c r="H22" s="16" t="s">
        <v>41</v>
      </c>
      <c r="I22" s="16" t="s">
        <v>41</v>
      </c>
      <c r="J22" s="16" t="s">
        <v>41</v>
      </c>
      <c r="K22" s="16" t="s">
        <v>41</v>
      </c>
      <c r="L22" s="16" t="s">
        <v>41</v>
      </c>
      <c r="M22" s="16" t="s">
        <v>41</v>
      </c>
      <c r="N22" s="16" t="s">
        <v>41</v>
      </c>
      <c r="O22" s="16" t="s">
        <v>41</v>
      </c>
      <c r="P22" s="16" t="s">
        <v>41</v>
      </c>
      <c r="Q22" s="16" t="s">
        <v>3273</v>
      </c>
      <c r="R22" s="16" t="s">
        <v>3273</v>
      </c>
      <c r="S22" s="16" t="s">
        <v>3273</v>
      </c>
      <c r="T22" s="46" t="s">
        <v>41</v>
      </c>
      <c r="U22" s="16"/>
      <c r="V22" s="16" t="s">
        <v>41</v>
      </c>
      <c r="W22" s="16" t="s">
        <v>41</v>
      </c>
      <c r="X22" s="16" t="s">
        <v>3273</v>
      </c>
      <c r="Y22" s="16" t="s">
        <v>3273</v>
      </c>
      <c r="Z22" s="16"/>
      <c r="AA22" s="16"/>
      <c r="AB22" s="21" t="s">
        <v>41</v>
      </c>
      <c r="AC22" s="21" t="s">
        <v>41</v>
      </c>
      <c r="AD22" s="16"/>
      <c r="AE22" s="58" t="s">
        <v>41</v>
      </c>
      <c r="AF22" s="58" t="s">
        <v>41</v>
      </c>
      <c r="AG22" s="64" t="s">
        <v>41</v>
      </c>
      <c r="AH22" s="64" t="s">
        <v>41</v>
      </c>
      <c r="AI22" s="16"/>
    </row>
    <row r="23" spans="1:35" ht="15.75" customHeight="1" x14ac:dyDescent="0.35">
      <c r="A23" s="24">
        <v>20</v>
      </c>
      <c r="B23" s="25" t="s">
        <v>29</v>
      </c>
      <c r="C23" s="26">
        <v>703</v>
      </c>
      <c r="D23" s="15">
        <v>2</v>
      </c>
      <c r="E23" s="16"/>
      <c r="F23" s="16"/>
      <c r="G23" s="16"/>
      <c r="H23" s="16" t="s">
        <v>41</v>
      </c>
      <c r="I23" s="16" t="s">
        <v>41</v>
      </c>
      <c r="J23" s="16" t="s">
        <v>41</v>
      </c>
      <c r="K23" s="16" t="s">
        <v>41</v>
      </c>
      <c r="L23" s="16"/>
      <c r="M23" s="16"/>
      <c r="N23" s="16"/>
      <c r="O23" s="16" t="s">
        <v>41</v>
      </c>
      <c r="P23" s="16"/>
      <c r="Q23" s="16" t="s">
        <v>41</v>
      </c>
      <c r="R23" s="16" t="s">
        <v>41</v>
      </c>
      <c r="S23" s="16" t="s">
        <v>41</v>
      </c>
      <c r="T23" s="16" t="s">
        <v>41</v>
      </c>
      <c r="U23" s="16" t="s">
        <v>41</v>
      </c>
      <c r="V23" s="16" t="s">
        <v>41</v>
      </c>
      <c r="W23" s="16" t="s">
        <v>41</v>
      </c>
      <c r="X23" s="16" t="s">
        <v>41</v>
      </c>
      <c r="Y23" s="16" t="s">
        <v>41</v>
      </c>
      <c r="Z23" s="16"/>
      <c r="AA23" s="16"/>
      <c r="AB23" s="16"/>
      <c r="AC23" s="16" t="s">
        <v>41</v>
      </c>
      <c r="AD23" s="16"/>
      <c r="AE23" s="58" t="s">
        <v>41</v>
      </c>
      <c r="AF23" s="58" t="s">
        <v>41</v>
      </c>
      <c r="AG23" s="16"/>
      <c r="AH23" s="16"/>
      <c r="AI23" s="16"/>
    </row>
    <row r="24" spans="1:35" ht="15.75" customHeight="1" x14ac:dyDescent="0.35">
      <c r="A24" s="27">
        <v>21</v>
      </c>
      <c r="B24" s="28" t="s">
        <v>232</v>
      </c>
      <c r="C24" s="28" t="s">
        <v>232</v>
      </c>
      <c r="D24" s="15">
        <v>1</v>
      </c>
      <c r="E24" s="16" t="s">
        <v>3276</v>
      </c>
      <c r="F24" s="16" t="s">
        <v>3276</v>
      </c>
      <c r="G24" s="16" t="s">
        <v>3276</v>
      </c>
      <c r="H24" s="16" t="s">
        <v>3276</v>
      </c>
      <c r="I24" s="16" t="s">
        <v>3276</v>
      </c>
      <c r="J24" s="16" t="s">
        <v>3276</v>
      </c>
      <c r="K24" s="16" t="s">
        <v>3276</v>
      </c>
      <c r="L24" s="16" t="s">
        <v>3276</v>
      </c>
      <c r="M24" s="16" t="s">
        <v>3276</v>
      </c>
      <c r="N24" s="16" t="s">
        <v>3276</v>
      </c>
      <c r="O24" s="16" t="s">
        <v>3276</v>
      </c>
      <c r="P24" s="16" t="s">
        <v>3276</v>
      </c>
      <c r="Q24" s="16" t="s">
        <v>3276</v>
      </c>
      <c r="R24" s="16" t="s">
        <v>3276</v>
      </c>
      <c r="S24" s="16" t="s">
        <v>3276</v>
      </c>
      <c r="T24" s="16" t="s">
        <v>3276</v>
      </c>
      <c r="U24" s="16" t="s">
        <v>3276</v>
      </c>
      <c r="V24" s="16" t="s">
        <v>3276</v>
      </c>
      <c r="W24" s="16" t="s">
        <v>3276</v>
      </c>
      <c r="X24" s="16" t="s">
        <v>3276</v>
      </c>
      <c r="Y24" s="16" t="s">
        <v>3276</v>
      </c>
      <c r="Z24" s="16" t="s">
        <v>3276</v>
      </c>
      <c r="AA24" s="16" t="s">
        <v>3276</v>
      </c>
      <c r="AB24" s="16" t="s">
        <v>3276</v>
      </c>
      <c r="AC24" s="16" t="s">
        <v>3276</v>
      </c>
      <c r="AD24" s="16" t="s">
        <v>3276</v>
      </c>
      <c r="AE24" s="16" t="s">
        <v>3276</v>
      </c>
      <c r="AF24" s="16" t="s">
        <v>3276</v>
      </c>
      <c r="AG24" s="16" t="s">
        <v>3276</v>
      </c>
      <c r="AH24" s="16" t="s">
        <v>3276</v>
      </c>
      <c r="AI24" s="16" t="s">
        <v>3276</v>
      </c>
    </row>
    <row r="25" spans="1:35" ht="15.75" customHeight="1" x14ac:dyDescent="0.35">
      <c r="D25" s="10"/>
    </row>
    <row r="26" spans="1:35" ht="15.75" customHeight="1" x14ac:dyDescent="0.35">
      <c r="D26" s="10"/>
    </row>
    <row r="27" spans="1:35" ht="15.75" customHeight="1" x14ac:dyDescent="0.35">
      <c r="D27" s="10"/>
      <c r="G27" s="133" t="s">
        <v>3277</v>
      </c>
      <c r="H27" s="127"/>
      <c r="I27" s="127"/>
      <c r="J27" s="128"/>
      <c r="K27" s="134" t="s">
        <v>3278</v>
      </c>
      <c r="L27" s="127"/>
      <c r="M27" s="127"/>
      <c r="N27" s="128"/>
      <c r="Q27" s="138" t="s">
        <v>3250</v>
      </c>
      <c r="R27" s="127"/>
      <c r="S27" s="127"/>
      <c r="T27" s="127"/>
      <c r="U27" s="128"/>
    </row>
    <row r="28" spans="1:35" ht="15.75" customHeight="1" x14ac:dyDescent="0.35">
      <c r="B28" s="29" t="s">
        <v>3279</v>
      </c>
      <c r="C28" s="16" t="s">
        <v>3253</v>
      </c>
      <c r="D28" s="30" t="s">
        <v>3280</v>
      </c>
      <c r="E28" s="16" t="s">
        <v>3254</v>
      </c>
      <c r="G28" s="136" t="s">
        <v>3281</v>
      </c>
      <c r="H28" s="30" t="s">
        <v>3253</v>
      </c>
      <c r="I28" s="30" t="s">
        <v>3280</v>
      </c>
      <c r="J28" s="30" t="s">
        <v>3254</v>
      </c>
      <c r="K28" s="136" t="s">
        <v>3281</v>
      </c>
      <c r="L28" s="30" t="s">
        <v>3253</v>
      </c>
      <c r="M28" s="30" t="s">
        <v>3280</v>
      </c>
      <c r="N28" s="30" t="s">
        <v>3254</v>
      </c>
      <c r="Q28" s="33" t="s">
        <v>3279</v>
      </c>
      <c r="R28" s="34" t="s">
        <v>3253</v>
      </c>
      <c r="S28" s="34" t="s">
        <v>3254</v>
      </c>
      <c r="T28" s="34" t="s">
        <v>3285</v>
      </c>
      <c r="U28" s="34" t="s">
        <v>3256</v>
      </c>
    </row>
    <row r="29" spans="1:35" ht="15.75" customHeight="1" x14ac:dyDescent="0.35">
      <c r="B29" s="16" t="s">
        <v>3282</v>
      </c>
      <c r="C29" s="16">
        <v>21</v>
      </c>
      <c r="D29" s="30">
        <f t="shared" ref="D29:D34" si="0">C29*7</f>
        <v>147</v>
      </c>
      <c r="E29" s="16">
        <f t="shared" ref="E29:E34" si="1">C29*31</f>
        <v>651</v>
      </c>
      <c r="G29" s="137"/>
      <c r="H29" s="32">
        <v>45474</v>
      </c>
      <c r="I29" s="30" t="s">
        <v>3319</v>
      </c>
      <c r="J29" s="30" t="s">
        <v>3320</v>
      </c>
      <c r="K29" s="137"/>
      <c r="L29" s="32">
        <v>45474</v>
      </c>
      <c r="M29" s="30" t="s">
        <v>3319</v>
      </c>
      <c r="N29" s="30" t="s">
        <v>3320</v>
      </c>
      <c r="Q29" s="36" t="s">
        <v>3282</v>
      </c>
      <c r="R29" s="16">
        <f>SUM(R30:R33)</f>
        <v>20</v>
      </c>
      <c r="S29" s="16">
        <v>651</v>
      </c>
      <c r="T29" s="16">
        <f>SUM(T30:T33)</f>
        <v>441</v>
      </c>
      <c r="U29" s="49">
        <f t="shared" ref="U29:U33" si="2">T29/S29</f>
        <v>0.67741935483870963</v>
      </c>
    </row>
    <row r="30" spans="1:35" ht="15.75" customHeight="1" x14ac:dyDescent="0.35">
      <c r="B30" s="16" t="s">
        <v>64</v>
      </c>
      <c r="C30" s="16">
        <v>6</v>
      </c>
      <c r="D30" s="30">
        <f t="shared" si="0"/>
        <v>42</v>
      </c>
      <c r="E30" s="16">
        <f t="shared" si="1"/>
        <v>186</v>
      </c>
      <c r="G30" s="16" t="s">
        <v>64</v>
      </c>
      <c r="H30" s="16">
        <f>COUNTA(E4:E9)</f>
        <v>5</v>
      </c>
      <c r="I30" s="16">
        <f>COUNTA(J4:P9)</f>
        <v>33</v>
      </c>
      <c r="J30" s="16">
        <f>COUNTA(E4:AI9)</f>
        <v>161</v>
      </c>
      <c r="K30" s="16" t="s">
        <v>64</v>
      </c>
      <c r="L30" s="16">
        <f>COUNTBLANK(E4:E9)</f>
        <v>1</v>
      </c>
      <c r="M30" s="16">
        <f>COUNTBLANK(J4:P9)</f>
        <v>9</v>
      </c>
      <c r="N30" s="35">
        <f>COUNTBLANK(E4:AI9)</f>
        <v>25</v>
      </c>
      <c r="Q30" s="16" t="s">
        <v>64</v>
      </c>
      <c r="R30" s="16">
        <v>6</v>
      </c>
      <c r="S30" s="16">
        <v>186</v>
      </c>
      <c r="T30" s="37">
        <v>161</v>
      </c>
      <c r="U30" s="49">
        <f t="shared" si="2"/>
        <v>0.86559139784946237</v>
      </c>
    </row>
    <row r="31" spans="1:35" ht="15.75" customHeight="1" x14ac:dyDescent="0.35">
      <c r="B31" s="16" t="s">
        <v>59</v>
      </c>
      <c r="C31" s="16">
        <v>4</v>
      </c>
      <c r="D31" s="30">
        <f t="shared" si="0"/>
        <v>28</v>
      </c>
      <c r="E31" s="16">
        <f t="shared" si="1"/>
        <v>124</v>
      </c>
      <c r="G31" s="16" t="s">
        <v>59</v>
      </c>
      <c r="H31" s="35">
        <f>COUNTA(E10:E13)</f>
        <v>4</v>
      </c>
      <c r="I31" s="16"/>
      <c r="J31" s="16">
        <f>COUNTA(E10:AI13)</f>
        <v>89</v>
      </c>
      <c r="K31" s="16" t="s">
        <v>59</v>
      </c>
      <c r="L31" s="35">
        <f>COUNTBLANK(I10:I14)</f>
        <v>1</v>
      </c>
      <c r="M31" s="16"/>
      <c r="N31" s="16">
        <f>COUNTBLANK(E10:AI13)</f>
        <v>35</v>
      </c>
      <c r="Q31" s="16" t="s">
        <v>59</v>
      </c>
      <c r="R31" s="16">
        <v>4</v>
      </c>
      <c r="S31" s="16">
        <v>124</v>
      </c>
      <c r="T31" s="37">
        <v>89</v>
      </c>
      <c r="U31" s="49">
        <f t="shared" si="2"/>
        <v>0.717741935483871</v>
      </c>
    </row>
    <row r="32" spans="1:35" ht="15.75" customHeight="1" x14ac:dyDescent="0.35">
      <c r="B32" s="16" t="s">
        <v>71</v>
      </c>
      <c r="C32" s="16">
        <v>3</v>
      </c>
      <c r="D32" s="30">
        <f t="shared" si="0"/>
        <v>21</v>
      </c>
      <c r="E32" s="16">
        <f t="shared" si="1"/>
        <v>93</v>
      </c>
      <c r="G32" s="16" t="s">
        <v>71</v>
      </c>
      <c r="H32" s="35">
        <f>COUNTA(E14:E16)</f>
        <v>2</v>
      </c>
      <c r="I32" s="16"/>
      <c r="J32" s="16">
        <f>COUNTA(E14:AI16)</f>
        <v>53</v>
      </c>
      <c r="K32" s="16" t="s">
        <v>71</v>
      </c>
      <c r="L32" s="35">
        <f>COUNTBLANK(I14:I16)</f>
        <v>1</v>
      </c>
      <c r="M32" s="16"/>
      <c r="N32" s="16">
        <f>COUNTBLANK(E14:AI16)</f>
        <v>40</v>
      </c>
      <c r="Q32" s="16" t="s">
        <v>71</v>
      </c>
      <c r="R32" s="16">
        <v>3</v>
      </c>
      <c r="S32" s="16">
        <v>93</v>
      </c>
      <c r="T32" s="37">
        <v>54</v>
      </c>
      <c r="U32" s="49">
        <f t="shared" si="2"/>
        <v>0.58064516129032262</v>
      </c>
    </row>
    <row r="33" spans="2:25" ht="15.75" customHeight="1" x14ac:dyDescent="0.35">
      <c r="B33" s="16" t="s">
        <v>3286</v>
      </c>
      <c r="C33" s="16">
        <v>7</v>
      </c>
      <c r="D33" s="30">
        <f t="shared" si="0"/>
        <v>49</v>
      </c>
      <c r="E33" s="16">
        <f t="shared" si="1"/>
        <v>217</v>
      </c>
      <c r="G33" s="16" t="s">
        <v>3286</v>
      </c>
      <c r="H33" s="35">
        <f>COUNTA(E17:E23)</f>
        <v>4</v>
      </c>
      <c r="I33" s="16"/>
      <c r="J33" s="16">
        <f>COUNTA(E17:AI23)</f>
        <v>137</v>
      </c>
      <c r="K33" s="16" t="s">
        <v>3286</v>
      </c>
      <c r="L33" s="35">
        <f>COUNTBLANK(I17:I23)</f>
        <v>1</v>
      </c>
      <c r="M33" s="16"/>
      <c r="N33" s="16">
        <f>COUNTBLANK(E17:AI23)</f>
        <v>80</v>
      </c>
      <c r="Q33" s="16" t="s">
        <v>3286</v>
      </c>
      <c r="R33" s="16">
        <v>7</v>
      </c>
      <c r="S33" s="16">
        <v>217</v>
      </c>
      <c r="T33" s="37">
        <v>137</v>
      </c>
      <c r="U33" s="49">
        <f t="shared" si="2"/>
        <v>0.63133640552995396</v>
      </c>
    </row>
    <row r="34" spans="2:25" ht="15.75" customHeight="1" x14ac:dyDescent="0.35">
      <c r="B34" s="16" t="s">
        <v>3287</v>
      </c>
      <c r="C34" s="16">
        <v>1</v>
      </c>
      <c r="D34" s="30">
        <f t="shared" si="0"/>
        <v>7</v>
      </c>
      <c r="E34" s="16">
        <f t="shared" si="1"/>
        <v>31</v>
      </c>
      <c r="G34" s="16" t="s">
        <v>3287</v>
      </c>
      <c r="H34" s="16">
        <f>COUNTA(E24)</f>
        <v>1</v>
      </c>
      <c r="I34" s="16"/>
      <c r="J34" s="16"/>
      <c r="K34" s="16" t="s">
        <v>3287</v>
      </c>
      <c r="L34" s="16">
        <f>COUNTBLANK(I24)</f>
        <v>0</v>
      </c>
      <c r="M34" s="16"/>
      <c r="N34" s="16"/>
    </row>
    <row r="35" spans="2:25" ht="15.75" customHeight="1" x14ac:dyDescent="0.35">
      <c r="D35" s="10"/>
      <c r="H35" s="8"/>
      <c r="I35" s="8"/>
      <c r="J35" s="8"/>
    </row>
    <row r="36" spans="2:25" ht="15.75" customHeight="1" x14ac:dyDescent="0.35">
      <c r="D36" s="10"/>
      <c r="G36" s="8"/>
      <c r="H36" s="8"/>
      <c r="I36" s="8"/>
      <c r="J36" s="8"/>
    </row>
    <row r="37" spans="2:25" ht="15.75" customHeight="1" x14ac:dyDescent="0.35">
      <c r="D37" s="10"/>
      <c r="G37" s="126" t="s">
        <v>3288</v>
      </c>
      <c r="H37" s="127"/>
      <c r="I37" s="127"/>
      <c r="J37" s="128"/>
    </row>
    <row r="38" spans="2:25" ht="15.75" customHeight="1" x14ac:dyDescent="0.35">
      <c r="B38" s="40" t="s">
        <v>3289</v>
      </c>
      <c r="C38" s="40" t="s">
        <v>3290</v>
      </c>
      <c r="D38" s="8"/>
      <c r="G38" s="40" t="s">
        <v>3290</v>
      </c>
      <c r="H38" s="40" t="s">
        <v>3253</v>
      </c>
      <c r="I38" s="40" t="s">
        <v>3280</v>
      </c>
      <c r="J38" s="40" t="s">
        <v>3254</v>
      </c>
      <c r="M38" s="129" t="s">
        <v>3291</v>
      </c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1"/>
    </row>
    <row r="39" spans="2:25" ht="15.75" customHeight="1" x14ac:dyDescent="0.35">
      <c r="B39" s="16" t="s">
        <v>3272</v>
      </c>
      <c r="C39" s="16" t="s">
        <v>3292</v>
      </c>
      <c r="D39" s="10"/>
      <c r="G39" s="16" t="s">
        <v>3292</v>
      </c>
      <c r="H39" s="16"/>
      <c r="I39" s="16"/>
      <c r="J39" s="16">
        <f t="shared" ref="J39:J49" si="3">COUNTIF($E$4:$AI$24,B39)</f>
        <v>13</v>
      </c>
      <c r="M39" s="31" t="s">
        <v>3281</v>
      </c>
      <c r="N39" s="40" t="s">
        <v>3293</v>
      </c>
      <c r="O39" s="40" t="s">
        <v>3292</v>
      </c>
      <c r="P39" s="40" t="s">
        <v>3294</v>
      </c>
      <c r="Q39" s="40" t="s">
        <v>3295</v>
      </c>
      <c r="R39" s="40" t="s">
        <v>3296</v>
      </c>
      <c r="S39" s="40" t="s">
        <v>3297</v>
      </c>
      <c r="T39" s="40" t="s">
        <v>3298</v>
      </c>
      <c r="U39" s="40" t="s">
        <v>3299</v>
      </c>
      <c r="V39" s="40" t="s">
        <v>3300</v>
      </c>
      <c r="W39" s="40" t="s">
        <v>3301</v>
      </c>
      <c r="X39" s="40" t="s">
        <v>3302</v>
      </c>
      <c r="Y39" s="29" t="s">
        <v>3303</v>
      </c>
    </row>
    <row r="40" spans="2:25" ht="15.75" customHeight="1" x14ac:dyDescent="0.35">
      <c r="B40" s="16" t="s">
        <v>3273</v>
      </c>
      <c r="C40" s="16" t="s">
        <v>3294</v>
      </c>
      <c r="D40" s="10"/>
      <c r="G40" s="16" t="s">
        <v>3294</v>
      </c>
      <c r="H40" s="16"/>
      <c r="I40" s="16"/>
      <c r="J40" s="16">
        <f t="shared" si="3"/>
        <v>62</v>
      </c>
      <c r="M40" s="16" t="s">
        <v>64</v>
      </c>
      <c r="N40" s="29">
        <v>161</v>
      </c>
      <c r="O40" s="16">
        <f t="shared" ref="O40:Y40" si="4">COUNTIF($E$4:$AI$9,O44)</f>
        <v>3</v>
      </c>
      <c r="P40" s="16">
        <f t="shared" si="4"/>
        <v>42</v>
      </c>
      <c r="Q40" s="16">
        <f t="shared" si="4"/>
        <v>4</v>
      </c>
      <c r="R40" s="16">
        <f t="shared" si="4"/>
        <v>108</v>
      </c>
      <c r="S40" s="16">
        <f t="shared" si="4"/>
        <v>2</v>
      </c>
      <c r="T40" s="16">
        <f t="shared" si="4"/>
        <v>0</v>
      </c>
      <c r="U40" s="16">
        <f t="shared" si="4"/>
        <v>0</v>
      </c>
      <c r="V40" s="16">
        <f t="shared" si="4"/>
        <v>0</v>
      </c>
      <c r="W40" s="16">
        <f t="shared" si="4"/>
        <v>0</v>
      </c>
      <c r="X40" s="16">
        <f t="shared" si="4"/>
        <v>2</v>
      </c>
      <c r="Y40" s="16">
        <f t="shared" si="4"/>
        <v>0</v>
      </c>
    </row>
    <row r="41" spans="2:25" ht="15.75" customHeight="1" x14ac:dyDescent="0.35">
      <c r="B41" s="16" t="s">
        <v>3275</v>
      </c>
      <c r="C41" s="16" t="s">
        <v>3295</v>
      </c>
      <c r="D41" s="10"/>
      <c r="G41" s="16" t="s">
        <v>3295</v>
      </c>
      <c r="H41" s="16"/>
      <c r="I41" s="16"/>
      <c r="J41" s="16">
        <f t="shared" si="3"/>
        <v>21</v>
      </c>
      <c r="M41" s="16" t="s">
        <v>59</v>
      </c>
      <c r="N41" s="29">
        <v>89</v>
      </c>
      <c r="O41" s="16">
        <f t="shared" ref="O41:Y41" si="5">COUNTIF($E$10:$AI$13,O44)</f>
        <v>6</v>
      </c>
      <c r="P41" s="16">
        <f t="shared" si="5"/>
        <v>5</v>
      </c>
      <c r="Q41" s="16">
        <f t="shared" si="5"/>
        <v>9</v>
      </c>
      <c r="R41" s="16">
        <f t="shared" si="5"/>
        <v>66</v>
      </c>
      <c r="S41" s="16">
        <f t="shared" si="5"/>
        <v>0</v>
      </c>
      <c r="T41" s="16">
        <f t="shared" si="5"/>
        <v>0</v>
      </c>
      <c r="U41" s="16">
        <f t="shared" si="5"/>
        <v>0</v>
      </c>
      <c r="V41" s="16">
        <f t="shared" si="5"/>
        <v>3</v>
      </c>
      <c r="W41" s="16">
        <f t="shared" si="5"/>
        <v>0</v>
      </c>
      <c r="X41" s="16">
        <f t="shared" si="5"/>
        <v>0</v>
      </c>
      <c r="Y41" s="16">
        <f t="shared" si="5"/>
        <v>0</v>
      </c>
    </row>
    <row r="42" spans="2:25" ht="15.75" customHeight="1" x14ac:dyDescent="0.35">
      <c r="B42" s="16" t="s">
        <v>41</v>
      </c>
      <c r="C42" s="16" t="s">
        <v>3296</v>
      </c>
      <c r="D42" s="10"/>
      <c r="G42" s="16" t="s">
        <v>3296</v>
      </c>
      <c r="H42" s="16"/>
      <c r="I42" s="16"/>
      <c r="J42" s="16">
        <f t="shared" si="3"/>
        <v>329</v>
      </c>
      <c r="M42" s="16" t="s">
        <v>71</v>
      </c>
      <c r="N42" s="29">
        <v>54</v>
      </c>
      <c r="O42" s="16">
        <f t="shared" ref="O42:Y42" si="6">COUNTIF($E$14:$AI$16,O44)</f>
        <v>3</v>
      </c>
      <c r="P42" s="16">
        <f t="shared" si="6"/>
        <v>3</v>
      </c>
      <c r="Q42" s="16">
        <f t="shared" si="6"/>
        <v>3</v>
      </c>
      <c r="R42" s="16">
        <f t="shared" si="6"/>
        <v>37</v>
      </c>
      <c r="S42" s="16">
        <f t="shared" si="6"/>
        <v>7</v>
      </c>
      <c r="T42" s="16">
        <f t="shared" si="6"/>
        <v>0</v>
      </c>
      <c r="U42" s="16">
        <f t="shared" si="6"/>
        <v>0</v>
      </c>
      <c r="V42" s="16">
        <f t="shared" si="6"/>
        <v>0</v>
      </c>
      <c r="W42" s="16">
        <f t="shared" si="6"/>
        <v>0</v>
      </c>
      <c r="X42" s="16">
        <f t="shared" si="6"/>
        <v>0</v>
      </c>
      <c r="Y42" s="16">
        <f t="shared" si="6"/>
        <v>0</v>
      </c>
    </row>
    <row r="43" spans="2:25" ht="15.75" customHeight="1" x14ac:dyDescent="0.35">
      <c r="B43" s="16" t="s">
        <v>3274</v>
      </c>
      <c r="C43" s="16" t="s">
        <v>3297</v>
      </c>
      <c r="D43" s="10"/>
      <c r="G43" s="16" t="s">
        <v>3297</v>
      </c>
      <c r="H43" s="16"/>
      <c r="I43" s="16"/>
      <c r="J43" s="16">
        <f t="shared" si="3"/>
        <v>10</v>
      </c>
      <c r="M43" s="16" t="s">
        <v>3286</v>
      </c>
      <c r="N43" s="29">
        <v>137</v>
      </c>
      <c r="O43" s="16">
        <f t="shared" ref="O43:Y43" si="7">COUNTIF($E$17:$AI$23,O44)</f>
        <v>1</v>
      </c>
      <c r="P43" s="16">
        <f t="shared" si="7"/>
        <v>12</v>
      </c>
      <c r="Q43" s="16">
        <f t="shared" si="7"/>
        <v>5</v>
      </c>
      <c r="R43" s="16">
        <f t="shared" si="7"/>
        <v>118</v>
      </c>
      <c r="S43" s="16">
        <f t="shared" si="7"/>
        <v>1</v>
      </c>
      <c r="T43" s="16">
        <f t="shared" si="7"/>
        <v>0</v>
      </c>
      <c r="U43" s="16">
        <f t="shared" si="7"/>
        <v>0</v>
      </c>
      <c r="V43" s="16">
        <f t="shared" si="7"/>
        <v>0</v>
      </c>
      <c r="W43" s="16">
        <f t="shared" si="7"/>
        <v>0</v>
      </c>
      <c r="X43" s="16">
        <f t="shared" si="7"/>
        <v>0</v>
      </c>
      <c r="Y43" s="16">
        <f t="shared" si="7"/>
        <v>0</v>
      </c>
    </row>
    <row r="44" spans="2:25" ht="15.75" customHeight="1" x14ac:dyDescent="0.35">
      <c r="B44" s="16" t="s">
        <v>3304</v>
      </c>
      <c r="C44" s="16" t="s">
        <v>3298</v>
      </c>
      <c r="D44" s="10"/>
      <c r="G44" s="16" t="s">
        <v>3298</v>
      </c>
      <c r="H44" s="16"/>
      <c r="I44" s="16"/>
      <c r="J44" s="16">
        <f t="shared" si="3"/>
        <v>0</v>
      </c>
      <c r="O44" s="28" t="s">
        <v>3272</v>
      </c>
      <c r="P44" s="28" t="s">
        <v>3273</v>
      </c>
      <c r="Q44" s="28" t="s">
        <v>3275</v>
      </c>
      <c r="R44" s="28" t="s">
        <v>41</v>
      </c>
      <c r="S44" s="28" t="s">
        <v>3274</v>
      </c>
      <c r="T44" s="28" t="s">
        <v>3304</v>
      </c>
      <c r="U44" s="28" t="s">
        <v>3305</v>
      </c>
      <c r="V44" s="28" t="s">
        <v>3271</v>
      </c>
      <c r="W44" s="28" t="s">
        <v>3306</v>
      </c>
      <c r="X44" s="28" t="s">
        <v>53</v>
      </c>
      <c r="Y44" s="28" t="s">
        <v>3307</v>
      </c>
    </row>
    <row r="45" spans="2:25" ht="15.75" customHeight="1" x14ac:dyDescent="0.35">
      <c r="B45" s="16" t="s">
        <v>3305</v>
      </c>
      <c r="C45" s="16" t="s">
        <v>3299</v>
      </c>
      <c r="D45" s="10"/>
      <c r="G45" s="16" t="s">
        <v>3299</v>
      </c>
      <c r="H45" s="16"/>
      <c r="I45" s="16"/>
      <c r="J45" s="16">
        <f t="shared" si="3"/>
        <v>0</v>
      </c>
    </row>
    <row r="46" spans="2:25" ht="15.75" customHeight="1" x14ac:dyDescent="0.35">
      <c r="B46" s="16" t="s">
        <v>3271</v>
      </c>
      <c r="C46" s="16" t="s">
        <v>3300</v>
      </c>
      <c r="D46" s="10"/>
      <c r="G46" s="16" t="s">
        <v>3300</v>
      </c>
      <c r="H46" s="16"/>
      <c r="I46" s="16"/>
      <c r="J46" s="16">
        <f t="shared" si="3"/>
        <v>3</v>
      </c>
    </row>
    <row r="47" spans="2:25" ht="15.75" customHeight="1" x14ac:dyDescent="0.35">
      <c r="B47" s="16" t="s">
        <v>3306</v>
      </c>
      <c r="C47" s="16" t="s">
        <v>3301</v>
      </c>
      <c r="D47" s="10"/>
      <c r="G47" s="16" t="s">
        <v>3301</v>
      </c>
      <c r="H47" s="16"/>
      <c r="I47" s="16"/>
      <c r="J47" s="16">
        <f t="shared" si="3"/>
        <v>0</v>
      </c>
    </row>
    <row r="48" spans="2:25" ht="15.75" customHeight="1" x14ac:dyDescent="0.35">
      <c r="B48" s="16" t="s">
        <v>53</v>
      </c>
      <c r="C48" s="16" t="s">
        <v>3302</v>
      </c>
      <c r="D48" s="10"/>
      <c r="G48" s="16" t="s">
        <v>3302</v>
      </c>
      <c r="H48" s="16"/>
      <c r="I48" s="16"/>
      <c r="J48" s="16">
        <f t="shared" si="3"/>
        <v>2</v>
      </c>
    </row>
    <row r="49" spans="2:10" ht="15.75" customHeight="1" x14ac:dyDescent="0.35">
      <c r="B49" s="16" t="s">
        <v>3307</v>
      </c>
      <c r="C49" s="16" t="s">
        <v>3303</v>
      </c>
      <c r="D49" s="10"/>
      <c r="G49" s="16" t="s">
        <v>3303</v>
      </c>
      <c r="H49" s="16"/>
      <c r="I49" s="16"/>
      <c r="J49" s="16">
        <f t="shared" si="3"/>
        <v>0</v>
      </c>
    </row>
    <row r="50" spans="2:10" ht="15.75" customHeight="1" x14ac:dyDescent="0.35">
      <c r="D50" s="10"/>
    </row>
    <row r="51" spans="2:10" ht="15.75" customHeight="1" x14ac:dyDescent="0.35">
      <c r="D51" s="10"/>
    </row>
    <row r="52" spans="2:10" ht="15.75" customHeight="1" x14ac:dyDescent="0.35">
      <c r="D52" s="10"/>
    </row>
    <row r="53" spans="2:10" ht="15.75" customHeight="1" x14ac:dyDescent="0.35">
      <c r="D53" s="10"/>
    </row>
    <row r="54" spans="2:10" ht="15.75" customHeight="1" x14ac:dyDescent="0.35">
      <c r="D54" s="10"/>
    </row>
    <row r="55" spans="2:10" ht="15.75" customHeight="1" x14ac:dyDescent="0.35">
      <c r="D55" s="10"/>
    </row>
    <row r="56" spans="2:10" ht="15.75" customHeight="1" x14ac:dyDescent="0.35">
      <c r="D56" s="10"/>
    </row>
    <row r="57" spans="2:10" ht="15.75" customHeight="1" x14ac:dyDescent="0.35">
      <c r="D57" s="10"/>
    </row>
    <row r="58" spans="2:10" ht="15.75" customHeight="1" x14ac:dyDescent="0.35">
      <c r="D58" s="10"/>
    </row>
    <row r="59" spans="2:10" ht="15.75" customHeight="1" x14ac:dyDescent="0.35">
      <c r="D59" s="10"/>
    </row>
    <row r="60" spans="2:10" ht="15.75" customHeight="1" x14ac:dyDescent="0.35">
      <c r="D60" s="10"/>
    </row>
    <row r="61" spans="2:10" ht="15.75" customHeight="1" x14ac:dyDescent="0.35">
      <c r="D61" s="10"/>
    </row>
    <row r="62" spans="2:10" ht="15.75" customHeight="1" x14ac:dyDescent="0.35">
      <c r="D62" s="10"/>
    </row>
    <row r="63" spans="2:10" ht="15.75" customHeight="1" x14ac:dyDescent="0.35">
      <c r="D63" s="10"/>
    </row>
    <row r="64" spans="2:10" ht="15.75" customHeight="1" x14ac:dyDescent="0.35">
      <c r="D64" s="10"/>
    </row>
    <row r="65" spans="4:4" ht="15.75" customHeight="1" x14ac:dyDescent="0.35">
      <c r="D65" s="10"/>
    </row>
    <row r="66" spans="4:4" ht="15.75" customHeight="1" x14ac:dyDescent="0.35">
      <c r="D66" s="10"/>
    </row>
    <row r="67" spans="4:4" ht="15.75" customHeight="1" x14ac:dyDescent="0.35">
      <c r="D67" s="10"/>
    </row>
    <row r="68" spans="4:4" ht="15.75" customHeight="1" x14ac:dyDescent="0.35">
      <c r="D68" s="10"/>
    </row>
    <row r="69" spans="4:4" ht="15.75" customHeight="1" x14ac:dyDescent="0.35">
      <c r="D69" s="10"/>
    </row>
    <row r="70" spans="4:4" ht="15.75" customHeight="1" x14ac:dyDescent="0.35">
      <c r="D70" s="10"/>
    </row>
    <row r="71" spans="4:4" ht="15.75" customHeight="1" x14ac:dyDescent="0.35">
      <c r="D71" s="10"/>
    </row>
    <row r="72" spans="4:4" ht="15.75" customHeight="1" x14ac:dyDescent="0.35">
      <c r="D72" s="10"/>
    </row>
    <row r="73" spans="4:4" ht="15.75" customHeight="1" x14ac:dyDescent="0.35">
      <c r="D73" s="10"/>
    </row>
    <row r="74" spans="4:4" ht="15.75" customHeight="1" x14ac:dyDescent="0.35">
      <c r="D74" s="10"/>
    </row>
    <row r="75" spans="4:4" ht="15.75" customHeight="1" x14ac:dyDescent="0.35">
      <c r="D75" s="10"/>
    </row>
    <row r="76" spans="4:4" ht="15.75" customHeight="1" x14ac:dyDescent="0.35">
      <c r="D76" s="10"/>
    </row>
    <row r="77" spans="4:4" ht="15.75" customHeight="1" x14ac:dyDescent="0.35">
      <c r="D77" s="10"/>
    </row>
    <row r="78" spans="4:4" ht="15.75" customHeight="1" x14ac:dyDescent="0.35">
      <c r="D78" s="10"/>
    </row>
    <row r="79" spans="4:4" ht="15.75" customHeight="1" x14ac:dyDescent="0.35">
      <c r="D79" s="10"/>
    </row>
    <row r="80" spans="4:4" ht="15.75" customHeight="1" x14ac:dyDescent="0.35">
      <c r="D80" s="10"/>
    </row>
    <row r="81" spans="4:4" ht="15.75" customHeight="1" x14ac:dyDescent="0.35">
      <c r="D81" s="10"/>
    </row>
    <row r="82" spans="4:4" ht="15.75" customHeight="1" x14ac:dyDescent="0.35">
      <c r="D82" s="10"/>
    </row>
    <row r="83" spans="4:4" ht="15.75" customHeight="1" x14ac:dyDescent="0.35">
      <c r="D83" s="10"/>
    </row>
    <row r="84" spans="4:4" ht="15.75" customHeight="1" x14ac:dyDescent="0.35">
      <c r="D84" s="10"/>
    </row>
    <row r="85" spans="4:4" ht="15.75" customHeight="1" x14ac:dyDescent="0.35">
      <c r="D85" s="10"/>
    </row>
    <row r="86" spans="4:4" ht="15.75" customHeight="1" x14ac:dyDescent="0.35">
      <c r="D86" s="10"/>
    </row>
    <row r="87" spans="4:4" ht="15.75" customHeight="1" x14ac:dyDescent="0.35">
      <c r="D87" s="10"/>
    </row>
    <row r="88" spans="4:4" ht="15.75" customHeight="1" x14ac:dyDescent="0.35">
      <c r="D88" s="10"/>
    </row>
    <row r="89" spans="4:4" ht="15.75" customHeight="1" x14ac:dyDescent="0.35">
      <c r="D89" s="10"/>
    </row>
    <row r="90" spans="4:4" ht="15.75" customHeight="1" x14ac:dyDescent="0.35">
      <c r="D90" s="10"/>
    </row>
    <row r="91" spans="4:4" ht="15.75" customHeight="1" x14ac:dyDescent="0.35">
      <c r="D91" s="10"/>
    </row>
    <row r="92" spans="4:4" ht="15.75" customHeight="1" x14ac:dyDescent="0.35">
      <c r="D92" s="10"/>
    </row>
    <row r="93" spans="4:4" ht="15.75" customHeight="1" x14ac:dyDescent="0.35">
      <c r="D93" s="10"/>
    </row>
    <row r="94" spans="4:4" ht="15.75" customHeight="1" x14ac:dyDescent="0.35">
      <c r="D94" s="10"/>
    </row>
    <row r="95" spans="4:4" ht="15.75" customHeight="1" x14ac:dyDescent="0.35">
      <c r="D95" s="10"/>
    </row>
    <row r="96" spans="4:4" ht="15.75" customHeight="1" x14ac:dyDescent="0.35">
      <c r="D96" s="10"/>
    </row>
    <row r="97" spans="4:4" ht="15.75" customHeight="1" x14ac:dyDescent="0.35">
      <c r="D97" s="10"/>
    </row>
    <row r="98" spans="4:4" ht="15.75" customHeight="1" x14ac:dyDescent="0.35">
      <c r="D98" s="10"/>
    </row>
    <row r="99" spans="4:4" ht="15.75" customHeight="1" x14ac:dyDescent="0.35">
      <c r="D99" s="10"/>
    </row>
    <row r="100" spans="4:4" ht="15.75" customHeight="1" x14ac:dyDescent="0.35">
      <c r="D100" s="10"/>
    </row>
    <row r="101" spans="4:4" ht="15.75" customHeight="1" x14ac:dyDescent="0.35">
      <c r="D101" s="10"/>
    </row>
    <row r="102" spans="4:4" ht="15.75" customHeight="1" x14ac:dyDescent="0.35">
      <c r="D102" s="10"/>
    </row>
    <row r="103" spans="4:4" ht="15.75" customHeight="1" x14ac:dyDescent="0.35">
      <c r="D103" s="10"/>
    </row>
    <row r="104" spans="4:4" ht="15.75" customHeight="1" x14ac:dyDescent="0.35">
      <c r="D104" s="10"/>
    </row>
    <row r="105" spans="4:4" ht="15.75" customHeight="1" x14ac:dyDescent="0.35">
      <c r="D105" s="10"/>
    </row>
    <row r="106" spans="4:4" ht="15.75" customHeight="1" x14ac:dyDescent="0.35">
      <c r="D106" s="10"/>
    </row>
    <row r="107" spans="4:4" ht="15.75" customHeight="1" x14ac:dyDescent="0.35">
      <c r="D107" s="10"/>
    </row>
    <row r="108" spans="4:4" ht="15.75" customHeight="1" x14ac:dyDescent="0.35">
      <c r="D108" s="10"/>
    </row>
    <row r="109" spans="4:4" ht="15.75" customHeight="1" x14ac:dyDescent="0.35">
      <c r="D109" s="10"/>
    </row>
    <row r="110" spans="4:4" ht="15.75" customHeight="1" x14ac:dyDescent="0.35">
      <c r="D110" s="10"/>
    </row>
    <row r="111" spans="4:4" ht="15.75" customHeight="1" x14ac:dyDescent="0.35">
      <c r="D111" s="10"/>
    </row>
    <row r="112" spans="4:4" ht="15.75" customHeight="1" x14ac:dyDescent="0.35">
      <c r="D112" s="10"/>
    </row>
    <row r="113" spans="4:4" ht="15.75" customHeight="1" x14ac:dyDescent="0.35">
      <c r="D113" s="10"/>
    </row>
    <row r="114" spans="4:4" ht="15.75" customHeight="1" x14ac:dyDescent="0.35">
      <c r="D114" s="10"/>
    </row>
    <row r="115" spans="4:4" ht="15.75" customHeight="1" x14ac:dyDescent="0.35">
      <c r="D115" s="10"/>
    </row>
    <row r="116" spans="4:4" ht="15.75" customHeight="1" x14ac:dyDescent="0.35">
      <c r="D116" s="10"/>
    </row>
    <row r="117" spans="4:4" ht="15.75" customHeight="1" x14ac:dyDescent="0.35">
      <c r="D117" s="10"/>
    </row>
    <row r="118" spans="4:4" ht="15.75" customHeight="1" x14ac:dyDescent="0.35">
      <c r="D118" s="10"/>
    </row>
    <row r="119" spans="4:4" ht="15.75" customHeight="1" x14ac:dyDescent="0.35">
      <c r="D119" s="10"/>
    </row>
    <row r="120" spans="4:4" ht="15.75" customHeight="1" x14ac:dyDescent="0.35">
      <c r="D120" s="10"/>
    </row>
    <row r="121" spans="4:4" ht="15.75" customHeight="1" x14ac:dyDescent="0.35">
      <c r="D121" s="10"/>
    </row>
    <row r="122" spans="4:4" ht="15.75" customHeight="1" x14ac:dyDescent="0.35">
      <c r="D122" s="10"/>
    </row>
    <row r="123" spans="4:4" ht="15.75" customHeight="1" x14ac:dyDescent="0.35">
      <c r="D123" s="10"/>
    </row>
    <row r="124" spans="4:4" ht="15.75" customHeight="1" x14ac:dyDescent="0.35">
      <c r="D124" s="10"/>
    </row>
    <row r="125" spans="4:4" ht="15.75" customHeight="1" x14ac:dyDescent="0.35">
      <c r="D125" s="10"/>
    </row>
    <row r="126" spans="4:4" ht="15.75" customHeight="1" x14ac:dyDescent="0.35">
      <c r="D126" s="10"/>
    </row>
    <row r="127" spans="4:4" ht="15.75" customHeight="1" x14ac:dyDescent="0.35">
      <c r="D127" s="10"/>
    </row>
    <row r="128" spans="4:4" ht="15.75" customHeight="1" x14ac:dyDescent="0.35">
      <c r="D128" s="10"/>
    </row>
    <row r="129" spans="4:4" ht="15.75" customHeight="1" x14ac:dyDescent="0.35">
      <c r="D129" s="10"/>
    </row>
    <row r="130" spans="4:4" ht="15.75" customHeight="1" x14ac:dyDescent="0.35">
      <c r="D130" s="10"/>
    </row>
    <row r="131" spans="4:4" ht="15.75" customHeight="1" x14ac:dyDescent="0.35">
      <c r="D131" s="10"/>
    </row>
    <row r="132" spans="4:4" ht="15.75" customHeight="1" x14ac:dyDescent="0.35">
      <c r="D132" s="10"/>
    </row>
    <row r="133" spans="4:4" ht="15.75" customHeight="1" x14ac:dyDescent="0.35">
      <c r="D133" s="10"/>
    </row>
    <row r="134" spans="4:4" ht="15.75" customHeight="1" x14ac:dyDescent="0.35">
      <c r="D134" s="10"/>
    </row>
    <row r="135" spans="4:4" ht="15.75" customHeight="1" x14ac:dyDescent="0.35">
      <c r="D135" s="10"/>
    </row>
    <row r="136" spans="4:4" ht="15.75" customHeight="1" x14ac:dyDescent="0.35">
      <c r="D136" s="10"/>
    </row>
    <row r="137" spans="4:4" ht="15.75" customHeight="1" x14ac:dyDescent="0.35">
      <c r="D137" s="10"/>
    </row>
    <row r="138" spans="4:4" ht="15.75" customHeight="1" x14ac:dyDescent="0.35">
      <c r="D138" s="10"/>
    </row>
    <row r="139" spans="4:4" ht="15.75" customHeight="1" x14ac:dyDescent="0.35">
      <c r="D139" s="10"/>
    </row>
    <row r="140" spans="4:4" ht="15.75" customHeight="1" x14ac:dyDescent="0.35">
      <c r="D140" s="10"/>
    </row>
    <row r="141" spans="4:4" ht="15.75" customHeight="1" x14ac:dyDescent="0.35">
      <c r="D141" s="10"/>
    </row>
    <row r="142" spans="4:4" ht="15.75" customHeight="1" x14ac:dyDescent="0.35">
      <c r="D142" s="10"/>
    </row>
    <row r="143" spans="4:4" ht="15.75" customHeight="1" x14ac:dyDescent="0.35">
      <c r="D143" s="10"/>
    </row>
    <row r="144" spans="4:4" ht="15.75" customHeight="1" x14ac:dyDescent="0.35">
      <c r="D144" s="10"/>
    </row>
    <row r="145" spans="4:4" ht="15.75" customHeight="1" x14ac:dyDescent="0.35">
      <c r="D145" s="10"/>
    </row>
    <row r="146" spans="4:4" ht="15.75" customHeight="1" x14ac:dyDescent="0.35">
      <c r="D146" s="10"/>
    </row>
    <row r="147" spans="4:4" ht="15.75" customHeight="1" x14ac:dyDescent="0.35">
      <c r="D147" s="10"/>
    </row>
    <row r="148" spans="4:4" ht="15.75" customHeight="1" x14ac:dyDescent="0.35">
      <c r="D148" s="10"/>
    </row>
    <row r="149" spans="4:4" ht="15.75" customHeight="1" x14ac:dyDescent="0.35">
      <c r="D149" s="10"/>
    </row>
    <row r="150" spans="4:4" ht="15.75" customHeight="1" x14ac:dyDescent="0.35">
      <c r="D150" s="10"/>
    </row>
    <row r="151" spans="4:4" ht="15.75" customHeight="1" x14ac:dyDescent="0.35">
      <c r="D151" s="10"/>
    </row>
    <row r="152" spans="4:4" ht="15.75" customHeight="1" x14ac:dyDescent="0.35">
      <c r="D152" s="10"/>
    </row>
    <row r="153" spans="4:4" ht="15.75" customHeight="1" x14ac:dyDescent="0.35">
      <c r="D153" s="10"/>
    </row>
    <row r="154" spans="4:4" ht="15.75" customHeight="1" x14ac:dyDescent="0.35">
      <c r="D154" s="10"/>
    </row>
    <row r="155" spans="4:4" ht="15.75" customHeight="1" x14ac:dyDescent="0.35">
      <c r="D155" s="10"/>
    </row>
    <row r="156" spans="4:4" ht="15.75" customHeight="1" x14ac:dyDescent="0.35">
      <c r="D156" s="10"/>
    </row>
    <row r="157" spans="4:4" ht="15.75" customHeight="1" x14ac:dyDescent="0.35">
      <c r="D157" s="10"/>
    </row>
    <row r="158" spans="4:4" ht="15.75" customHeight="1" x14ac:dyDescent="0.35">
      <c r="D158" s="10"/>
    </row>
    <row r="159" spans="4:4" ht="15.75" customHeight="1" x14ac:dyDescent="0.35">
      <c r="D159" s="10"/>
    </row>
    <row r="160" spans="4:4" ht="15.75" customHeight="1" x14ac:dyDescent="0.35">
      <c r="D160" s="10"/>
    </row>
    <row r="161" spans="4:4" ht="15.75" customHeight="1" x14ac:dyDescent="0.35">
      <c r="D161" s="10"/>
    </row>
    <row r="162" spans="4:4" ht="15.75" customHeight="1" x14ac:dyDescent="0.35">
      <c r="D162" s="10"/>
    </row>
    <row r="163" spans="4:4" ht="15.75" customHeight="1" x14ac:dyDescent="0.35">
      <c r="D163" s="10"/>
    </row>
    <row r="164" spans="4:4" ht="15.75" customHeight="1" x14ac:dyDescent="0.35">
      <c r="D164" s="10"/>
    </row>
    <row r="165" spans="4:4" ht="15.75" customHeight="1" x14ac:dyDescent="0.35">
      <c r="D165" s="10"/>
    </row>
    <row r="166" spans="4:4" ht="15.75" customHeight="1" x14ac:dyDescent="0.35">
      <c r="D166" s="10"/>
    </row>
    <row r="167" spans="4:4" ht="15.75" customHeight="1" x14ac:dyDescent="0.35">
      <c r="D167" s="10"/>
    </row>
    <row r="168" spans="4:4" ht="15.75" customHeight="1" x14ac:dyDescent="0.35">
      <c r="D168" s="10"/>
    </row>
    <row r="169" spans="4:4" ht="15.75" customHeight="1" x14ac:dyDescent="0.35">
      <c r="D169" s="10"/>
    </row>
    <row r="170" spans="4:4" ht="15.75" customHeight="1" x14ac:dyDescent="0.35">
      <c r="D170" s="10"/>
    </row>
    <row r="171" spans="4:4" ht="15.75" customHeight="1" x14ac:dyDescent="0.35">
      <c r="D171" s="10"/>
    </row>
    <row r="172" spans="4:4" ht="15.75" customHeight="1" x14ac:dyDescent="0.35">
      <c r="D172" s="10"/>
    </row>
    <row r="173" spans="4:4" ht="15.75" customHeight="1" x14ac:dyDescent="0.35">
      <c r="D173" s="10"/>
    </row>
    <row r="174" spans="4:4" ht="15.75" customHeight="1" x14ac:dyDescent="0.35">
      <c r="D174" s="10"/>
    </row>
    <row r="175" spans="4:4" ht="15.75" customHeight="1" x14ac:dyDescent="0.35">
      <c r="D175" s="10"/>
    </row>
    <row r="176" spans="4:4" ht="15.75" customHeight="1" x14ac:dyDescent="0.35">
      <c r="D176" s="10"/>
    </row>
    <row r="177" spans="4:4" ht="15.75" customHeight="1" x14ac:dyDescent="0.35">
      <c r="D177" s="10"/>
    </row>
    <row r="178" spans="4:4" ht="15.75" customHeight="1" x14ac:dyDescent="0.35">
      <c r="D178" s="10"/>
    </row>
    <row r="179" spans="4:4" ht="15.75" customHeight="1" x14ac:dyDescent="0.35">
      <c r="D179" s="10"/>
    </row>
    <row r="180" spans="4:4" ht="15.75" customHeight="1" x14ac:dyDescent="0.35">
      <c r="D180" s="10"/>
    </row>
    <row r="181" spans="4:4" ht="15.75" customHeight="1" x14ac:dyDescent="0.35">
      <c r="D181" s="10"/>
    </row>
    <row r="182" spans="4:4" ht="15.75" customHeight="1" x14ac:dyDescent="0.35">
      <c r="D182" s="10"/>
    </row>
    <row r="183" spans="4:4" ht="15.75" customHeight="1" x14ac:dyDescent="0.35">
      <c r="D183" s="10"/>
    </row>
    <row r="184" spans="4:4" ht="15.75" customHeight="1" x14ac:dyDescent="0.35">
      <c r="D184" s="10"/>
    </row>
    <row r="185" spans="4:4" ht="15.75" customHeight="1" x14ac:dyDescent="0.35">
      <c r="D185" s="10"/>
    </row>
    <row r="186" spans="4:4" ht="15.75" customHeight="1" x14ac:dyDescent="0.35">
      <c r="D186" s="10"/>
    </row>
    <row r="187" spans="4:4" ht="15.75" customHeight="1" x14ac:dyDescent="0.35">
      <c r="D187" s="10"/>
    </row>
    <row r="188" spans="4:4" ht="15.75" customHeight="1" x14ac:dyDescent="0.35">
      <c r="D188" s="10"/>
    </row>
    <row r="189" spans="4:4" ht="15.75" customHeight="1" x14ac:dyDescent="0.35">
      <c r="D189" s="10"/>
    </row>
    <row r="190" spans="4:4" ht="15.75" customHeight="1" x14ac:dyDescent="0.35">
      <c r="D190" s="10"/>
    </row>
    <row r="191" spans="4:4" ht="15.75" customHeight="1" x14ac:dyDescent="0.35">
      <c r="D191" s="10"/>
    </row>
    <row r="192" spans="4:4" ht="15.75" customHeight="1" x14ac:dyDescent="0.35">
      <c r="D192" s="10"/>
    </row>
    <row r="193" spans="4:4" ht="15.75" customHeight="1" x14ac:dyDescent="0.35">
      <c r="D193" s="10"/>
    </row>
    <row r="194" spans="4:4" ht="15.75" customHeight="1" x14ac:dyDescent="0.35">
      <c r="D194" s="10"/>
    </row>
    <row r="195" spans="4:4" ht="15.75" customHeight="1" x14ac:dyDescent="0.35">
      <c r="D195" s="10"/>
    </row>
    <row r="196" spans="4:4" ht="15.75" customHeight="1" x14ac:dyDescent="0.35">
      <c r="D196" s="10"/>
    </row>
    <row r="197" spans="4:4" ht="15.75" customHeight="1" x14ac:dyDescent="0.35">
      <c r="D197" s="10"/>
    </row>
    <row r="198" spans="4:4" ht="15.75" customHeight="1" x14ac:dyDescent="0.35">
      <c r="D198" s="10"/>
    </row>
    <row r="199" spans="4:4" ht="15.75" customHeight="1" x14ac:dyDescent="0.35">
      <c r="D199" s="10"/>
    </row>
    <row r="200" spans="4:4" ht="15.75" customHeight="1" x14ac:dyDescent="0.35">
      <c r="D200" s="10"/>
    </row>
    <row r="201" spans="4:4" ht="15.75" customHeight="1" x14ac:dyDescent="0.35">
      <c r="D201" s="10"/>
    </row>
    <row r="202" spans="4:4" ht="15.75" customHeight="1" x14ac:dyDescent="0.35">
      <c r="D202" s="10"/>
    </row>
    <row r="203" spans="4:4" ht="15.75" customHeight="1" x14ac:dyDescent="0.35">
      <c r="D203" s="10"/>
    </row>
    <row r="204" spans="4:4" ht="15.75" customHeight="1" x14ac:dyDescent="0.35">
      <c r="D204" s="10"/>
    </row>
    <row r="205" spans="4:4" ht="15.75" customHeight="1" x14ac:dyDescent="0.35">
      <c r="D205" s="10"/>
    </row>
    <row r="206" spans="4:4" ht="15.75" customHeight="1" x14ac:dyDescent="0.35">
      <c r="D206" s="10"/>
    </row>
    <row r="207" spans="4:4" ht="15.75" customHeight="1" x14ac:dyDescent="0.35">
      <c r="D207" s="10"/>
    </row>
    <row r="208" spans="4:4" ht="15.75" customHeight="1" x14ac:dyDescent="0.35">
      <c r="D208" s="10"/>
    </row>
    <row r="209" spans="4:4" ht="15.75" customHeight="1" x14ac:dyDescent="0.35">
      <c r="D209" s="10"/>
    </row>
    <row r="210" spans="4:4" ht="15.75" customHeight="1" x14ac:dyDescent="0.35">
      <c r="D210" s="10"/>
    </row>
    <row r="211" spans="4:4" ht="15.75" customHeight="1" x14ac:dyDescent="0.35">
      <c r="D211" s="10"/>
    </row>
    <row r="212" spans="4:4" ht="15.75" customHeight="1" x14ac:dyDescent="0.35">
      <c r="D212" s="10"/>
    </row>
    <row r="213" spans="4:4" ht="15.75" customHeight="1" x14ac:dyDescent="0.35">
      <c r="D213" s="10"/>
    </row>
    <row r="214" spans="4:4" ht="15.75" customHeight="1" x14ac:dyDescent="0.35">
      <c r="D214" s="10"/>
    </row>
    <row r="215" spans="4:4" ht="15.75" customHeight="1" x14ac:dyDescent="0.35">
      <c r="D215" s="10"/>
    </row>
    <row r="216" spans="4:4" ht="15.75" customHeight="1" x14ac:dyDescent="0.35">
      <c r="D216" s="10"/>
    </row>
    <row r="217" spans="4:4" ht="15.75" customHeight="1" x14ac:dyDescent="0.35">
      <c r="D217" s="10"/>
    </row>
    <row r="218" spans="4:4" ht="15.75" customHeight="1" x14ac:dyDescent="0.35">
      <c r="D218" s="10"/>
    </row>
    <row r="219" spans="4:4" ht="15.75" customHeight="1" x14ac:dyDescent="0.35">
      <c r="D219" s="10"/>
    </row>
    <row r="220" spans="4:4" ht="15.75" customHeight="1" x14ac:dyDescent="0.35">
      <c r="D220" s="10"/>
    </row>
    <row r="221" spans="4:4" ht="15.75" customHeight="1" x14ac:dyDescent="0.35">
      <c r="D221" s="10"/>
    </row>
    <row r="222" spans="4:4" ht="15.75" customHeight="1" x14ac:dyDescent="0.35">
      <c r="D222" s="10"/>
    </row>
    <row r="223" spans="4:4" ht="15.75" customHeight="1" x14ac:dyDescent="0.35">
      <c r="D223" s="10"/>
    </row>
    <row r="224" spans="4:4" ht="15.75" customHeight="1" x14ac:dyDescent="0.35">
      <c r="D224" s="10"/>
    </row>
    <row r="225" spans="4:4" ht="15.75" customHeight="1" x14ac:dyDescent="0.35">
      <c r="D225" s="10"/>
    </row>
    <row r="226" spans="4:4" ht="15.75" customHeight="1" x14ac:dyDescent="0.35">
      <c r="D226" s="10"/>
    </row>
    <row r="227" spans="4:4" ht="15.75" customHeight="1" x14ac:dyDescent="0.35">
      <c r="D227" s="10"/>
    </row>
    <row r="228" spans="4:4" ht="15.75" customHeight="1" x14ac:dyDescent="0.35">
      <c r="D228" s="10"/>
    </row>
    <row r="229" spans="4:4" ht="15.75" customHeight="1" x14ac:dyDescent="0.35">
      <c r="D229" s="10"/>
    </row>
    <row r="230" spans="4:4" ht="15.75" customHeight="1" x14ac:dyDescent="0.35">
      <c r="D230" s="10"/>
    </row>
    <row r="231" spans="4:4" ht="15.75" customHeight="1" x14ac:dyDescent="0.35">
      <c r="D231" s="10"/>
    </row>
    <row r="232" spans="4:4" ht="15.75" customHeight="1" x14ac:dyDescent="0.35">
      <c r="D232" s="10"/>
    </row>
    <row r="233" spans="4:4" ht="15.75" customHeight="1" x14ac:dyDescent="0.35">
      <c r="D233" s="10"/>
    </row>
    <row r="234" spans="4:4" ht="15.75" customHeight="1" x14ac:dyDescent="0.35">
      <c r="D234" s="10"/>
    </row>
    <row r="235" spans="4:4" ht="15.75" customHeight="1" x14ac:dyDescent="0.35">
      <c r="D235" s="10"/>
    </row>
    <row r="236" spans="4:4" ht="15.75" customHeight="1" x14ac:dyDescent="0.35">
      <c r="D236" s="10"/>
    </row>
    <row r="237" spans="4:4" ht="15.75" customHeight="1" x14ac:dyDescent="0.35">
      <c r="D237" s="10"/>
    </row>
    <row r="238" spans="4:4" ht="15.75" customHeight="1" x14ac:dyDescent="0.35">
      <c r="D238" s="10"/>
    </row>
    <row r="239" spans="4:4" ht="15.75" customHeight="1" x14ac:dyDescent="0.35">
      <c r="D239" s="10"/>
    </row>
    <row r="240" spans="4:4" ht="15.75" customHeight="1" x14ac:dyDescent="0.35">
      <c r="D240" s="10"/>
    </row>
    <row r="241" spans="4:4" ht="15.75" customHeight="1" x14ac:dyDescent="0.35">
      <c r="D241" s="10"/>
    </row>
    <row r="242" spans="4:4" ht="15.75" customHeight="1" x14ac:dyDescent="0.35">
      <c r="D242" s="10"/>
    </row>
    <row r="243" spans="4:4" ht="15.75" customHeight="1" x14ac:dyDescent="0.35">
      <c r="D243" s="10"/>
    </row>
    <row r="244" spans="4:4" ht="15.75" customHeight="1" x14ac:dyDescent="0.35">
      <c r="D244" s="10"/>
    </row>
    <row r="245" spans="4:4" ht="15.75" customHeight="1" x14ac:dyDescent="0.35">
      <c r="D245" s="10"/>
    </row>
    <row r="246" spans="4:4" ht="15.75" customHeight="1" x14ac:dyDescent="0.35">
      <c r="D246" s="10"/>
    </row>
    <row r="247" spans="4:4" ht="15.75" customHeight="1" x14ac:dyDescent="0.35">
      <c r="D247" s="10"/>
    </row>
    <row r="248" spans="4:4" ht="15.75" customHeight="1" x14ac:dyDescent="0.35">
      <c r="D248" s="10"/>
    </row>
    <row r="249" spans="4:4" ht="15.75" customHeight="1" x14ac:dyDescent="0.35">
      <c r="D249" s="10"/>
    </row>
    <row r="250" spans="4:4" ht="15.75" customHeight="1" x14ac:dyDescent="0.35"/>
    <row r="251" spans="4:4" ht="15.75" customHeight="1" x14ac:dyDescent="0.35"/>
    <row r="252" spans="4:4" ht="15.75" customHeight="1" x14ac:dyDescent="0.35"/>
    <row r="253" spans="4:4" ht="15.75" customHeight="1" x14ac:dyDescent="0.35"/>
    <row r="254" spans="4:4" ht="15.75" customHeight="1" x14ac:dyDescent="0.35"/>
    <row r="255" spans="4:4" ht="15.75" customHeight="1" x14ac:dyDescent="0.35"/>
    <row r="256" spans="4:4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8">
    <mergeCell ref="G37:J37"/>
    <mergeCell ref="M38:Y38"/>
    <mergeCell ref="E1:AH1"/>
    <mergeCell ref="G27:J27"/>
    <mergeCell ref="K27:N27"/>
    <mergeCell ref="Q27:U27"/>
    <mergeCell ref="G28:G29"/>
    <mergeCell ref="K28:K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F28B-F78A-4410-A927-B3384F742549}">
  <sheetPr>
    <outlinePr summaryBelow="0" summaryRight="0"/>
  </sheetPr>
  <dimension ref="A1:AI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9" sqref="G9"/>
    </sheetView>
  </sheetViews>
  <sheetFormatPr defaultColWidth="14.453125" defaultRowHeight="15" customHeight="1" x14ac:dyDescent="0.35"/>
  <cols>
    <col min="1" max="1" width="3.7265625" customWidth="1"/>
    <col min="2" max="2" width="15.453125" customWidth="1"/>
    <col min="3" max="3" width="11.54296875" customWidth="1"/>
    <col min="4" max="4" width="13.453125" customWidth="1"/>
    <col min="5" max="6" width="11.81640625" customWidth="1"/>
    <col min="7" max="7" width="13.81640625" customWidth="1"/>
    <col min="8" max="8" width="11.81640625" customWidth="1"/>
    <col min="9" max="10" width="12.453125" customWidth="1"/>
    <col min="11" max="11" width="13.81640625" customWidth="1"/>
    <col min="12" max="12" width="12.453125" customWidth="1"/>
    <col min="13" max="14" width="11.81640625" customWidth="1"/>
    <col min="15" max="15" width="12" customWidth="1"/>
    <col min="16" max="16" width="10.81640625" customWidth="1"/>
    <col min="17" max="20" width="10.7265625" customWidth="1"/>
    <col min="21" max="21" width="10.54296875" customWidth="1"/>
    <col min="22" max="25" width="11.54296875" customWidth="1"/>
    <col min="26" max="28" width="12.08984375" customWidth="1"/>
    <col min="29" max="34" width="11.81640625" customWidth="1"/>
  </cols>
  <sheetData>
    <row r="1" spans="1:35" ht="14.5" x14ac:dyDescent="0.35">
      <c r="A1" s="8"/>
      <c r="B1" s="9" t="s">
        <v>3258</v>
      </c>
      <c r="E1" s="132" t="s">
        <v>3321</v>
      </c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</row>
    <row r="2" spans="1:35" ht="14.5" x14ac:dyDescent="0.35">
      <c r="A2" s="9"/>
      <c r="C2" s="10"/>
      <c r="D2" s="10"/>
      <c r="E2" s="8" t="s">
        <v>3261</v>
      </c>
      <c r="F2" s="8" t="s">
        <v>3262</v>
      </c>
      <c r="G2" s="8" t="s">
        <v>3263</v>
      </c>
      <c r="H2" s="9" t="s">
        <v>3264</v>
      </c>
      <c r="I2" s="9" t="s">
        <v>3265</v>
      </c>
      <c r="J2" s="8" t="s">
        <v>3266</v>
      </c>
      <c r="K2" s="8" t="s">
        <v>3260</v>
      </c>
      <c r="L2" s="8" t="s">
        <v>3261</v>
      </c>
      <c r="M2" s="8" t="s">
        <v>3262</v>
      </c>
      <c r="N2" s="8" t="s">
        <v>3263</v>
      </c>
      <c r="O2" s="9" t="s">
        <v>3264</v>
      </c>
      <c r="P2" s="9" t="s">
        <v>3265</v>
      </c>
      <c r="Q2" s="8" t="s">
        <v>3266</v>
      </c>
      <c r="R2" s="8" t="s">
        <v>3260</v>
      </c>
      <c r="S2" s="8" t="s">
        <v>3261</v>
      </c>
      <c r="T2" s="8" t="s">
        <v>3262</v>
      </c>
      <c r="U2" s="8" t="s">
        <v>3263</v>
      </c>
      <c r="V2" s="9" t="s">
        <v>3264</v>
      </c>
      <c r="W2" s="9" t="s">
        <v>3265</v>
      </c>
      <c r="X2" s="8" t="s">
        <v>3266</v>
      </c>
      <c r="Y2" s="8" t="s">
        <v>3260</v>
      </c>
      <c r="Z2" s="8" t="s">
        <v>3261</v>
      </c>
      <c r="AA2" s="8" t="s">
        <v>3262</v>
      </c>
      <c r="AB2" s="8" t="s">
        <v>3263</v>
      </c>
      <c r="AC2" s="9" t="s">
        <v>3264</v>
      </c>
      <c r="AD2" s="9" t="s">
        <v>3265</v>
      </c>
      <c r="AE2" s="8" t="s">
        <v>3266</v>
      </c>
      <c r="AF2" s="8" t="s">
        <v>3260</v>
      </c>
      <c r="AG2" s="8" t="s">
        <v>3261</v>
      </c>
      <c r="AH2" s="8" t="s">
        <v>3262</v>
      </c>
      <c r="AI2" s="8" t="s">
        <v>3263</v>
      </c>
    </row>
    <row r="3" spans="1:35" ht="14.5" x14ac:dyDescent="0.35">
      <c r="A3" s="9" t="s">
        <v>3267</v>
      </c>
      <c r="B3" s="8" t="s">
        <v>3268</v>
      </c>
      <c r="C3" s="8" t="s">
        <v>3269</v>
      </c>
      <c r="D3" s="8" t="s">
        <v>3270</v>
      </c>
      <c r="E3" s="11">
        <v>45413</v>
      </c>
      <c r="F3" s="11">
        <v>45414</v>
      </c>
      <c r="G3" s="11">
        <v>45415</v>
      </c>
      <c r="H3" s="11">
        <v>45416</v>
      </c>
      <c r="I3" s="11">
        <v>45417</v>
      </c>
      <c r="J3" s="11">
        <v>45418</v>
      </c>
      <c r="K3" s="11">
        <v>45419</v>
      </c>
      <c r="L3" s="11">
        <v>45420</v>
      </c>
      <c r="M3" s="11">
        <v>45421</v>
      </c>
      <c r="N3" s="11">
        <v>45422</v>
      </c>
      <c r="O3" s="11">
        <v>45423</v>
      </c>
      <c r="P3" s="11">
        <v>45424</v>
      </c>
      <c r="Q3" s="11">
        <v>45425</v>
      </c>
      <c r="R3" s="11">
        <v>45426</v>
      </c>
      <c r="S3" s="11">
        <v>45427</v>
      </c>
      <c r="T3" s="11">
        <v>45428</v>
      </c>
      <c r="U3" s="11">
        <v>45429</v>
      </c>
      <c r="V3" s="11">
        <v>45430</v>
      </c>
      <c r="W3" s="11">
        <v>45431</v>
      </c>
      <c r="X3" s="11">
        <v>45432</v>
      </c>
      <c r="Y3" s="11">
        <v>45433</v>
      </c>
      <c r="Z3" s="11">
        <v>45434</v>
      </c>
      <c r="AA3" s="11">
        <v>45435</v>
      </c>
      <c r="AB3" s="11">
        <v>45436</v>
      </c>
      <c r="AC3" s="11">
        <v>45437</v>
      </c>
      <c r="AD3" s="11">
        <v>45438</v>
      </c>
      <c r="AE3" s="11">
        <v>45439</v>
      </c>
      <c r="AF3" s="11">
        <v>45440</v>
      </c>
      <c r="AG3" s="11">
        <v>45441</v>
      </c>
      <c r="AH3" s="11">
        <v>45442</v>
      </c>
      <c r="AI3" s="11">
        <v>45443</v>
      </c>
    </row>
    <row r="4" spans="1:35" ht="14.5" x14ac:dyDescent="0.35">
      <c r="A4" s="12">
        <v>1</v>
      </c>
      <c r="B4" s="13" t="s">
        <v>64</v>
      </c>
      <c r="C4" s="14">
        <v>101</v>
      </c>
      <c r="D4" s="15">
        <v>2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 t="s">
        <v>41</v>
      </c>
      <c r="AG4" s="16"/>
      <c r="AH4" s="61" t="s">
        <v>41</v>
      </c>
      <c r="AI4" s="16" t="s">
        <v>41</v>
      </c>
    </row>
    <row r="5" spans="1:35" ht="14.5" x14ac:dyDescent="0.35">
      <c r="A5" s="12">
        <v>2</v>
      </c>
      <c r="B5" s="13" t="s">
        <v>64</v>
      </c>
      <c r="C5" s="14">
        <v>201</v>
      </c>
      <c r="D5" s="15">
        <v>2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 t="s">
        <v>41</v>
      </c>
      <c r="AD5" s="16"/>
      <c r="AE5" s="16"/>
      <c r="AF5" s="16" t="s">
        <v>41</v>
      </c>
      <c r="AG5" s="16" t="s">
        <v>41</v>
      </c>
      <c r="AH5" s="16" t="s">
        <v>41</v>
      </c>
      <c r="AI5" s="16" t="s">
        <v>41</v>
      </c>
    </row>
    <row r="6" spans="1:35" ht="14.5" x14ac:dyDescent="0.35">
      <c r="A6" s="12">
        <v>3</v>
      </c>
      <c r="B6" s="13" t="s">
        <v>64</v>
      </c>
      <c r="C6" s="14">
        <v>301</v>
      </c>
      <c r="D6" s="15">
        <v>2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 t="s">
        <v>3275</v>
      </c>
      <c r="AD6" s="16" t="s">
        <v>41</v>
      </c>
      <c r="AE6" s="16" t="s">
        <v>41</v>
      </c>
      <c r="AF6" s="16" t="s">
        <v>41</v>
      </c>
      <c r="AG6" s="16" t="s">
        <v>41</v>
      </c>
      <c r="AH6" s="16" t="s">
        <v>41</v>
      </c>
      <c r="AI6" s="16"/>
    </row>
    <row r="7" spans="1:35" ht="14.5" x14ac:dyDescent="0.35">
      <c r="A7" s="12">
        <v>4</v>
      </c>
      <c r="B7" s="13" t="s">
        <v>64</v>
      </c>
      <c r="C7" s="14">
        <v>401</v>
      </c>
      <c r="D7" s="15">
        <v>2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 t="s">
        <v>41</v>
      </c>
      <c r="AD7" s="16" t="s">
        <v>41</v>
      </c>
      <c r="AE7" s="16" t="s">
        <v>41</v>
      </c>
      <c r="AF7" s="16" t="s">
        <v>41</v>
      </c>
      <c r="AG7" s="16" t="s">
        <v>3275</v>
      </c>
      <c r="AH7" s="16" t="s">
        <v>3275</v>
      </c>
      <c r="AI7" s="16" t="s">
        <v>3275</v>
      </c>
    </row>
    <row r="8" spans="1:35" ht="14.5" x14ac:dyDescent="0.35">
      <c r="A8" s="12">
        <v>5</v>
      </c>
      <c r="B8" s="13" t="s">
        <v>64</v>
      </c>
      <c r="C8" s="14">
        <v>501</v>
      </c>
      <c r="D8" s="15">
        <v>2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 t="s">
        <v>3304</v>
      </c>
      <c r="AD8" s="16" t="s">
        <v>3304</v>
      </c>
      <c r="AE8" s="16" t="s">
        <v>3304</v>
      </c>
      <c r="AF8" s="16" t="s">
        <v>3304</v>
      </c>
      <c r="AG8" s="16" t="s">
        <v>3304</v>
      </c>
      <c r="AH8" s="16"/>
      <c r="AI8" s="16"/>
    </row>
    <row r="9" spans="1:35" ht="14.5" x14ac:dyDescent="0.35">
      <c r="A9" s="12">
        <v>6</v>
      </c>
      <c r="B9" s="13" t="s">
        <v>64</v>
      </c>
      <c r="C9" s="14">
        <v>601</v>
      </c>
      <c r="D9" s="15">
        <v>2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 t="s">
        <v>3304</v>
      </c>
      <c r="AD9" s="36" t="s">
        <v>41</v>
      </c>
      <c r="AE9" s="36" t="s">
        <v>41</v>
      </c>
      <c r="AF9" s="16" t="s">
        <v>41</v>
      </c>
      <c r="AG9" s="16" t="s">
        <v>41</v>
      </c>
      <c r="AH9" s="16" t="s">
        <v>41</v>
      </c>
      <c r="AI9" s="16"/>
    </row>
    <row r="10" spans="1:35" ht="14.5" x14ac:dyDescent="0.35">
      <c r="A10" s="18">
        <v>7</v>
      </c>
      <c r="B10" s="19" t="s">
        <v>59</v>
      </c>
      <c r="C10" s="20">
        <v>102</v>
      </c>
      <c r="D10" s="15">
        <v>2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 t="s">
        <v>41</v>
      </c>
      <c r="AG10" s="16" t="s">
        <v>41</v>
      </c>
      <c r="AH10" s="61" t="s">
        <v>41</v>
      </c>
      <c r="AI10" s="16"/>
    </row>
    <row r="11" spans="1:35" ht="14.5" x14ac:dyDescent="0.35">
      <c r="A11" s="18">
        <v>8</v>
      </c>
      <c r="B11" s="19" t="s">
        <v>59</v>
      </c>
      <c r="C11" s="20">
        <v>202</v>
      </c>
      <c r="D11" s="15">
        <v>2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 t="s">
        <v>41</v>
      </c>
      <c r="AG11" s="16" t="s">
        <v>41</v>
      </c>
      <c r="AH11" s="16" t="s">
        <v>3304</v>
      </c>
      <c r="AI11" s="16" t="s">
        <v>3304</v>
      </c>
    </row>
    <row r="12" spans="1:35" ht="14.5" x14ac:dyDescent="0.35">
      <c r="A12" s="18">
        <v>9</v>
      </c>
      <c r="B12" s="19" t="s">
        <v>59</v>
      </c>
      <c r="C12" s="20">
        <v>302</v>
      </c>
      <c r="D12" s="15">
        <v>2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 t="s">
        <v>41</v>
      </c>
      <c r="AD12" s="16"/>
      <c r="AE12" s="16" t="s">
        <v>3304</v>
      </c>
      <c r="AF12" s="16" t="s">
        <v>3304</v>
      </c>
      <c r="AG12" s="16" t="s">
        <v>3304</v>
      </c>
      <c r="AH12" s="16"/>
      <c r="AI12" s="16" t="s">
        <v>41</v>
      </c>
    </row>
    <row r="13" spans="1:35" ht="14.5" x14ac:dyDescent="0.35">
      <c r="A13" s="18">
        <v>10</v>
      </c>
      <c r="B13" s="19" t="s">
        <v>59</v>
      </c>
      <c r="C13" s="20">
        <v>402</v>
      </c>
      <c r="D13" s="15">
        <v>2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 t="s">
        <v>41</v>
      </c>
      <c r="AD13" s="16" t="s">
        <v>41</v>
      </c>
      <c r="AE13" s="42" t="s">
        <v>41</v>
      </c>
      <c r="AF13" s="42" t="s">
        <v>41</v>
      </c>
      <c r="AG13" s="16"/>
      <c r="AH13" s="16"/>
      <c r="AI13" s="16"/>
    </row>
    <row r="14" spans="1:35" ht="14.5" x14ac:dyDescent="0.35">
      <c r="A14" s="21">
        <v>11</v>
      </c>
      <c r="B14" s="22" t="s">
        <v>71</v>
      </c>
      <c r="C14" s="23">
        <v>502</v>
      </c>
      <c r="D14" s="15">
        <v>2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 t="s">
        <v>41</v>
      </c>
      <c r="AD14" s="16"/>
      <c r="AE14" s="42" t="s">
        <v>41</v>
      </c>
      <c r="AF14" s="42" t="s">
        <v>41</v>
      </c>
      <c r="AG14" s="16"/>
      <c r="AH14" s="16"/>
      <c r="AI14" s="16"/>
    </row>
    <row r="15" spans="1:35" ht="14.5" x14ac:dyDescent="0.35">
      <c r="A15" s="21">
        <v>12</v>
      </c>
      <c r="B15" s="22" t="s">
        <v>71</v>
      </c>
      <c r="C15" s="23">
        <v>602</v>
      </c>
      <c r="D15" s="15">
        <v>2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 t="s">
        <v>41</v>
      </c>
      <c r="AC15" s="16" t="s">
        <v>41</v>
      </c>
      <c r="AD15" s="16" t="s">
        <v>3275</v>
      </c>
      <c r="AE15" s="42" t="s">
        <v>41</v>
      </c>
      <c r="AF15" s="42" t="s">
        <v>41</v>
      </c>
      <c r="AG15" s="16"/>
      <c r="AH15" s="16"/>
      <c r="AI15" s="16"/>
    </row>
    <row r="16" spans="1:35" ht="14.5" x14ac:dyDescent="0.35">
      <c r="A16" s="21">
        <v>13</v>
      </c>
      <c r="B16" s="22" t="s">
        <v>71</v>
      </c>
      <c r="C16" s="23">
        <v>702</v>
      </c>
      <c r="D16" s="15">
        <v>2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</row>
    <row r="17" spans="1:35" ht="14.5" x14ac:dyDescent="0.35">
      <c r="A17" s="24">
        <v>14</v>
      </c>
      <c r="B17" s="25" t="s">
        <v>29</v>
      </c>
      <c r="C17" s="26">
        <v>103</v>
      </c>
      <c r="D17" s="15">
        <v>2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</row>
    <row r="18" spans="1:35" ht="14.5" x14ac:dyDescent="0.35">
      <c r="A18" s="24">
        <v>15</v>
      </c>
      <c r="B18" s="25" t="s">
        <v>29</v>
      </c>
      <c r="C18" s="26">
        <v>203</v>
      </c>
      <c r="D18" s="15">
        <v>2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</row>
    <row r="19" spans="1:35" ht="14.5" x14ac:dyDescent="0.35">
      <c r="A19" s="24">
        <v>16</v>
      </c>
      <c r="B19" s="25" t="s">
        <v>29</v>
      </c>
      <c r="C19" s="26">
        <v>303</v>
      </c>
      <c r="D19" s="15">
        <v>2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 t="s">
        <v>41</v>
      </c>
      <c r="AC19" s="16" t="s">
        <v>41</v>
      </c>
      <c r="AD19" s="16"/>
      <c r="AE19" s="16" t="s">
        <v>3274</v>
      </c>
      <c r="AF19" s="16" t="s">
        <v>41</v>
      </c>
      <c r="AG19" s="16"/>
      <c r="AH19" s="16"/>
      <c r="AI19" s="16"/>
    </row>
    <row r="20" spans="1:35" ht="14.5" x14ac:dyDescent="0.35">
      <c r="A20" s="24">
        <v>17</v>
      </c>
      <c r="B20" s="25" t="s">
        <v>29</v>
      </c>
      <c r="C20" s="26">
        <v>403</v>
      </c>
      <c r="D20" s="15">
        <v>2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 t="s">
        <v>3275</v>
      </c>
      <c r="AC20" s="16" t="s">
        <v>3304</v>
      </c>
      <c r="AD20" s="16"/>
      <c r="AE20" s="16"/>
      <c r="AF20" s="16" t="s">
        <v>3275</v>
      </c>
      <c r="AG20" s="16"/>
      <c r="AH20" s="16"/>
      <c r="AI20" s="16"/>
    </row>
    <row r="21" spans="1:35" ht="15.75" customHeight="1" x14ac:dyDescent="0.35">
      <c r="A21" s="24">
        <v>18</v>
      </c>
      <c r="B21" s="25" t="s">
        <v>29</v>
      </c>
      <c r="C21" s="26">
        <v>503</v>
      </c>
      <c r="D21" s="15">
        <v>2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 t="s">
        <v>41</v>
      </c>
      <c r="AA21" s="16"/>
      <c r="AC21" s="16"/>
      <c r="AD21" s="16"/>
      <c r="AE21" s="16"/>
      <c r="AF21" s="16" t="s">
        <v>3275</v>
      </c>
      <c r="AG21" s="16"/>
      <c r="AH21" s="16"/>
      <c r="AI21" s="16"/>
    </row>
    <row r="22" spans="1:35" ht="15.75" customHeight="1" x14ac:dyDescent="0.35">
      <c r="A22" s="24">
        <v>19</v>
      </c>
      <c r="B22" s="25" t="s">
        <v>29</v>
      </c>
      <c r="C22" s="26">
        <v>603</v>
      </c>
      <c r="D22" s="15">
        <v>2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36" t="s">
        <v>41</v>
      </c>
      <c r="AE22" s="16"/>
      <c r="AF22" s="16"/>
      <c r="AG22" s="16"/>
      <c r="AH22" s="16"/>
      <c r="AI22" s="16" t="s">
        <v>3271</v>
      </c>
    </row>
    <row r="23" spans="1:35" ht="15.75" customHeight="1" x14ac:dyDescent="0.35">
      <c r="A23" s="24">
        <v>20</v>
      </c>
      <c r="B23" s="25" t="s">
        <v>29</v>
      </c>
      <c r="C23" s="26">
        <v>703</v>
      </c>
      <c r="D23" s="15">
        <v>2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</row>
    <row r="24" spans="1:35" ht="15.75" customHeight="1" x14ac:dyDescent="0.35">
      <c r="A24" s="27">
        <v>21</v>
      </c>
      <c r="B24" s="28" t="s">
        <v>232</v>
      </c>
      <c r="C24" s="28" t="s">
        <v>232</v>
      </c>
      <c r="D24" s="15">
        <v>1</v>
      </c>
      <c r="E24" s="16" t="s">
        <v>3276</v>
      </c>
      <c r="F24" s="16" t="s">
        <v>3276</v>
      </c>
      <c r="G24" s="16" t="s">
        <v>3276</v>
      </c>
      <c r="H24" s="16" t="s">
        <v>3276</v>
      </c>
      <c r="I24" s="16" t="s">
        <v>3276</v>
      </c>
      <c r="J24" s="16" t="s">
        <v>3276</v>
      </c>
      <c r="K24" s="16" t="s">
        <v>3276</v>
      </c>
      <c r="L24" s="16" t="s">
        <v>3276</v>
      </c>
      <c r="M24" s="16" t="s">
        <v>3276</v>
      </c>
      <c r="N24" s="16" t="s">
        <v>3276</v>
      </c>
      <c r="O24" s="16" t="s">
        <v>3276</v>
      </c>
      <c r="P24" s="16" t="s">
        <v>3276</v>
      </c>
      <c r="Q24" s="16" t="s">
        <v>3276</v>
      </c>
      <c r="R24" s="16" t="s">
        <v>3276</v>
      </c>
      <c r="S24" s="16" t="s">
        <v>3276</v>
      </c>
      <c r="T24" s="16" t="s">
        <v>3276</v>
      </c>
      <c r="U24" s="16" t="s">
        <v>3276</v>
      </c>
      <c r="V24" s="16" t="s">
        <v>3276</v>
      </c>
      <c r="W24" s="16" t="s">
        <v>3276</v>
      </c>
      <c r="X24" s="16" t="s">
        <v>3276</v>
      </c>
      <c r="Y24" s="16" t="s">
        <v>3276</v>
      </c>
      <c r="Z24" s="16" t="s">
        <v>3276</v>
      </c>
      <c r="AA24" s="16" t="s">
        <v>3276</v>
      </c>
      <c r="AB24" s="16" t="s">
        <v>3276</v>
      </c>
      <c r="AC24" s="16" t="s">
        <v>3276</v>
      </c>
      <c r="AD24" s="16" t="s">
        <v>3276</v>
      </c>
      <c r="AE24" s="16" t="s">
        <v>3276</v>
      </c>
      <c r="AF24" s="16" t="s">
        <v>3276</v>
      </c>
      <c r="AG24" s="16" t="s">
        <v>3276</v>
      </c>
      <c r="AH24" s="16" t="s">
        <v>3276</v>
      </c>
      <c r="AI24" s="16" t="s">
        <v>3276</v>
      </c>
    </row>
    <row r="25" spans="1:35" ht="15.75" customHeight="1" x14ac:dyDescent="0.35">
      <c r="D25" s="10"/>
    </row>
    <row r="26" spans="1:35" ht="15.75" customHeight="1" x14ac:dyDescent="0.35">
      <c r="D26" s="10"/>
    </row>
    <row r="27" spans="1:35" ht="15.75" customHeight="1" x14ac:dyDescent="0.35">
      <c r="D27" s="10"/>
      <c r="G27" s="133" t="s">
        <v>3277</v>
      </c>
      <c r="H27" s="127"/>
      <c r="I27" s="127"/>
      <c r="J27" s="128"/>
      <c r="K27" s="134" t="s">
        <v>3278</v>
      </c>
      <c r="L27" s="127"/>
      <c r="M27" s="127"/>
      <c r="N27" s="128"/>
    </row>
    <row r="28" spans="1:35" ht="15.75" customHeight="1" x14ac:dyDescent="0.35">
      <c r="B28" s="29" t="s">
        <v>3279</v>
      </c>
      <c r="C28" s="16" t="s">
        <v>3253</v>
      </c>
      <c r="D28" s="30" t="s">
        <v>3280</v>
      </c>
      <c r="E28" s="16" t="s">
        <v>3254</v>
      </c>
      <c r="G28" s="136" t="s">
        <v>3281</v>
      </c>
      <c r="H28" s="30" t="s">
        <v>3253</v>
      </c>
      <c r="I28" s="30" t="s">
        <v>3280</v>
      </c>
      <c r="J28" s="30" t="s">
        <v>3254</v>
      </c>
      <c r="K28" s="136" t="s">
        <v>3281</v>
      </c>
      <c r="L28" s="30" t="s">
        <v>3253</v>
      </c>
      <c r="M28" s="30" t="s">
        <v>3280</v>
      </c>
      <c r="N28" s="30" t="s">
        <v>3254</v>
      </c>
    </row>
    <row r="29" spans="1:35" ht="15.75" customHeight="1" x14ac:dyDescent="0.35">
      <c r="B29" s="16" t="s">
        <v>3282</v>
      </c>
      <c r="C29" s="16">
        <v>21</v>
      </c>
      <c r="D29" s="30">
        <f t="shared" ref="D29:D34" si="0">C29*7</f>
        <v>147</v>
      </c>
      <c r="E29" s="16">
        <f t="shared" ref="E29:E34" si="1">C29*31</f>
        <v>651</v>
      </c>
      <c r="G29" s="137"/>
      <c r="H29" s="32">
        <v>45413</v>
      </c>
      <c r="I29" s="30" t="s">
        <v>3322</v>
      </c>
      <c r="J29" s="30" t="s">
        <v>3323</v>
      </c>
      <c r="K29" s="137"/>
      <c r="L29" s="32">
        <v>45413</v>
      </c>
      <c r="M29" s="30" t="s">
        <v>3322</v>
      </c>
      <c r="N29" s="30" t="s">
        <v>3323</v>
      </c>
    </row>
    <row r="30" spans="1:35" ht="15.75" customHeight="1" x14ac:dyDescent="0.35">
      <c r="B30" s="16" t="s">
        <v>64</v>
      </c>
      <c r="C30" s="16">
        <v>6</v>
      </c>
      <c r="D30" s="30">
        <f t="shared" si="0"/>
        <v>42</v>
      </c>
      <c r="E30" s="16">
        <f t="shared" si="1"/>
        <v>186</v>
      </c>
      <c r="G30" s="16" t="s">
        <v>64</v>
      </c>
      <c r="H30" s="16">
        <f>COUNTA(E4:E9)</f>
        <v>0</v>
      </c>
      <c r="I30" s="16">
        <f>COUNTA(J4:P9)</f>
        <v>0</v>
      </c>
      <c r="J30" s="16">
        <f>COUNTA(E4:AI9)</f>
        <v>32</v>
      </c>
      <c r="K30" s="16" t="s">
        <v>64</v>
      </c>
      <c r="L30" s="16">
        <f>COUNTBLANK(E4:E9)</f>
        <v>6</v>
      </c>
      <c r="M30" s="16">
        <f>COUNTBLANK(J4:P9)</f>
        <v>42</v>
      </c>
      <c r="N30" s="35">
        <f>COUNTBLANK(E4:AI9)</f>
        <v>154</v>
      </c>
      <c r="O30" s="28">
        <f t="shared" ref="O30:O34" si="2">J30+N30</f>
        <v>186</v>
      </c>
    </row>
    <row r="31" spans="1:35" ht="15.75" customHeight="1" x14ac:dyDescent="0.35">
      <c r="B31" s="16" t="s">
        <v>59</v>
      </c>
      <c r="C31" s="16">
        <v>4</v>
      </c>
      <c r="D31" s="30">
        <f t="shared" si="0"/>
        <v>28</v>
      </c>
      <c r="E31" s="16">
        <f t="shared" si="1"/>
        <v>124</v>
      </c>
      <c r="G31" s="16" t="s">
        <v>59</v>
      </c>
      <c r="H31" s="35">
        <f>COUNTA(E10:E13)</f>
        <v>0</v>
      </c>
      <c r="I31" s="16"/>
      <c r="J31" s="16">
        <f>COUNTA(E10:AI13)</f>
        <v>16</v>
      </c>
      <c r="K31" s="16" t="s">
        <v>59</v>
      </c>
      <c r="L31" s="35">
        <f>COUNTBLANK(I10:I14)</f>
        <v>5</v>
      </c>
      <c r="M31" s="16"/>
      <c r="N31" s="16">
        <f>COUNTBLANK(E10:AI13)</f>
        <v>108</v>
      </c>
      <c r="O31" s="28">
        <f t="shared" si="2"/>
        <v>124</v>
      </c>
    </row>
    <row r="32" spans="1:35" ht="15.75" customHeight="1" x14ac:dyDescent="0.35">
      <c r="B32" s="16" t="s">
        <v>71</v>
      </c>
      <c r="C32" s="16">
        <v>3</v>
      </c>
      <c r="D32" s="30">
        <f t="shared" si="0"/>
        <v>21</v>
      </c>
      <c r="E32" s="16">
        <f t="shared" si="1"/>
        <v>93</v>
      </c>
      <c r="G32" s="16" t="s">
        <v>71</v>
      </c>
      <c r="H32" s="35">
        <f>COUNTA(E14:E16)</f>
        <v>0</v>
      </c>
      <c r="I32" s="16"/>
      <c r="J32" s="16">
        <f>COUNTA(E14:AI16)</f>
        <v>8</v>
      </c>
      <c r="K32" s="16" t="s">
        <v>71</v>
      </c>
      <c r="L32" s="35">
        <f>COUNTBLANK(I14:I16)</f>
        <v>3</v>
      </c>
      <c r="M32" s="16"/>
      <c r="N32" s="16">
        <f>COUNTBLANK(E14:AI16)</f>
        <v>85</v>
      </c>
      <c r="O32" s="28">
        <f t="shared" si="2"/>
        <v>93</v>
      </c>
    </row>
    <row r="33" spans="2:15" ht="15.75" customHeight="1" x14ac:dyDescent="0.35">
      <c r="B33" s="16" t="s">
        <v>3286</v>
      </c>
      <c r="C33" s="16">
        <v>7</v>
      </c>
      <c r="D33" s="30">
        <f t="shared" si="0"/>
        <v>49</v>
      </c>
      <c r="E33" s="16">
        <f t="shared" si="1"/>
        <v>217</v>
      </c>
      <c r="G33" s="16" t="s">
        <v>3286</v>
      </c>
      <c r="H33" s="35">
        <f>COUNTA(E17:E23)</f>
        <v>0</v>
      </c>
      <c r="I33" s="16"/>
      <c r="J33" s="16">
        <f>COUNTA(E17:AI23)</f>
        <v>11</v>
      </c>
      <c r="K33" s="16" t="s">
        <v>3286</v>
      </c>
      <c r="L33" s="35">
        <f>COUNTBLANK(I17:I23)</f>
        <v>7</v>
      </c>
      <c r="M33" s="16"/>
      <c r="N33" s="16">
        <f>COUNTBLANK(E17:AI23)</f>
        <v>206</v>
      </c>
      <c r="O33" s="28">
        <f t="shared" si="2"/>
        <v>217</v>
      </c>
    </row>
    <row r="34" spans="2:15" ht="15.75" customHeight="1" x14ac:dyDescent="0.35">
      <c r="B34" s="16" t="s">
        <v>3287</v>
      </c>
      <c r="C34" s="16">
        <v>1</v>
      </c>
      <c r="D34" s="30">
        <f t="shared" si="0"/>
        <v>7</v>
      </c>
      <c r="E34" s="16">
        <f t="shared" si="1"/>
        <v>31</v>
      </c>
      <c r="G34" s="16" t="s">
        <v>3287</v>
      </c>
      <c r="H34" s="16">
        <f>COUNTA(E24)</f>
        <v>1</v>
      </c>
      <c r="I34" s="16"/>
      <c r="J34" s="16"/>
      <c r="K34" s="16" t="s">
        <v>3287</v>
      </c>
      <c r="L34" s="16">
        <f>COUNTBLANK(I24)</f>
        <v>0</v>
      </c>
      <c r="M34" s="16"/>
      <c r="N34" s="16"/>
      <c r="O34" s="28">
        <f t="shared" si="2"/>
        <v>0</v>
      </c>
    </row>
    <row r="35" spans="2:15" ht="15.75" customHeight="1" x14ac:dyDescent="0.35">
      <c r="D35" s="10"/>
      <c r="H35" s="8"/>
      <c r="I35" s="8"/>
      <c r="J35" s="8"/>
    </row>
    <row r="36" spans="2:15" ht="15.75" customHeight="1" x14ac:dyDescent="0.35">
      <c r="D36" s="10"/>
      <c r="G36" s="8"/>
      <c r="H36" s="8"/>
      <c r="I36" s="8"/>
      <c r="J36" s="8"/>
    </row>
    <row r="37" spans="2:15" ht="15.75" customHeight="1" x14ac:dyDescent="0.35">
      <c r="D37" s="10"/>
      <c r="G37" s="126" t="s">
        <v>3288</v>
      </c>
      <c r="H37" s="127"/>
      <c r="I37" s="127"/>
      <c r="J37" s="128"/>
    </row>
    <row r="38" spans="2:15" ht="15.75" customHeight="1" x14ac:dyDescent="0.35">
      <c r="B38" s="40" t="s">
        <v>3289</v>
      </c>
      <c r="C38" s="40" t="s">
        <v>3290</v>
      </c>
      <c r="D38" s="8"/>
      <c r="G38" s="40" t="s">
        <v>3290</v>
      </c>
      <c r="H38" s="40" t="s">
        <v>3253</v>
      </c>
      <c r="I38" s="40" t="s">
        <v>3280</v>
      </c>
      <c r="J38" s="40" t="s">
        <v>3254</v>
      </c>
    </row>
    <row r="39" spans="2:15" ht="15.75" customHeight="1" x14ac:dyDescent="0.35">
      <c r="B39" s="16" t="s">
        <v>3272</v>
      </c>
      <c r="C39" s="16" t="s">
        <v>3292</v>
      </c>
      <c r="D39" s="10"/>
      <c r="G39" s="16" t="s">
        <v>3292</v>
      </c>
      <c r="H39" s="16"/>
      <c r="I39" s="16"/>
      <c r="J39" s="16">
        <f t="shared" ref="J39:J49" si="3">COUNTIF($E$4:$AI$24,B39)</f>
        <v>0</v>
      </c>
    </row>
    <row r="40" spans="2:15" ht="15.75" customHeight="1" x14ac:dyDescent="0.35">
      <c r="B40" s="16" t="s">
        <v>3273</v>
      </c>
      <c r="C40" s="16" t="s">
        <v>3294</v>
      </c>
      <c r="D40" s="10"/>
      <c r="G40" s="16" t="s">
        <v>3294</v>
      </c>
      <c r="H40" s="16"/>
      <c r="I40" s="16"/>
      <c r="J40" s="16">
        <f t="shared" si="3"/>
        <v>0</v>
      </c>
    </row>
    <row r="41" spans="2:15" ht="15.75" customHeight="1" x14ac:dyDescent="0.35">
      <c r="B41" s="16" t="s">
        <v>3275</v>
      </c>
      <c r="C41" s="16" t="s">
        <v>3295</v>
      </c>
      <c r="D41" s="10"/>
      <c r="G41" s="16" t="s">
        <v>3295</v>
      </c>
      <c r="H41" s="16"/>
      <c r="I41" s="16"/>
      <c r="J41" s="16">
        <f t="shared" si="3"/>
        <v>8</v>
      </c>
    </row>
    <row r="42" spans="2:15" ht="15.75" customHeight="1" x14ac:dyDescent="0.35">
      <c r="B42" s="16" t="s">
        <v>41</v>
      </c>
      <c r="C42" s="16" t="s">
        <v>3296</v>
      </c>
      <c r="D42" s="10"/>
      <c r="G42" s="16" t="s">
        <v>3296</v>
      </c>
      <c r="H42" s="16"/>
      <c r="I42" s="16"/>
      <c r="J42" s="16">
        <f t="shared" si="3"/>
        <v>45</v>
      </c>
    </row>
    <row r="43" spans="2:15" ht="15.75" customHeight="1" x14ac:dyDescent="0.35">
      <c r="B43" s="16" t="s">
        <v>3274</v>
      </c>
      <c r="C43" s="16" t="s">
        <v>3297</v>
      </c>
      <c r="D43" s="10"/>
      <c r="G43" s="16" t="s">
        <v>3297</v>
      </c>
      <c r="H43" s="16"/>
      <c r="I43" s="16"/>
      <c r="J43" s="16">
        <f t="shared" si="3"/>
        <v>1</v>
      </c>
    </row>
    <row r="44" spans="2:15" ht="15.75" customHeight="1" x14ac:dyDescent="0.35">
      <c r="B44" s="16" t="s">
        <v>3304</v>
      </c>
      <c r="C44" s="16" t="s">
        <v>3298</v>
      </c>
      <c r="D44" s="10"/>
      <c r="G44" s="16" t="s">
        <v>3298</v>
      </c>
      <c r="H44" s="16"/>
      <c r="I44" s="16"/>
      <c r="J44" s="16">
        <f t="shared" si="3"/>
        <v>12</v>
      </c>
    </row>
    <row r="45" spans="2:15" ht="15.75" customHeight="1" x14ac:dyDescent="0.35">
      <c r="B45" s="16" t="s">
        <v>3305</v>
      </c>
      <c r="C45" s="16" t="s">
        <v>3299</v>
      </c>
      <c r="D45" s="10"/>
      <c r="G45" s="16" t="s">
        <v>3299</v>
      </c>
      <c r="H45" s="16"/>
      <c r="I45" s="16"/>
      <c r="J45" s="16">
        <f t="shared" si="3"/>
        <v>0</v>
      </c>
    </row>
    <row r="46" spans="2:15" ht="15.75" customHeight="1" x14ac:dyDescent="0.35">
      <c r="B46" s="16" t="s">
        <v>3271</v>
      </c>
      <c r="C46" s="16" t="s">
        <v>3300</v>
      </c>
      <c r="D46" s="10"/>
      <c r="G46" s="16" t="s">
        <v>3300</v>
      </c>
      <c r="H46" s="16"/>
      <c r="I46" s="16"/>
      <c r="J46" s="16">
        <f t="shared" si="3"/>
        <v>1</v>
      </c>
    </row>
    <row r="47" spans="2:15" ht="15.75" customHeight="1" x14ac:dyDescent="0.35">
      <c r="B47" s="16" t="s">
        <v>3306</v>
      </c>
      <c r="C47" s="16" t="s">
        <v>3301</v>
      </c>
      <c r="D47" s="10"/>
      <c r="G47" s="16" t="s">
        <v>3301</v>
      </c>
      <c r="H47" s="16"/>
      <c r="I47" s="16"/>
      <c r="J47" s="16">
        <f t="shared" si="3"/>
        <v>0</v>
      </c>
    </row>
    <row r="48" spans="2:15" ht="15.75" customHeight="1" x14ac:dyDescent="0.35">
      <c r="B48" s="16" t="s">
        <v>53</v>
      </c>
      <c r="C48" s="16" t="s">
        <v>3302</v>
      </c>
      <c r="D48" s="10"/>
      <c r="G48" s="16" t="s">
        <v>3302</v>
      </c>
      <c r="H48" s="16"/>
      <c r="I48" s="16"/>
      <c r="J48" s="16">
        <f t="shared" si="3"/>
        <v>0</v>
      </c>
    </row>
    <row r="49" spans="2:10" ht="15.75" customHeight="1" x14ac:dyDescent="0.35">
      <c r="B49" s="16" t="s">
        <v>3307</v>
      </c>
      <c r="C49" s="16" t="s">
        <v>3303</v>
      </c>
      <c r="D49" s="10"/>
      <c r="G49" s="16" t="s">
        <v>3303</v>
      </c>
      <c r="H49" s="16"/>
      <c r="I49" s="16"/>
      <c r="J49" s="16">
        <f t="shared" si="3"/>
        <v>0</v>
      </c>
    </row>
    <row r="50" spans="2:10" ht="15.75" customHeight="1" x14ac:dyDescent="0.35">
      <c r="D50" s="10"/>
    </row>
    <row r="51" spans="2:10" ht="15.75" customHeight="1" x14ac:dyDescent="0.35">
      <c r="D51" s="10"/>
    </row>
    <row r="52" spans="2:10" ht="15.75" customHeight="1" x14ac:dyDescent="0.35">
      <c r="D52" s="10"/>
    </row>
    <row r="53" spans="2:10" ht="15.75" customHeight="1" x14ac:dyDescent="0.35">
      <c r="D53" s="10"/>
    </row>
    <row r="54" spans="2:10" ht="15.75" customHeight="1" x14ac:dyDescent="0.35">
      <c r="D54" s="10"/>
    </row>
    <row r="55" spans="2:10" ht="15.75" customHeight="1" x14ac:dyDescent="0.35">
      <c r="D55" s="10"/>
    </row>
    <row r="56" spans="2:10" ht="15.75" customHeight="1" x14ac:dyDescent="0.35">
      <c r="D56" s="10"/>
    </row>
    <row r="57" spans="2:10" ht="15.75" customHeight="1" x14ac:dyDescent="0.35">
      <c r="D57" s="10"/>
    </row>
    <row r="58" spans="2:10" ht="15.75" customHeight="1" x14ac:dyDescent="0.35">
      <c r="D58" s="10"/>
    </row>
    <row r="59" spans="2:10" ht="15.75" customHeight="1" x14ac:dyDescent="0.35">
      <c r="D59" s="10"/>
    </row>
    <row r="60" spans="2:10" ht="15.75" customHeight="1" x14ac:dyDescent="0.35">
      <c r="D60" s="10"/>
    </row>
    <row r="61" spans="2:10" ht="15.75" customHeight="1" x14ac:dyDescent="0.35">
      <c r="D61" s="10"/>
    </row>
    <row r="62" spans="2:10" ht="15.75" customHeight="1" x14ac:dyDescent="0.35">
      <c r="D62" s="10"/>
    </row>
    <row r="63" spans="2:10" ht="15.75" customHeight="1" x14ac:dyDescent="0.35">
      <c r="D63" s="10"/>
    </row>
    <row r="64" spans="2:10" ht="15.75" customHeight="1" x14ac:dyDescent="0.35">
      <c r="D64" s="10"/>
    </row>
    <row r="65" spans="4:4" ht="15.75" customHeight="1" x14ac:dyDescent="0.35">
      <c r="D65" s="10"/>
    </row>
    <row r="66" spans="4:4" ht="15.75" customHeight="1" x14ac:dyDescent="0.35">
      <c r="D66" s="10"/>
    </row>
    <row r="67" spans="4:4" ht="15.75" customHeight="1" x14ac:dyDescent="0.35">
      <c r="D67" s="10"/>
    </row>
    <row r="68" spans="4:4" ht="15.75" customHeight="1" x14ac:dyDescent="0.35">
      <c r="D68" s="10"/>
    </row>
    <row r="69" spans="4:4" ht="15.75" customHeight="1" x14ac:dyDescent="0.35">
      <c r="D69" s="10"/>
    </row>
    <row r="70" spans="4:4" ht="15.75" customHeight="1" x14ac:dyDescent="0.35">
      <c r="D70" s="10"/>
    </row>
    <row r="71" spans="4:4" ht="15.75" customHeight="1" x14ac:dyDescent="0.35">
      <c r="D71" s="10"/>
    </row>
    <row r="72" spans="4:4" ht="15.75" customHeight="1" x14ac:dyDescent="0.35">
      <c r="D72" s="10"/>
    </row>
    <row r="73" spans="4:4" ht="15.75" customHeight="1" x14ac:dyDescent="0.35">
      <c r="D73" s="10"/>
    </row>
    <row r="74" spans="4:4" ht="15.75" customHeight="1" x14ac:dyDescent="0.35">
      <c r="D74" s="10"/>
    </row>
    <row r="75" spans="4:4" ht="15.75" customHeight="1" x14ac:dyDescent="0.35">
      <c r="D75" s="10"/>
    </row>
    <row r="76" spans="4:4" ht="15.75" customHeight="1" x14ac:dyDescent="0.35">
      <c r="D76" s="10"/>
    </row>
    <row r="77" spans="4:4" ht="15.75" customHeight="1" x14ac:dyDescent="0.35">
      <c r="D77" s="10"/>
    </row>
    <row r="78" spans="4:4" ht="15.75" customHeight="1" x14ac:dyDescent="0.35">
      <c r="D78" s="10"/>
    </row>
    <row r="79" spans="4:4" ht="15.75" customHeight="1" x14ac:dyDescent="0.35">
      <c r="D79" s="10"/>
    </row>
    <row r="80" spans="4:4" ht="15.75" customHeight="1" x14ac:dyDescent="0.35">
      <c r="D80" s="10"/>
    </row>
    <row r="81" spans="4:4" ht="15.75" customHeight="1" x14ac:dyDescent="0.35">
      <c r="D81" s="10"/>
    </row>
    <row r="82" spans="4:4" ht="15.75" customHeight="1" x14ac:dyDescent="0.35">
      <c r="D82" s="10"/>
    </row>
    <row r="83" spans="4:4" ht="15.75" customHeight="1" x14ac:dyDescent="0.35">
      <c r="D83" s="10"/>
    </row>
    <row r="84" spans="4:4" ht="15.75" customHeight="1" x14ac:dyDescent="0.35">
      <c r="D84" s="10"/>
    </row>
    <row r="85" spans="4:4" ht="15.75" customHeight="1" x14ac:dyDescent="0.35">
      <c r="D85" s="10"/>
    </row>
    <row r="86" spans="4:4" ht="15.75" customHeight="1" x14ac:dyDescent="0.35">
      <c r="D86" s="10"/>
    </row>
    <row r="87" spans="4:4" ht="15.75" customHeight="1" x14ac:dyDescent="0.35">
      <c r="D87" s="10"/>
    </row>
    <row r="88" spans="4:4" ht="15.75" customHeight="1" x14ac:dyDescent="0.35">
      <c r="D88" s="10"/>
    </row>
    <row r="89" spans="4:4" ht="15.75" customHeight="1" x14ac:dyDescent="0.35">
      <c r="D89" s="10"/>
    </row>
    <row r="90" spans="4:4" ht="15.75" customHeight="1" x14ac:dyDescent="0.35">
      <c r="D90" s="10"/>
    </row>
    <row r="91" spans="4:4" ht="15.75" customHeight="1" x14ac:dyDescent="0.35">
      <c r="D91" s="10"/>
    </row>
    <row r="92" spans="4:4" ht="15.75" customHeight="1" x14ac:dyDescent="0.35">
      <c r="D92" s="10"/>
    </row>
    <row r="93" spans="4:4" ht="15.75" customHeight="1" x14ac:dyDescent="0.35">
      <c r="D93" s="10"/>
    </row>
    <row r="94" spans="4:4" ht="15.75" customHeight="1" x14ac:dyDescent="0.35">
      <c r="D94" s="10"/>
    </row>
    <row r="95" spans="4:4" ht="15.75" customHeight="1" x14ac:dyDescent="0.35">
      <c r="D95" s="10"/>
    </row>
    <row r="96" spans="4:4" ht="15.75" customHeight="1" x14ac:dyDescent="0.35">
      <c r="D96" s="10"/>
    </row>
    <row r="97" spans="4:4" ht="15.75" customHeight="1" x14ac:dyDescent="0.35">
      <c r="D97" s="10"/>
    </row>
    <row r="98" spans="4:4" ht="15.75" customHeight="1" x14ac:dyDescent="0.35">
      <c r="D98" s="10"/>
    </row>
    <row r="99" spans="4:4" ht="15.75" customHeight="1" x14ac:dyDescent="0.35">
      <c r="D99" s="10"/>
    </row>
    <row r="100" spans="4:4" ht="15.75" customHeight="1" x14ac:dyDescent="0.35">
      <c r="D100" s="10"/>
    </row>
    <row r="101" spans="4:4" ht="15.75" customHeight="1" x14ac:dyDescent="0.35">
      <c r="D101" s="10"/>
    </row>
    <row r="102" spans="4:4" ht="15.75" customHeight="1" x14ac:dyDescent="0.35">
      <c r="D102" s="10"/>
    </row>
    <row r="103" spans="4:4" ht="15.75" customHeight="1" x14ac:dyDescent="0.35">
      <c r="D103" s="10"/>
    </row>
    <row r="104" spans="4:4" ht="15.75" customHeight="1" x14ac:dyDescent="0.35">
      <c r="D104" s="10"/>
    </row>
    <row r="105" spans="4:4" ht="15.75" customHeight="1" x14ac:dyDescent="0.35">
      <c r="D105" s="10"/>
    </row>
    <row r="106" spans="4:4" ht="15.75" customHeight="1" x14ac:dyDescent="0.35">
      <c r="D106" s="10"/>
    </row>
    <row r="107" spans="4:4" ht="15.75" customHeight="1" x14ac:dyDescent="0.35">
      <c r="D107" s="10"/>
    </row>
    <row r="108" spans="4:4" ht="15.75" customHeight="1" x14ac:dyDescent="0.35">
      <c r="D108" s="10"/>
    </row>
    <row r="109" spans="4:4" ht="15.75" customHeight="1" x14ac:dyDescent="0.35">
      <c r="D109" s="10"/>
    </row>
    <row r="110" spans="4:4" ht="15.75" customHeight="1" x14ac:dyDescent="0.35">
      <c r="D110" s="10"/>
    </row>
    <row r="111" spans="4:4" ht="15.75" customHeight="1" x14ac:dyDescent="0.35">
      <c r="D111" s="10"/>
    </row>
    <row r="112" spans="4:4" ht="15.75" customHeight="1" x14ac:dyDescent="0.35">
      <c r="D112" s="10"/>
    </row>
    <row r="113" spans="4:4" ht="15.75" customHeight="1" x14ac:dyDescent="0.35">
      <c r="D113" s="10"/>
    </row>
    <row r="114" spans="4:4" ht="15.75" customHeight="1" x14ac:dyDescent="0.35">
      <c r="D114" s="10"/>
    </row>
    <row r="115" spans="4:4" ht="15.75" customHeight="1" x14ac:dyDescent="0.35">
      <c r="D115" s="10"/>
    </row>
    <row r="116" spans="4:4" ht="15.75" customHeight="1" x14ac:dyDescent="0.35">
      <c r="D116" s="10"/>
    </row>
    <row r="117" spans="4:4" ht="15.75" customHeight="1" x14ac:dyDescent="0.35">
      <c r="D117" s="10"/>
    </row>
    <row r="118" spans="4:4" ht="15.75" customHeight="1" x14ac:dyDescent="0.35">
      <c r="D118" s="10"/>
    </row>
    <row r="119" spans="4:4" ht="15.75" customHeight="1" x14ac:dyDescent="0.35">
      <c r="D119" s="10"/>
    </row>
    <row r="120" spans="4:4" ht="15.75" customHeight="1" x14ac:dyDescent="0.35">
      <c r="D120" s="10"/>
    </row>
    <row r="121" spans="4:4" ht="15.75" customHeight="1" x14ac:dyDescent="0.35">
      <c r="D121" s="10"/>
    </row>
    <row r="122" spans="4:4" ht="15.75" customHeight="1" x14ac:dyDescent="0.35">
      <c r="D122" s="10"/>
    </row>
    <row r="123" spans="4:4" ht="15.75" customHeight="1" x14ac:dyDescent="0.35">
      <c r="D123" s="10"/>
    </row>
    <row r="124" spans="4:4" ht="15.75" customHeight="1" x14ac:dyDescent="0.35">
      <c r="D124" s="10"/>
    </row>
    <row r="125" spans="4:4" ht="15.75" customHeight="1" x14ac:dyDescent="0.35">
      <c r="D125" s="10"/>
    </row>
    <row r="126" spans="4:4" ht="15.75" customHeight="1" x14ac:dyDescent="0.35">
      <c r="D126" s="10"/>
    </row>
    <row r="127" spans="4:4" ht="15.75" customHeight="1" x14ac:dyDescent="0.35">
      <c r="D127" s="10"/>
    </row>
    <row r="128" spans="4:4" ht="15.75" customHeight="1" x14ac:dyDescent="0.35">
      <c r="D128" s="10"/>
    </row>
    <row r="129" spans="4:4" ht="15.75" customHeight="1" x14ac:dyDescent="0.35">
      <c r="D129" s="10"/>
    </row>
    <row r="130" spans="4:4" ht="15.75" customHeight="1" x14ac:dyDescent="0.35">
      <c r="D130" s="10"/>
    </row>
    <row r="131" spans="4:4" ht="15.75" customHeight="1" x14ac:dyDescent="0.35">
      <c r="D131" s="10"/>
    </row>
    <row r="132" spans="4:4" ht="15.75" customHeight="1" x14ac:dyDescent="0.35">
      <c r="D132" s="10"/>
    </row>
    <row r="133" spans="4:4" ht="15.75" customHeight="1" x14ac:dyDescent="0.35">
      <c r="D133" s="10"/>
    </row>
    <row r="134" spans="4:4" ht="15.75" customHeight="1" x14ac:dyDescent="0.35">
      <c r="D134" s="10"/>
    </row>
    <row r="135" spans="4:4" ht="15.75" customHeight="1" x14ac:dyDescent="0.35">
      <c r="D135" s="10"/>
    </row>
    <row r="136" spans="4:4" ht="15.75" customHeight="1" x14ac:dyDescent="0.35">
      <c r="D136" s="10"/>
    </row>
    <row r="137" spans="4:4" ht="15.75" customHeight="1" x14ac:dyDescent="0.35">
      <c r="D137" s="10"/>
    </row>
    <row r="138" spans="4:4" ht="15.75" customHeight="1" x14ac:dyDescent="0.35">
      <c r="D138" s="10"/>
    </row>
    <row r="139" spans="4:4" ht="15.75" customHeight="1" x14ac:dyDescent="0.35">
      <c r="D139" s="10"/>
    </row>
    <row r="140" spans="4:4" ht="15.75" customHeight="1" x14ac:dyDescent="0.35">
      <c r="D140" s="10"/>
    </row>
    <row r="141" spans="4:4" ht="15.75" customHeight="1" x14ac:dyDescent="0.35">
      <c r="D141" s="10"/>
    </row>
    <row r="142" spans="4:4" ht="15.75" customHeight="1" x14ac:dyDescent="0.35">
      <c r="D142" s="10"/>
    </row>
    <row r="143" spans="4:4" ht="15.75" customHeight="1" x14ac:dyDescent="0.35">
      <c r="D143" s="10"/>
    </row>
    <row r="144" spans="4:4" ht="15.75" customHeight="1" x14ac:dyDescent="0.35">
      <c r="D144" s="10"/>
    </row>
    <row r="145" spans="4:4" ht="15.75" customHeight="1" x14ac:dyDescent="0.35">
      <c r="D145" s="10"/>
    </row>
    <row r="146" spans="4:4" ht="15.75" customHeight="1" x14ac:dyDescent="0.35">
      <c r="D146" s="10"/>
    </row>
    <row r="147" spans="4:4" ht="15.75" customHeight="1" x14ac:dyDescent="0.35">
      <c r="D147" s="10"/>
    </row>
    <row r="148" spans="4:4" ht="15.75" customHeight="1" x14ac:dyDescent="0.35">
      <c r="D148" s="10"/>
    </row>
    <row r="149" spans="4:4" ht="15.75" customHeight="1" x14ac:dyDescent="0.35">
      <c r="D149" s="10"/>
    </row>
    <row r="150" spans="4:4" ht="15.75" customHeight="1" x14ac:dyDescent="0.35">
      <c r="D150" s="10"/>
    </row>
    <row r="151" spans="4:4" ht="15.75" customHeight="1" x14ac:dyDescent="0.35">
      <c r="D151" s="10"/>
    </row>
    <row r="152" spans="4:4" ht="15.75" customHeight="1" x14ac:dyDescent="0.35">
      <c r="D152" s="10"/>
    </row>
    <row r="153" spans="4:4" ht="15.75" customHeight="1" x14ac:dyDescent="0.35">
      <c r="D153" s="10"/>
    </row>
    <row r="154" spans="4:4" ht="15.75" customHeight="1" x14ac:dyDescent="0.35">
      <c r="D154" s="10"/>
    </row>
    <row r="155" spans="4:4" ht="15.75" customHeight="1" x14ac:dyDescent="0.35">
      <c r="D155" s="10"/>
    </row>
    <row r="156" spans="4:4" ht="15.75" customHeight="1" x14ac:dyDescent="0.35">
      <c r="D156" s="10"/>
    </row>
    <row r="157" spans="4:4" ht="15.75" customHeight="1" x14ac:dyDescent="0.35">
      <c r="D157" s="10"/>
    </row>
    <row r="158" spans="4:4" ht="15.75" customHeight="1" x14ac:dyDescent="0.35">
      <c r="D158" s="10"/>
    </row>
    <row r="159" spans="4:4" ht="15.75" customHeight="1" x14ac:dyDescent="0.35">
      <c r="D159" s="10"/>
    </row>
    <row r="160" spans="4:4" ht="15.75" customHeight="1" x14ac:dyDescent="0.35">
      <c r="D160" s="10"/>
    </row>
    <row r="161" spans="4:4" ht="15.75" customHeight="1" x14ac:dyDescent="0.35">
      <c r="D161" s="10"/>
    </row>
    <row r="162" spans="4:4" ht="15.75" customHeight="1" x14ac:dyDescent="0.35">
      <c r="D162" s="10"/>
    </row>
    <row r="163" spans="4:4" ht="15.75" customHeight="1" x14ac:dyDescent="0.35">
      <c r="D163" s="10"/>
    </row>
    <row r="164" spans="4:4" ht="15.75" customHeight="1" x14ac:dyDescent="0.35">
      <c r="D164" s="10"/>
    </row>
    <row r="165" spans="4:4" ht="15.75" customHeight="1" x14ac:dyDescent="0.35">
      <c r="D165" s="10"/>
    </row>
    <row r="166" spans="4:4" ht="15.75" customHeight="1" x14ac:dyDescent="0.35">
      <c r="D166" s="10"/>
    </row>
    <row r="167" spans="4:4" ht="15.75" customHeight="1" x14ac:dyDescent="0.35">
      <c r="D167" s="10"/>
    </row>
    <row r="168" spans="4:4" ht="15.75" customHeight="1" x14ac:dyDescent="0.35">
      <c r="D168" s="10"/>
    </row>
    <row r="169" spans="4:4" ht="15.75" customHeight="1" x14ac:dyDescent="0.35">
      <c r="D169" s="10"/>
    </row>
    <row r="170" spans="4:4" ht="15.75" customHeight="1" x14ac:dyDescent="0.35">
      <c r="D170" s="10"/>
    </row>
    <row r="171" spans="4:4" ht="15.75" customHeight="1" x14ac:dyDescent="0.35">
      <c r="D171" s="10"/>
    </row>
    <row r="172" spans="4:4" ht="15.75" customHeight="1" x14ac:dyDescent="0.35">
      <c r="D172" s="10"/>
    </row>
    <row r="173" spans="4:4" ht="15.75" customHeight="1" x14ac:dyDescent="0.35">
      <c r="D173" s="10"/>
    </row>
    <row r="174" spans="4:4" ht="15.75" customHeight="1" x14ac:dyDescent="0.35">
      <c r="D174" s="10"/>
    </row>
    <row r="175" spans="4:4" ht="15.75" customHeight="1" x14ac:dyDescent="0.35">
      <c r="D175" s="10"/>
    </row>
    <row r="176" spans="4:4" ht="15.75" customHeight="1" x14ac:dyDescent="0.35">
      <c r="D176" s="10"/>
    </row>
    <row r="177" spans="4:4" ht="15.75" customHeight="1" x14ac:dyDescent="0.35">
      <c r="D177" s="10"/>
    </row>
    <row r="178" spans="4:4" ht="15.75" customHeight="1" x14ac:dyDescent="0.35">
      <c r="D178" s="10"/>
    </row>
    <row r="179" spans="4:4" ht="15.75" customHeight="1" x14ac:dyDescent="0.35">
      <c r="D179" s="10"/>
    </row>
    <row r="180" spans="4:4" ht="15.75" customHeight="1" x14ac:dyDescent="0.35">
      <c r="D180" s="10"/>
    </row>
    <row r="181" spans="4:4" ht="15.75" customHeight="1" x14ac:dyDescent="0.35">
      <c r="D181" s="10"/>
    </row>
    <row r="182" spans="4:4" ht="15.75" customHeight="1" x14ac:dyDescent="0.35">
      <c r="D182" s="10"/>
    </row>
    <row r="183" spans="4:4" ht="15.75" customHeight="1" x14ac:dyDescent="0.35">
      <c r="D183" s="10"/>
    </row>
    <row r="184" spans="4:4" ht="15.75" customHeight="1" x14ac:dyDescent="0.35">
      <c r="D184" s="10"/>
    </row>
    <row r="185" spans="4:4" ht="15.75" customHeight="1" x14ac:dyDescent="0.35">
      <c r="D185" s="10"/>
    </row>
    <row r="186" spans="4:4" ht="15.75" customHeight="1" x14ac:dyDescent="0.35">
      <c r="D186" s="10"/>
    </row>
    <row r="187" spans="4:4" ht="15.75" customHeight="1" x14ac:dyDescent="0.35">
      <c r="D187" s="10"/>
    </row>
    <row r="188" spans="4:4" ht="15.75" customHeight="1" x14ac:dyDescent="0.35">
      <c r="D188" s="10"/>
    </row>
    <row r="189" spans="4:4" ht="15.75" customHeight="1" x14ac:dyDescent="0.35">
      <c r="D189" s="10"/>
    </row>
    <row r="190" spans="4:4" ht="15.75" customHeight="1" x14ac:dyDescent="0.35">
      <c r="D190" s="10"/>
    </row>
    <row r="191" spans="4:4" ht="15.75" customHeight="1" x14ac:dyDescent="0.35">
      <c r="D191" s="10"/>
    </row>
    <row r="192" spans="4:4" ht="15.75" customHeight="1" x14ac:dyDescent="0.35">
      <c r="D192" s="10"/>
    </row>
    <row r="193" spans="4:4" ht="15.75" customHeight="1" x14ac:dyDescent="0.35">
      <c r="D193" s="10"/>
    </row>
    <row r="194" spans="4:4" ht="15.75" customHeight="1" x14ac:dyDescent="0.35">
      <c r="D194" s="10"/>
    </row>
    <row r="195" spans="4:4" ht="15.75" customHeight="1" x14ac:dyDescent="0.35">
      <c r="D195" s="10"/>
    </row>
    <row r="196" spans="4:4" ht="15.75" customHeight="1" x14ac:dyDescent="0.35">
      <c r="D196" s="10"/>
    </row>
    <row r="197" spans="4:4" ht="15.75" customHeight="1" x14ac:dyDescent="0.35">
      <c r="D197" s="10"/>
    </row>
    <row r="198" spans="4:4" ht="15.75" customHeight="1" x14ac:dyDescent="0.35">
      <c r="D198" s="10"/>
    </row>
    <row r="199" spans="4:4" ht="15.75" customHeight="1" x14ac:dyDescent="0.35">
      <c r="D199" s="10"/>
    </row>
    <row r="200" spans="4:4" ht="15.75" customHeight="1" x14ac:dyDescent="0.35">
      <c r="D200" s="10"/>
    </row>
    <row r="201" spans="4:4" ht="15.75" customHeight="1" x14ac:dyDescent="0.35">
      <c r="D201" s="10"/>
    </row>
    <row r="202" spans="4:4" ht="15.75" customHeight="1" x14ac:dyDescent="0.35">
      <c r="D202" s="10"/>
    </row>
    <row r="203" spans="4:4" ht="15.75" customHeight="1" x14ac:dyDescent="0.35">
      <c r="D203" s="10"/>
    </row>
    <row r="204" spans="4:4" ht="15.75" customHeight="1" x14ac:dyDescent="0.35">
      <c r="D204" s="10"/>
    </row>
    <row r="205" spans="4:4" ht="15.75" customHeight="1" x14ac:dyDescent="0.35">
      <c r="D205" s="10"/>
    </row>
    <row r="206" spans="4:4" ht="15.75" customHeight="1" x14ac:dyDescent="0.35">
      <c r="D206" s="10"/>
    </row>
    <row r="207" spans="4:4" ht="15.75" customHeight="1" x14ac:dyDescent="0.35">
      <c r="D207" s="10"/>
    </row>
    <row r="208" spans="4:4" ht="15.75" customHeight="1" x14ac:dyDescent="0.35">
      <c r="D208" s="10"/>
    </row>
    <row r="209" spans="4:4" ht="15.75" customHeight="1" x14ac:dyDescent="0.35">
      <c r="D209" s="10"/>
    </row>
    <row r="210" spans="4:4" ht="15.75" customHeight="1" x14ac:dyDescent="0.35">
      <c r="D210" s="10"/>
    </row>
    <row r="211" spans="4:4" ht="15.75" customHeight="1" x14ac:dyDescent="0.35">
      <c r="D211" s="10"/>
    </row>
    <row r="212" spans="4:4" ht="15.75" customHeight="1" x14ac:dyDescent="0.35">
      <c r="D212" s="10"/>
    </row>
    <row r="213" spans="4:4" ht="15.75" customHeight="1" x14ac:dyDescent="0.35">
      <c r="D213" s="10"/>
    </row>
    <row r="214" spans="4:4" ht="15.75" customHeight="1" x14ac:dyDescent="0.35">
      <c r="D214" s="10"/>
    </row>
    <row r="215" spans="4:4" ht="15.75" customHeight="1" x14ac:dyDescent="0.35">
      <c r="D215" s="10"/>
    </row>
    <row r="216" spans="4:4" ht="15.75" customHeight="1" x14ac:dyDescent="0.35">
      <c r="D216" s="10"/>
    </row>
    <row r="217" spans="4:4" ht="15.75" customHeight="1" x14ac:dyDescent="0.35">
      <c r="D217" s="10"/>
    </row>
    <row r="218" spans="4:4" ht="15.75" customHeight="1" x14ac:dyDescent="0.35">
      <c r="D218" s="10"/>
    </row>
    <row r="219" spans="4:4" ht="15.75" customHeight="1" x14ac:dyDescent="0.35">
      <c r="D219" s="10"/>
    </row>
    <row r="220" spans="4:4" ht="15.75" customHeight="1" x14ac:dyDescent="0.35">
      <c r="D220" s="10"/>
    </row>
    <row r="221" spans="4:4" ht="15.75" customHeight="1" x14ac:dyDescent="0.35">
      <c r="D221" s="10"/>
    </row>
    <row r="222" spans="4:4" ht="15.75" customHeight="1" x14ac:dyDescent="0.35">
      <c r="D222" s="10"/>
    </row>
    <row r="223" spans="4:4" ht="15.75" customHeight="1" x14ac:dyDescent="0.35">
      <c r="D223" s="10"/>
    </row>
    <row r="224" spans="4:4" ht="15.75" customHeight="1" x14ac:dyDescent="0.35">
      <c r="D224" s="10"/>
    </row>
    <row r="225" spans="4:4" ht="15.75" customHeight="1" x14ac:dyDescent="0.35">
      <c r="D225" s="10"/>
    </row>
    <row r="226" spans="4:4" ht="15.75" customHeight="1" x14ac:dyDescent="0.35">
      <c r="D226" s="10"/>
    </row>
    <row r="227" spans="4:4" ht="15.75" customHeight="1" x14ac:dyDescent="0.35">
      <c r="D227" s="10"/>
    </row>
    <row r="228" spans="4:4" ht="15.75" customHeight="1" x14ac:dyDescent="0.35">
      <c r="D228" s="10"/>
    </row>
    <row r="229" spans="4:4" ht="15.75" customHeight="1" x14ac:dyDescent="0.35">
      <c r="D229" s="10"/>
    </row>
    <row r="230" spans="4:4" ht="15.75" customHeight="1" x14ac:dyDescent="0.35">
      <c r="D230" s="10"/>
    </row>
    <row r="231" spans="4:4" ht="15.75" customHeight="1" x14ac:dyDescent="0.35">
      <c r="D231" s="10"/>
    </row>
    <row r="232" spans="4:4" ht="15.75" customHeight="1" x14ac:dyDescent="0.35">
      <c r="D232" s="10"/>
    </row>
    <row r="233" spans="4:4" ht="15.75" customHeight="1" x14ac:dyDescent="0.35">
      <c r="D233" s="10"/>
    </row>
    <row r="234" spans="4:4" ht="15.75" customHeight="1" x14ac:dyDescent="0.35">
      <c r="D234" s="10"/>
    </row>
    <row r="235" spans="4:4" ht="15.75" customHeight="1" x14ac:dyDescent="0.35">
      <c r="D235" s="10"/>
    </row>
    <row r="236" spans="4:4" ht="15.75" customHeight="1" x14ac:dyDescent="0.35">
      <c r="D236" s="10"/>
    </row>
    <row r="237" spans="4:4" ht="15.75" customHeight="1" x14ac:dyDescent="0.35">
      <c r="D237" s="10"/>
    </row>
    <row r="238" spans="4:4" ht="15.75" customHeight="1" x14ac:dyDescent="0.35">
      <c r="D238" s="10"/>
    </row>
    <row r="239" spans="4:4" ht="15.75" customHeight="1" x14ac:dyDescent="0.35">
      <c r="D239" s="10"/>
    </row>
    <row r="240" spans="4:4" ht="15.75" customHeight="1" x14ac:dyDescent="0.35">
      <c r="D240" s="10"/>
    </row>
    <row r="241" spans="4:4" ht="15.75" customHeight="1" x14ac:dyDescent="0.35">
      <c r="D241" s="10"/>
    </row>
    <row r="242" spans="4:4" ht="15.75" customHeight="1" x14ac:dyDescent="0.35">
      <c r="D242" s="10"/>
    </row>
    <row r="243" spans="4:4" ht="15.75" customHeight="1" x14ac:dyDescent="0.35">
      <c r="D243" s="10"/>
    </row>
    <row r="244" spans="4:4" ht="15.75" customHeight="1" x14ac:dyDescent="0.35">
      <c r="D244" s="10"/>
    </row>
    <row r="245" spans="4:4" ht="15.75" customHeight="1" x14ac:dyDescent="0.35">
      <c r="D245" s="10"/>
    </row>
    <row r="246" spans="4:4" ht="15.75" customHeight="1" x14ac:dyDescent="0.35">
      <c r="D246" s="10"/>
    </row>
    <row r="247" spans="4:4" ht="15.75" customHeight="1" x14ac:dyDescent="0.35">
      <c r="D247" s="10"/>
    </row>
    <row r="248" spans="4:4" ht="15.75" customHeight="1" x14ac:dyDescent="0.35">
      <c r="D248" s="10"/>
    </row>
    <row r="249" spans="4:4" ht="15.75" customHeight="1" x14ac:dyDescent="0.35">
      <c r="D249" s="10"/>
    </row>
    <row r="250" spans="4:4" ht="15.75" customHeight="1" x14ac:dyDescent="0.35"/>
    <row r="251" spans="4:4" ht="15.75" customHeight="1" x14ac:dyDescent="0.35"/>
    <row r="252" spans="4:4" ht="15.75" customHeight="1" x14ac:dyDescent="0.35"/>
    <row r="253" spans="4:4" ht="15.75" customHeight="1" x14ac:dyDescent="0.35"/>
    <row r="254" spans="4:4" ht="15.75" customHeight="1" x14ac:dyDescent="0.35"/>
    <row r="255" spans="4:4" ht="15.75" customHeight="1" x14ac:dyDescent="0.35"/>
    <row r="256" spans="4:4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6">
    <mergeCell ref="G37:J37"/>
    <mergeCell ref="E1:AH1"/>
    <mergeCell ref="G27:J27"/>
    <mergeCell ref="K27:N27"/>
    <mergeCell ref="G28:G29"/>
    <mergeCell ref="K28:K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9</vt:i4>
      </vt:variant>
    </vt:vector>
  </HeadingPairs>
  <TitlesOfParts>
    <vt:vector size="9" baseType="lpstr">
      <vt:lpstr>A26 Pham Ngu Lao</vt:lpstr>
      <vt:lpstr>Chi tiết1</vt:lpstr>
      <vt:lpstr>Visualize-6-months</vt:lpstr>
      <vt:lpstr>August</vt:lpstr>
      <vt:lpstr>June</vt:lpstr>
      <vt:lpstr>October</vt:lpstr>
      <vt:lpstr>September</vt:lpstr>
      <vt:lpstr>July</vt:lpstr>
      <vt:lpstr>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Mạnh Tuấn</dc:creator>
  <cp:lastModifiedBy>Nguyễn Mạnh Tuấn</cp:lastModifiedBy>
  <dcterms:created xsi:type="dcterms:W3CDTF">2026-08-27T06:22:10Z</dcterms:created>
  <dcterms:modified xsi:type="dcterms:W3CDTF">2026-09-12T16:10:53Z</dcterms:modified>
</cp:coreProperties>
</file>